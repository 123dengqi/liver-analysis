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tabRatio="606"/>
  </bookViews>
  <sheets>
    <sheet name="汇总表" sheetId="1" r:id="rId1"/>
    <sheet name="Sheet3" sheetId="2" r:id="rId2"/>
    <sheet name="表格说明" sheetId="3" r:id="rId3"/>
    <sheet name="Sheet1" sheetId="4" r:id="rId4"/>
    <sheet name="Sheet2" sheetId="5" r:id="rId5"/>
    <sheet name="Sheet4" sheetId="6" r:id="rId6"/>
    <sheet name="总表53-58" sheetId="7" r:id="rId7"/>
    <sheet name="Sheet8" sheetId="8" r:id="rId8"/>
  </sheets>
  <definedNames>
    <definedName name="_xlnm._FilterDatabase" localSheetId="0" hidden="1">汇总表!#REF!</definedName>
    <definedName name="_xlnm._FilterDatabase" localSheetId="1" hidden="1">Sheet3!$C$1:$C$267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shuting li</author>
    <author>Unknown User</author>
  </authors>
  <commentList>
    <comment ref="A233" authorId="0">
      <text>
        <r>
          <rPr>
            <b/>
            <sz val="9"/>
            <rFont val="宋体"/>
            <charset val="134"/>
          </rPr>
          <t>批注:</t>
        </r>
        <r>
          <rPr>
            <sz val="9"/>
            <rFont val="宋体"/>
            <charset val="134"/>
          </rPr>
          <t xml:space="preserve">
shuting li:
未出院
</t>
        </r>
      </text>
    </comment>
    <comment ref="A300" authorId="1">
      <text>
        <r>
          <rPr>
            <b/>
            <sz val="9"/>
            <rFont val="宋体"/>
            <charset val="134"/>
          </rPr>
          <t>qzuser:</t>
        </r>
        <r>
          <rPr>
            <sz val="9"/>
            <rFont val="宋体"/>
            <charset val="134"/>
          </rPr>
          <t xml:space="preserve">
肝癌出现</t>
        </r>
        <r>
          <rPr>
            <b/>
            <sz val="9"/>
            <rFont val="宋体"/>
            <charset val="134"/>
          </rPr>
          <t xml:space="preserve">
qzuser:</t>
        </r>
        <r>
          <rPr>
            <sz val="9"/>
            <rFont val="宋体"/>
            <charset val="134"/>
          </rPr>
          <t xml:space="preserve">
并进行换肝手术
</t>
        </r>
      </text>
    </comment>
    <comment ref="A335" authorId="1">
      <text>
        <r>
          <rPr>
            <b/>
            <sz val="9"/>
            <rFont val="宋体"/>
            <charset val="134"/>
          </rPr>
          <t>qzuser:</t>
        </r>
        <r>
          <rPr>
            <sz val="9"/>
            <rFont val="宋体"/>
            <charset val="134"/>
          </rPr>
          <t xml:space="preserve">
肝移植术后
</t>
        </r>
      </text>
    </comment>
    <comment ref="A378" authorId="1">
      <text>
        <r>
          <rPr>
            <b/>
            <sz val="9"/>
            <rFont val="宋体"/>
            <charset val="134"/>
          </rPr>
          <t>qzuser:</t>
        </r>
        <r>
          <rPr>
            <sz val="9"/>
            <rFont val="宋体"/>
            <charset val="134"/>
          </rPr>
          <t xml:space="preserve">
家属说21年11月，但根据随访记录来看应该是23年11月
</t>
        </r>
      </text>
    </comment>
    <comment ref="A478" authorId="1">
      <text>
        <r>
          <rPr>
            <b/>
            <sz val="9"/>
            <rFont val="宋体"/>
            <charset val="134"/>
          </rPr>
          <t>ziyi yang:</t>
        </r>
        <r>
          <rPr>
            <sz val="9"/>
            <rFont val="宋体"/>
            <charset val="134"/>
          </rPr>
          <t xml:space="preserve">
患者肝癌</t>
        </r>
      </text>
    </comment>
    <comment ref="A566" authorId="1">
      <text>
        <r>
          <rPr>
            <b/>
            <sz val="9"/>
            <rFont val="宋体"/>
            <charset val="134"/>
          </rPr>
          <t>一剪烛光:</t>
        </r>
        <r>
          <rPr>
            <sz val="9"/>
            <rFont val="宋体"/>
            <charset val="134"/>
          </rPr>
          <t xml:space="preserve">
2025/7/2诊断肝恶性肿瘤</t>
        </r>
      </text>
    </comment>
    <comment ref="A687" authorId="1">
      <text>
        <r>
          <rPr>
            <b/>
            <sz val="9"/>
            <rFont val="宋体"/>
            <charset val="134"/>
          </rPr>
          <t>qzuser:</t>
        </r>
        <r>
          <rPr>
            <sz val="9"/>
            <rFont val="宋体"/>
            <charset val="134"/>
          </rPr>
          <t xml:space="preserve">
电话错误
</t>
        </r>
      </text>
    </comment>
    <comment ref="A735" authorId="1">
      <text>
        <r>
          <rPr>
            <b/>
            <sz val="9"/>
            <rFont val="宋体"/>
            <charset val="134"/>
          </rPr>
          <t>ziyi yang:</t>
        </r>
        <r>
          <rPr>
            <sz val="9"/>
            <rFont val="宋体"/>
            <charset val="134"/>
          </rPr>
          <t xml:space="preserve">
评分日期与住院日期不相符
</t>
        </r>
      </text>
    </comment>
  </commentList>
</comments>
</file>

<file path=xl/sharedStrings.xml><?xml version="1.0" encoding="utf-8"?>
<sst xmlns="http://schemas.openxmlformats.org/spreadsheetml/2006/main" count="8162" uniqueCount="3578">
  <si>
    <t>RFH-NPT评分</t>
  </si>
  <si>
    <t>病因</t>
  </si>
  <si>
    <t>并发症</t>
  </si>
  <si>
    <t>CTP评分</t>
  </si>
  <si>
    <t>MELD评分</t>
  </si>
  <si>
    <t>血常规</t>
  </si>
  <si>
    <t>凝血功能</t>
  </si>
  <si>
    <t>肝功能</t>
  </si>
  <si>
    <t>肾功能</t>
  </si>
  <si>
    <t>姓名</t>
  </si>
  <si>
    <t>性别</t>
  </si>
  <si>
    <t>年龄</t>
  </si>
  <si>
    <t>身高（m)</t>
  </si>
  <si>
    <t>体重（Kg）</t>
  </si>
  <si>
    <t>BMI</t>
  </si>
  <si>
    <t>评分日期</t>
  </si>
  <si>
    <t>入院时间</t>
  </si>
  <si>
    <t>出院时间</t>
  </si>
  <si>
    <t>死亡时间</t>
  </si>
  <si>
    <t>住院次数</t>
  </si>
  <si>
    <t>住院天数</t>
  </si>
  <si>
    <t>出院诊断</t>
  </si>
  <si>
    <t>病毒</t>
  </si>
  <si>
    <t>酒精</t>
  </si>
  <si>
    <t>免疫</t>
  </si>
  <si>
    <t>PBC/PSC/重叠</t>
  </si>
  <si>
    <t>其他</t>
  </si>
  <si>
    <t>腹水</t>
  </si>
  <si>
    <t>肝脑</t>
  </si>
  <si>
    <t>食管胃底静脉曲张</t>
  </si>
  <si>
    <t>感染</t>
  </si>
  <si>
    <t>门脉高压</t>
  </si>
  <si>
    <t>肝性脑病</t>
  </si>
  <si>
    <t>血清胆红素</t>
  </si>
  <si>
    <t>白蛋白</t>
  </si>
  <si>
    <t>INR</t>
  </si>
  <si>
    <t>评分风险</t>
  </si>
  <si>
    <t>TBIL</t>
  </si>
  <si>
    <t>血肌酐</t>
  </si>
  <si>
    <t>MELD筛除步骤</t>
  </si>
  <si>
    <t>MELD Na</t>
  </si>
  <si>
    <t>Na</t>
  </si>
  <si>
    <t>酒精性/胆汁性</t>
  </si>
  <si>
    <t>WBC</t>
  </si>
  <si>
    <t>Hb</t>
  </si>
  <si>
    <t>白蛋白（g/L）</t>
  </si>
  <si>
    <t>出院带药</t>
  </si>
  <si>
    <t>刘敛英</t>
  </si>
  <si>
    <t>男</t>
  </si>
  <si>
    <t>肝硬化失代偿期？肝功能异常，黄疸，低蛋白血症，凝血功能异常？腹水，食管静脉曲张不伴有出血？慢性乙型病毒性肝炎，药物性肝炎？自身免疫性肝炎？十二指肠溃疡？慢性胃炎？胆汁反流？肝囊肿？双侧单纯性肾囊肿？肺间质纤维化？肺气肿？高血压3级，肿瘤标志物升高</t>
  </si>
  <si>
    <t>C</t>
  </si>
  <si>
    <t>复方甘草酸苷片2片口服TID，熊去氧胆酸胶囊250mg口服TID，胆舒胶囊O.9g口服TID，(国)恩替卡韦分散片0.5mg口服QD，(国)富马酸比索洛尔片2.5mg口服QD，(瑞)雷贝拉唑钠肠溶片10mg口服QD，铝碳酸镁咀嚼片Ig口服TID</t>
  </si>
  <si>
    <t>邢桂兰</t>
  </si>
  <si>
    <t>女</t>
  </si>
  <si>
    <r>
      <rPr>
        <sz val="11"/>
        <color rgb="FF262626"/>
        <rFont val="等线"/>
        <charset val="134"/>
      </rPr>
      <t>自身免疫性肝炎后肝硬化失代偿期</t>
    </r>
    <r>
      <rPr>
        <sz val="11"/>
        <color rgb="FF262626"/>
        <rFont val="汉仪书宋二KW"/>
        <charset val="134"/>
      </rPr>
      <t>，</t>
    </r>
    <r>
      <rPr>
        <sz val="11"/>
        <color rgb="FF262626"/>
        <rFont val="等线"/>
        <charset val="134"/>
      </rPr>
      <t>门静脉血栓形成</t>
    </r>
    <r>
      <rPr>
        <sz val="11"/>
        <color rgb="FF262626"/>
        <rFont val="汉仪书宋二KW"/>
        <charset val="134"/>
      </rPr>
      <t>，</t>
    </r>
    <r>
      <rPr>
        <sz val="11"/>
        <color rgb="FF262626"/>
        <rFont val="等线"/>
        <charset val="134"/>
      </rPr>
      <t>腹水</t>
    </r>
    <r>
      <rPr>
        <sz val="11"/>
        <color rgb="FF262626"/>
        <rFont val="汉仪书宋二KW"/>
        <charset val="134"/>
      </rPr>
      <t>，</t>
    </r>
    <r>
      <rPr>
        <sz val="11"/>
        <color rgb="FF262626"/>
        <rFont val="等线"/>
        <charset val="134"/>
      </rPr>
      <t>低蛋白血症</t>
    </r>
    <r>
      <rPr>
        <sz val="11"/>
        <color rgb="FF262626"/>
        <rFont val="汉仪书宋二KW"/>
        <charset val="134"/>
      </rPr>
      <t>，</t>
    </r>
    <r>
      <rPr>
        <sz val="11"/>
        <color rgb="FF262626"/>
        <rFont val="等线"/>
        <charset val="134"/>
      </rPr>
      <t>血小板减少</t>
    </r>
    <r>
      <rPr>
        <sz val="11"/>
        <color rgb="FF262626"/>
        <rFont val="汉仪书宋二KW"/>
        <charset val="134"/>
      </rPr>
      <t>，</t>
    </r>
    <r>
      <rPr>
        <sz val="11"/>
        <color rgb="FF262626"/>
        <rFont val="等线"/>
        <charset val="134"/>
      </rPr>
      <t>肝炎伴食管胃底静脉曲张术后</t>
    </r>
    <r>
      <rPr>
        <sz val="11"/>
        <color rgb="FF262626"/>
        <rFont val="汉仪书宋二KW"/>
        <charset val="134"/>
      </rPr>
      <t>，</t>
    </r>
    <r>
      <rPr>
        <sz val="11"/>
        <color rgb="FF262626"/>
        <rFont val="等线"/>
        <charset val="134"/>
      </rPr>
      <t>贫血</t>
    </r>
    <r>
      <rPr>
        <sz val="11"/>
        <color rgb="FF262626"/>
        <rFont val="汉仪书宋二KW"/>
        <charset val="134"/>
      </rPr>
      <t>，</t>
    </r>
    <r>
      <rPr>
        <sz val="11"/>
        <color rgb="FF262626"/>
        <rFont val="等线"/>
        <charset val="134"/>
      </rPr>
      <t>凝血功能异常</t>
    </r>
  </si>
  <si>
    <t>熊去氧胆酸胶囊250mg口服TID，甲泼尼龙片4mg口服QD，复方氨基酸胶囊(8-11)2粒口服TID，(南)地奥司明片1.35g口服BID，兰索拉唑口崩片30mg口服QD,骨化三醇1片口服QD(白备)，乳果糖10ml口服TID(白备)，螺内酯片20mg口服BID(自备)，氯化钾缓释片2g口服TID(白备)</t>
  </si>
  <si>
    <t>董学芬</t>
  </si>
  <si>
    <t>自身免疫性肝炎后肝硬化失代偿期，肝硬化伴食管胃底静脉曲张，胆汁淤积性肝炎，门脉高压性胃肠病，低蛋白血症，白细胞减少，粒细胞缺乏，血小板减少，贫血</t>
  </si>
  <si>
    <t>无</t>
  </si>
  <si>
    <t>A</t>
  </si>
  <si>
    <t>生血宁片0.5g口服TID，熊去氧胆酸胶囊250mg口服TID，(瑞)雷贝拉唑钠肠溶片10mg口服QD，复方氨基酸胶囊(8-11)2粒口服TID</t>
  </si>
  <si>
    <t>张凤才</t>
  </si>
  <si>
    <t>自身免疫性肝炎后肝硬化失代偿期？消化道出血？食管胃底静脉曲张出血？腹腔积液？脾大？全血细胞减少？肝囊肿？胆囊炎？胆囊结石？心功能2级，2型糖尿病，高血压3级，子宫切除术后状态</t>
  </si>
  <si>
    <t>B</t>
  </si>
  <si>
    <t>螺内酯片20mg口服BID，2(伊)托拉塞米片20mg口服QD，复方嗜酸乳杆菌片0.5g口服TID,(波)雷贝拉唑钠肠溶片10mg口服QD，复方氨基酸胶囊(8-11)2粒口服BID</t>
  </si>
  <si>
    <t>赵玉红</t>
  </si>
  <si>
    <t>肝硬化失代偿期，门脉高压性胃肠病，肝硬化伴食管静脉曲张，酒精性肝病，门静脉血栓形成，肠系膜静脉血栓形成，肝功能异常，轻度贫血？多发性胃息肉？多发性胆囊结石？单发性肾囊肿？</t>
  </si>
  <si>
    <t>梁来津</t>
  </si>
  <si>
    <t>肝硬化失代偿期，食管静脉曲张，胃底静脉曲张（轻度），脾亢，慢性胃炎，十二指肠炎，脂肪肝，白内障术后</t>
  </si>
  <si>
    <t>兰索拉唑口崩片30mg口服QD，(大)双歧杆菌三联活菌肠溶胶囊0.42g口服BID，复方嗜酸乳杆菌片1g口服TID,复方氨基酸胶囊(8-11)2粒口服TID，生血宁片0.5g口服TID</t>
  </si>
  <si>
    <t>孟凡珍</t>
  </si>
  <si>
    <t>隐源性肝硬化失代偿期，食管胃底静脉曲张破裂出血，门静脉血栓形成，腹水，胸腔积液，全血细胞减少，肿瘤标志物升高，低蛋白血症，低钾血症，低钠血症</t>
  </si>
  <si>
    <t>复方氨基酸胶囊(8-11)2粒口服TID，(波)雷贝拉唑钠肠溶片10mg口服QD，螺内酯片20mg口服BID，2(伊)托拉塞米片20mg口服QD，氯化钾缓释片1g口服TID，(金)卡维地洛片5mg口服QD</t>
  </si>
  <si>
    <t>于泳</t>
  </si>
  <si>
    <t>酒精性肝硬化失代偿期，消化道出血，食管胃底静脉曲张出血？出血性外痔，腹腔积液？胸腔积液？脾亢，低蛋白血症，肾功能异常，2型糖尿病，高血压3级，肛瘘术后</t>
  </si>
  <si>
    <t>雷贝拉唑钠肠溶片10mg口服QD，托拉塞米片20mg口服QD，螺内酷片20mg口服BID，复方氨基酸胶(8-11)2粒口服TID，厄贝沙坦氢氯噻嗪片162.5mg口服QD，尿毒清颗粒5g口服TID(自备)，金水宝胶囊0.99g口服TID(自备)，乳果糖口服液10mL口服TID(自备)，生血宁片0.5g口服BID(自备)，优泌乐8u-8u-8u皮下(自备)</t>
  </si>
  <si>
    <t>吕宝玺</t>
  </si>
  <si>
    <t>十二指肠球部溃疡伴出血，乙型肝炎肝硬化，肝结节性质待定，慢性活动性乙型病毒性肝炎，轻度贫血，慢性胃炎，多发性肝囊肿，肝血管瘤</t>
  </si>
  <si>
    <t>(国)恩替卡韦分散片0.5mg口服QD，(瑞)雷贝拉唑钠肠溶片20mg日服QD</t>
  </si>
  <si>
    <t>常伟</t>
  </si>
  <si>
    <t>食管胃底静脉曲张破裂出血，乙型肝炎后肝硬化失代偿期，门静脉高压，腹水，脾亢，血小板减少，白细胞减少，门静脉高压行胃病，PBC？自身免疫性肝炎？贫血，慢性胃炎，上呼吸道感染</t>
  </si>
  <si>
    <t>艾司奥美拉唑镁肠溶片40mg口服QD，熊去氧胆酸胶囊250mg口服TID，利可君片20mg口服QD，(金)卡维地洛片10mg口服QD，(国)恩替卡韦分散片0.5mg口服QD</t>
  </si>
  <si>
    <t>王书琴</t>
  </si>
  <si>
    <t>纵隔感染，食管异物穿孔，自身免疫性肝硬化，PBC，自身免疫性肝炎，高血压3级，脑梗死个人史</t>
  </si>
  <si>
    <t>左氧氟沙星0.5mg口服QD,康复新液10ml口服TID</t>
  </si>
  <si>
    <t>朱明博</t>
  </si>
  <si>
    <t>布加综合征，肝硬化失代偿期？肝硬化失代偿期？肝硬化伴食管胃底静脉曲张？消化道出血？门脉高压性胃病，腹腔积液？低蛋白血症？低钾血症?</t>
  </si>
  <si>
    <t>腺苷蛋氨酸肠溶片0.5g口服BID，兰索拉唑口崩片30mg口服QD，复方氨基酸胶囊(8-11)2粒口服BID，磷酸铝凝胶20g口服TID，(伊)托拉塞米片5mg口服QD，螺内酯片20mg口服QD，华法林、乳果糖自备</t>
  </si>
  <si>
    <t>王秀红</t>
  </si>
  <si>
    <t>消化道出血，肝硬化伴食管静脉曲张，脾大，食管炎，食管裂孔疝？，门脉高压性胃肠病，中度贫血，脐疝，低蛋白血症，单纯性肾囊肿，2型糖尿病，低钙血症，肝功能异常</t>
  </si>
  <si>
    <t>螺内酯片40mg口服QD，(波)雷贝拉唑钠肠溶片10mg口服QD，呋塞米片20mg口服QD</t>
  </si>
  <si>
    <t>王建强</t>
  </si>
  <si>
    <t>酒精性肝硬化，自身免疫性肝炎？肝硬化伴食管胃底静脉曲张？脾大，脾功能亢进，腹水？高胆红素血症，2型糖尿病，高血压3级，做肾结石</t>
  </si>
  <si>
    <t>复方氨基酸胶(8-11)2粒口服TID，硫普罗宁肠溶片0.2g口服TID，利可君片20mg口服TID，(瑞)雷贝拉唑钠肠溶片10mg口服QD，伏格列波糖片0.2mg口服TID，腺苷蛋氨酸肠溶片0.5g口服BID，2(伊)托拉塞米片5mg口服QD,诺和锐笔芯300iu皮下ST</t>
  </si>
  <si>
    <t>苗学桥</t>
  </si>
  <si>
    <t>自身免疫性肝炎后肝硬化失代偿期？，腹水，低蛋白血症，右侧腹股沟疝，脐疝，脾大，低钾血症，低钙血症，肝功能异常，血小板减少，白细胞减少，轻度贫血，凝血功能异常</t>
  </si>
  <si>
    <t>可乐)左氧氟沙星片0.5g口服QD，2(伊)托拉塞米片5mg口服BID，螺内酯片20mg口服BID，复方氨基酸胶囊(8-11)2粒口服TID，熊去氧胆胶囊250mg口服TID，米曲菌胰酶1粒TID(自备)，橼酸莫沙必利片5mg口服TID(自备)，氯钾口服溶液10ml口服TID(自备)</t>
  </si>
  <si>
    <t>刘绵春</t>
  </si>
  <si>
    <t>下消化道出血，NSAIDs相关溃疡，小肠血管畸形，非酒精性脂肪肝性相关性肝硬化（早期），脾大，脾功能亢进，全血细胞减少，2型糖尿病</t>
  </si>
  <si>
    <t>多糖铁复合物胶囊0.3g口服QD，利可君片20mg口服TID，生血宁片0.5g口服TID，多烯磷脂酰胆碱胶囊456mg口服TID，(瑞)雷贝拉唑钠肠溶片10mg口服QD，多糖铁复合物胶囊0.3g口服QD</t>
  </si>
  <si>
    <t>常萍</t>
  </si>
  <si>
    <t>原发性胆汁性肝硬化失代偿期？腹水，胸腔积液，重度贫血，缺铁性贫血，全血细胞减少，脾功能亢进</t>
  </si>
  <si>
    <t>复方氨基酸胶囊(8-11)2粒口服TID，螺内酯片20mg口服QD，2(伊)托拉塞米片10mg口服QD，泮托拉唑钠肠溶片40mg口服QD，2瑞巴派特片0.1g口服TID，利可君片20mg口服TID，多糖铁复合物胶囊1粒口服QD(自备)</t>
  </si>
  <si>
    <t>哈金钟</t>
  </si>
  <si>
    <t>肝性脑病4级，肝硬化失代偿期，脾功能亢进，门静脉高压（TIPS术后），门静脉血栓形成？2型糖尿病</t>
  </si>
  <si>
    <t>多烯磷脂酰胆碱胶囊456mg口服TID，乳果糖口服溶液15ml口服BID，利福昔明片0.4g口服TID，兰索拉唑口崩片30mg口服QD，(大)双歧杆菌兰联活菌肠溶胶囊0.42g口服BID，复方啫酸乳杆菌片0.5g口服TID，利伐沙班(自备)10mg口服QD</t>
  </si>
  <si>
    <t>曹国平</t>
  </si>
  <si>
    <t>酒精性肝硬化失代偿期，上消化道出血，食管胃底静脉曲张破裂出血？门脉高压，十二指肠静脉曲张，脾功能亢进，腹腔积液（少量），凝血功能异常，中度贫血，多发性肝囊肿，胆囊息肉？慢性胃炎，2型糖尿病，肺气肿，慢性支气管炎？胸腔积液，前列腺钙化灶，低蛋白血症</t>
  </si>
  <si>
    <t>卡维地洛片5mg口服BID，腺苷蛋氨酸肠溶片1g口服BID，艾司奥美拉唑镁肠溶片40mg口服QD，铝碳酸镁咀嚼片1g口服TID，复方氨基酸胶囊(8-11)2粒口服TID，乳果糖口服溶液15ml口服TID，生血宁片0.5g口服TID</t>
  </si>
  <si>
    <t>张凤荣</t>
  </si>
  <si>
    <t>自身免疫性肝炎？药物性肝损害？肝纤维化？结肠息肉，慢性胆囊炎？多发性肝囊肿，甲状腺术后，单侧卵巢切除术后状态，附件肿物（右附件区结节），肾上腺肿物（左肾上腺结节）</t>
  </si>
  <si>
    <t>熊去氧胆酸胶囊250mg口服TID，复方氨基酸胶囊(8-11)1粒口服TID，多烯磷脂酰胆碱胶囊456mg口服TID，复方甘草酸苷片2片口服TID</t>
  </si>
  <si>
    <t>刘德芸</t>
  </si>
  <si>
    <t>上消化道出血，食管胃底静脉曲张破裂出血，肝硬化失代偿期（自身免疫性肝炎？），腹水，低蛋白血症，脾功能亢进，胆总管结石，胆囊结石伴胆囊炎，胆囊十二指肠瘘？支气管炎，2型糖尿病</t>
  </si>
  <si>
    <t>熊去氧胆酸胶囊250mg口服TID，2艾司奥美拉唑镁肠溶片40mg口服QD，(金)卡维地洛片10mg口服QD，复方氨基酸胶囊(8-11)1粒口服TID，螺内酯片20mg口服QD，呋塞米片(自)20mgQD</t>
  </si>
  <si>
    <t>李伟林</t>
  </si>
  <si>
    <r>
      <rPr>
        <sz val="11"/>
        <color rgb="FF000000"/>
        <rFont val="等线"/>
        <charset val="134"/>
      </rPr>
      <t>酒精性肝硬化失代偿期</t>
    </r>
    <r>
      <rPr>
        <sz val="11"/>
        <color rgb="FF000000"/>
        <rFont val="汉仪书宋二KW"/>
        <charset val="134"/>
      </rPr>
      <t>，</t>
    </r>
    <r>
      <rPr>
        <sz val="11"/>
        <color rgb="FF000000"/>
        <rFont val="等线"/>
        <charset val="134"/>
      </rPr>
      <t>肝功能异常</t>
    </r>
    <r>
      <rPr>
        <sz val="11"/>
        <color rgb="FF000000"/>
        <rFont val="汉仪书宋二KW"/>
        <charset val="134"/>
      </rPr>
      <t>，</t>
    </r>
    <r>
      <rPr>
        <sz val="11"/>
        <color rgb="FF000000"/>
        <rFont val="等线"/>
        <charset val="134"/>
      </rPr>
      <t>低蛋白血症</t>
    </r>
    <r>
      <rPr>
        <sz val="11"/>
        <color rgb="FF000000"/>
        <rFont val="汉仪书宋二KW"/>
        <charset val="134"/>
      </rPr>
      <t>，</t>
    </r>
    <r>
      <rPr>
        <sz val="11"/>
        <color rgb="FF000000"/>
        <rFont val="等线"/>
        <charset val="134"/>
      </rPr>
      <t>腹水</t>
    </r>
    <r>
      <rPr>
        <sz val="11"/>
        <color rgb="FF000000"/>
        <rFont val="汉仪书宋二KW"/>
        <charset val="134"/>
      </rPr>
      <t>，</t>
    </r>
    <r>
      <rPr>
        <sz val="11"/>
        <color rgb="FF000000"/>
        <rFont val="等线"/>
        <charset val="134"/>
      </rPr>
      <t>脾大</t>
    </r>
    <r>
      <rPr>
        <sz val="11"/>
        <color rgb="FF000000"/>
        <rFont val="汉仪书宋二KW"/>
        <charset val="134"/>
      </rPr>
      <t>，</t>
    </r>
    <r>
      <rPr>
        <sz val="11"/>
        <color rgb="FF000000"/>
        <rFont val="等线"/>
        <charset val="134"/>
      </rPr>
      <t>中度贫血</t>
    </r>
    <r>
      <rPr>
        <sz val="11"/>
        <color rgb="FF000000"/>
        <rFont val="汉仪书宋二KW"/>
        <charset val="134"/>
      </rPr>
      <t>，</t>
    </r>
    <r>
      <rPr>
        <sz val="11"/>
        <color rgb="FF000000"/>
        <rFont val="等线"/>
        <charset val="134"/>
      </rPr>
      <t>脂肪肝</t>
    </r>
    <r>
      <rPr>
        <sz val="11"/>
        <color rgb="FF000000"/>
        <rFont val="汉仪书宋二KW"/>
        <charset val="134"/>
      </rPr>
      <t>，</t>
    </r>
    <r>
      <rPr>
        <sz val="11"/>
        <color rgb="FF000000"/>
        <rFont val="等线"/>
        <charset val="134"/>
      </rPr>
      <t>高甘油三酯血症</t>
    </r>
    <r>
      <rPr>
        <sz val="11"/>
        <color rgb="FF000000"/>
        <rFont val="汉仪书宋二KW"/>
        <charset val="134"/>
      </rPr>
      <t>，</t>
    </r>
    <r>
      <rPr>
        <sz val="11"/>
        <color rgb="FF000000"/>
        <rFont val="等线"/>
        <charset val="134"/>
      </rPr>
      <t>心律失常</t>
    </r>
    <r>
      <rPr>
        <sz val="11"/>
        <color rgb="FF000000"/>
        <rFont val="汉仪书宋二KW"/>
        <charset val="134"/>
      </rPr>
      <t>，</t>
    </r>
    <r>
      <rPr>
        <sz val="11"/>
        <color rgb="FF000000"/>
        <rFont val="等线"/>
        <charset val="134"/>
      </rPr>
      <t>室性期前收缩</t>
    </r>
    <r>
      <rPr>
        <sz val="11"/>
        <color rgb="FF000000"/>
        <rFont val="汉仪书宋二KW"/>
        <charset val="134"/>
      </rPr>
      <t>，</t>
    </r>
    <r>
      <rPr>
        <sz val="11"/>
        <color rgb="FF000000"/>
        <rFont val="等线"/>
        <charset val="134"/>
      </rPr>
      <t>髋关节置换术后</t>
    </r>
  </si>
  <si>
    <t>螺内酯片80mg口服BID，利福昔明片0.2G口服TID，熊去氧胆酸胶囊250mg口服TID，多烯磷脂酰胆碱胶囊456mg口服TID，(大)双歧杆菌三联活菌肠溶胶囊0.42g口服BID，(自备)托拉塞米片40mg口服QD，善存1片口服QD，钙尔奇D1粒口服DD</t>
  </si>
  <si>
    <t>刘桂红</t>
  </si>
  <si>
    <t>食管静脉曲张伴有出血，乙型肝炎后肝硬化失代偿期，脾功能亢进，重度贫血</t>
  </si>
  <si>
    <t>(国)恩替卡韦分散片0.5mg口服QD,(瑞)雷贝拉唑钠肠溶片10mg口服QD，2瑞巴派特片0.1g口服TID，(大)双歧杆菌三联活菌肠溶胶囊0.42g口服TID</t>
  </si>
  <si>
    <t>孙美娜</t>
  </si>
  <si>
    <t>消化道出血，食管胃底静脉曲张破裂出血，自身免疫性肝硬化，脾功能亢进，低蛋白血症，慢性胃炎，重度贫血，2型糖尿病，电解质紊乱，</t>
  </si>
  <si>
    <t>利福昔明片0.2g口服TID，复方氨基酸胶囊(8-11)2粒口服TID，泮托拉唑钠肠溶片40mg口服QD，磷酸铝凝胶20g口服TID，康复新液10ml口服TID，熊去氧胆酸250mg口服TID(自备)</t>
  </si>
  <si>
    <t>孙丽芬</t>
  </si>
  <si>
    <t>肝硬化失代偿期，重度贫血，低蛋白血症，血小板减少，胃底静脉曲张，脾大，腹腔积液，白细胞减少，自身免疫性肝炎，胆囊结石，肝囊肿，肾上腺肿瘤，双下肢静脉曲张，高尿酸血症，肺部感染，泌尿道感染，消化道出血，干燥综合征？胸腔积液</t>
  </si>
  <si>
    <t>头孢地尼胶囊0.1g口服BID(口服1周停药)，熊去氧胆酸胶囊250mg口服TID，氯化钾缓释片1g口服TID，生血宁片0.5g口服TID，利可君片20mg口服TID，螺内酯片20mg口服BID，呋塞米片1片口服QD，醋酸泼尼松片5mg口服QD</t>
  </si>
  <si>
    <t>张秀萍</t>
  </si>
  <si>
    <t>慢性活动性乙型病毒性肝炎，肝硬化失代偿期，脾功能亢进，食管静脉曲张，食管炎，十二指肠球部溃疡</t>
  </si>
  <si>
    <t>(瑞)雷贝拉唑钠肠溶片10mg口服QD，双环醇片25mg口服TID，2瑞巴派特片0.1g口服TID，(国)富马酸替诺福韦二吡呋酯片300mg口服QD(自备)</t>
  </si>
  <si>
    <t>吴淑平</t>
  </si>
  <si>
    <t>消化道出血，门脉高压性胃肠病，食管胃底静脉曲张破裂出血？肝硬化失代偿期，药物性肝硬化，脾功能亢进，全血细胞减少，中度贫血，结肠息肉，食管炎，胆囊切除术后状态，右侧乳腺术后</t>
  </si>
  <si>
    <t>(瑞)雷贝拉唑钠肠溶片10mg口服BID，(大)双歧杆菌三联活菌肠溶胶囊0.42g口服BID，双环醇片50mg口服TID，螺内酯片40mg口服BID，2(伊)托拉塞米片5mg口服QD，氯化钾缓释片1g口服BID(自备)</t>
  </si>
  <si>
    <t>于洋</t>
  </si>
  <si>
    <t>慢加急性肝衰竭（C型中期），酒精性肝硬化，肝肿瘤？，黄疸，腹水，胸腔积液，低蛋白血症，凝血功能异常，轻度贫血，肺部感染，细菌性腹膜炎</t>
  </si>
  <si>
    <t>杨志远</t>
  </si>
  <si>
    <t>肝硬化失代偿期，酒精性肝炎？自身免疫性肝损害，脾功能亢进，肝功能异常，低蛋白血症，慢性胃炎，高血压3级，肾功能异常，单纯性肾囊肿，肾上腺肿瘤，前列腺钙化灶</t>
  </si>
  <si>
    <t>螺内酯片40mg口服QD，2(伊)托拉塞米片5mg口服QD，多烯磷脂酰胆碱胶囊456mg口服TID，熊去氧胆酸胶囊250mg口服QID，复方氨基酸胶囊(8-11)2粒 口服TID，施)苯磺酸左氨氯地平片5mg口服QD，尿毒清颗粒(无糖型)5g口服TID(自备)</t>
  </si>
  <si>
    <t>贺勇慧</t>
  </si>
  <si>
    <t>手术后食管狭窄（食管静脉曲张套扎术后），慢性萎缩性胃炎，低蛋白血症，缺铁性贫血，肾功能异常，肝硬化失代偿期，门脉高压性胃肠病，脾大，高血压3级，2型糖尿病，脐疝</t>
  </si>
  <si>
    <t>铝碳酸镁咀嚼片1g口服TID，复方氨基酸胶囊(8-11)2粒口服TID，兰索拉唑口崩片30mg口服QD，乳果糖口服溶液15ml口服TID</t>
  </si>
  <si>
    <t>纪慧英</t>
  </si>
  <si>
    <t>乙型肝炎肝硬化失代偿期，肝硬化伴食管胃底静脉曲张，门脉高压性胃肠病，胃息肉（多发）？，血小板减少，白细胞减少，低蛋白血症，低钾血症，低钙血症，支气管炎，脾大，肝囊肿</t>
  </si>
  <si>
    <t>复方氨基酸胶(8-11)2粒口服TID，熊去胆酸胶囊250mg口服BID，泮托拉唑钠肠溶片40mg口服QD，愈美片200mg口服TID，氧化钾缓释片1g口服BID，利可君片20mg口服TID(自备)，富马酸替诺福韦二吡呋酯片300mg口服QD(自备)</t>
  </si>
  <si>
    <t>贾伟阳</t>
  </si>
  <si>
    <t>乙型肝炎肝硬化失代偿期，门脉高压性胃肠病？脾功能亢进，腹水，食管胃底静脉曲张破裂出血，肝硬化伴食管胃底静脉曲张内镜下硬化治疗，慢性胃炎</t>
  </si>
  <si>
    <t>泮托拉唑40mg 口服 bid，康复新液10ml口服tid</t>
  </si>
  <si>
    <t>张淑女</t>
  </si>
  <si>
    <t>肝硬化失代偿期，自身免疫性肝炎，PBC？，肝硬化伴食管胃底静脉曲张（轻度），腹水，轻度贫血，慢性胃炎，结肠息肉，肿瘤标记物升高，高血压病1级，脾术后</t>
  </si>
  <si>
    <t>熊去氧胆酸胶囊250mg口服TID，甘草酸二铵肠溶胶囊150mg口服TID，艾司奥美拉唑镁肠溶片40mg口服QD，(大)双歧杆菌三联活菌肠溶胶囊0.42g口服TID，白芍总苷胶囊0.6g口服TID，螺内酯片(自备)20mg口服ST，呋塞米片(自备)20mg口服QD</t>
  </si>
  <si>
    <t>穆怀欣</t>
  </si>
  <si>
    <t>消化道出血，食管胃底静脉曲张破裂出血？，乙型病毒性肝炎，肝硬化失代偿期（酒精性肝炎），低蛋白血症，贫血，脾大，腹腔积液，缺血性肠病，肾功能异常，低钙血症</t>
  </si>
  <si>
    <t>(瑞)雷贝拉唑钠肠溶片10mg口服QD,自备恩替卡韦口服，继续口服利尿剂</t>
  </si>
  <si>
    <t>赵勇庆</t>
  </si>
  <si>
    <t>消化道出血，食管胃底静脉曲张破裂出血，酒精性肝硬化，脾大，脾功能亢进，腹水，高血压病3级（极高危），冠状动脉粥样硬化性心脏病？电解质紊乱，低钙血症，低钠血症，低氯血症，白内障，脑萎缩，脑囊肿，神经纤维瘤病（非恶性？）</t>
  </si>
  <si>
    <t>康复新液10ml口服TID，泮托拉唑片40mg口服qd、复方氨基酸胶囊2粒口服tid，螺内酯20mg口服 qd，呋塞米20mg口服 qd</t>
  </si>
  <si>
    <t>肝硬化失代偿期，布加综合征，门脉高压性胃肠病，脾功能亢进，全血细胞减少，食管炎，结肠息肉，胆囊切除术后状态，右侧乳腺术后</t>
  </si>
  <si>
    <t>双环醇片50mg口服TID,利可君片20mg口服TID，呋塞米片20mgQD，螺内酯片60mg口服QD，(大)利伐沙班片20mg口服QD，(芯)诺和锐30笔芯18iu皮下QD，(芯)诺和锐30笔芯16iu皮下QD</t>
  </si>
  <si>
    <t>贾玉鹏</t>
  </si>
  <si>
    <t>慢加急性肝衰竭，肝硬化失代偿期？，肝小静脉闭塞，药物性肝炎？，气性坏疽？，肛周屎肠球菌感染，全身炎症反应综合征，弥散性血管内凝血？，血小板减少，低蛋白血症，低钠血症，低钾血症，腹水，脾功能亢进，食管静脉曲张，直肠静脉曲张，门脉高压性胃肠病？，血清铜异常，胆囊结石</t>
  </si>
  <si>
    <t>郝万明</t>
  </si>
  <si>
    <t>上消化道出血，酒精性肝硬化伴食管静脉曲张（重度），酒精性肝硬化伴胃底静脉曲张（轻度），肝硬化失代偿期，脾大，脾功能亢进，肝占位性病变性质待定，贫血（中度），白细胞减少，低蛋白血症</t>
  </si>
  <si>
    <t>利可君片20mg口服TID，螺内酯片20mg口服QD，兰索拉唑口崩片30mg口服QD，复方氨基酸胶囊(8-11)2粒口服TID</t>
  </si>
  <si>
    <t>贺小玉</t>
  </si>
  <si>
    <t>肝硬化失代偿期、自身免疫性肝炎、原发性胆汁性肝硬化、食管静脉曲张不伴有出血、腹水、脾功能亢进、低蛋白血症、胃溃疡、慢性胃炎、胆囊结石、胰腺囊肿、电解质代谢紊乱、结肠毛细血管扩张症</t>
  </si>
  <si>
    <t>泮托拉唑钠肠溶片40mg口服QD，熊去氧胆酸胶囊250mg口服TID，腺苷蛋氨酸肠溶片1g口服QD，复方氨基酸胶囊(8-11)2粒口服TID</t>
  </si>
  <si>
    <t>郭克立</t>
  </si>
  <si>
    <t>消化道出血，食管静脉曲张伴有出血，肝硬化失代偿期（病因不明），胃底静脉曲张，门静脉高压，十二指肠球炎，2型糖尿病，高血压3级（很高危）</t>
  </si>
  <si>
    <t>硝苯地平缓释片30mg口服QD，兰索拉唑口崩片30mg口服QD，熊去氧胆酸胶囊250mg口服BID，2瑞巴派特片0.1g口服TID，多烯磷脂酰胆碱胶囊456mg口服TID</t>
  </si>
  <si>
    <t>李凤雪</t>
  </si>
  <si>
    <t>原发性胆汁性肝硬化伴食管胃底静脉曲张破裂出血、脾大、脾亢、轻度贫血、血小板减少、低蛋白血症、凝血功能异常、慢性胃炎、干燥综合征、肿瘤标记物升高、电解质代谢紊乱、低钙血症、高氯血症</t>
  </si>
  <si>
    <t>乳果糖口服溶液15ml口服BID，熊去氧胆酸胶囊250mg口服BID，兰索拉唑口崩片30mg口服QD，可乐)左氧氟沙星片0.5g口服QD</t>
  </si>
  <si>
    <t>布加综合征，肝硬化失代偿期，肝硬化伴食管胃底静脉曲张，门脉高压性胃病，慢性胃炎</t>
  </si>
  <si>
    <t>伊托必利片50mg口服TID，兰索拉唑口崩片30mg口服QD，螺内酯片40mg口服QD，2(伊)托拉塞米片10mg口服QD，多烯磷脂酰胆碱胶囊456mg口服BID</t>
  </si>
  <si>
    <t>庞桂珍</t>
  </si>
  <si>
    <t>自身免疫性肝硬化AIH-PBC重叠），直肠静脉曲张，脾大，腹水，EB病毒感染，肝功能异常，低蛋白血症，凝血功能异常，中度贫血，间质性肺病，单纯性肾囊肿</t>
  </si>
  <si>
    <t>螺内酯片20mg口服BID，呋塞米片20mg口服QD(自备)，熊去氧胆酸胶囊250mg 口服TID，硫普罗宁肠溶片0.2g口服TID</t>
  </si>
  <si>
    <t>王巨涛</t>
  </si>
  <si>
    <t>乙型肝炎肝硬化，肝硬化伴食管胃底静脉曲张，门静脉高压，门脉高压性胃肠病，贫血，脾大，腹水（少量）</t>
  </si>
  <si>
    <t>刘恩琴</t>
  </si>
  <si>
    <t>乙型肝炎后肝硬化肝硬化，乙型肝炎大三阳，腹水，肝硬化伴食管胃底静脉曲张，脾大，慢性胃炎，血小板减少，低蛋白血症，凝血功能异常</t>
  </si>
  <si>
    <t>多烯磷脂酰胆碱胶囊456mg口服TID，氯化钾缓释片1g口服BID，(国)思替卡韦分散片0.5mg口服QD，乳果糖口服溶液15ml口服BID，(瑞)雷贝拉唑钠肠溶片10mg口服QD，螺内酯片40mg口服QD，呋塞米片20mg口服QD</t>
  </si>
  <si>
    <t>消化道出血，自身免疫性肝硬化（AIH-PBC重叠），直肠静脉曲张，脾大，肝功能异常，低蛋白血症，重度贫血，间质性肺病，单纯性肾囊肿</t>
  </si>
  <si>
    <t>甘草酸二铵肠溶胶囊150mg口服TID，艾司奥美拉唑镁肠溶片40mg口服 QD</t>
  </si>
  <si>
    <t>王立琨</t>
  </si>
  <si>
    <t>原发性胆管炎，自身免疫性肝炎？肝硬化失代偿期，胃底静脉曲张，脾功能亢进，上呼吸道感染</t>
  </si>
  <si>
    <t>熊去氧胆酸胶囊250mg口服TID，双环醇片50mg口服TID</t>
  </si>
  <si>
    <t>林翠萍</t>
  </si>
  <si>
    <t>消化道出血，食管静脉曲张伴有出血，乙型肝炎后肝硬化失代偿期，慢性活动型乙型病毒性肝炎，门脉高压性胃肠病，低蛋白血症</t>
  </si>
  <si>
    <t>(国)思替卡韦分散片0.5mg口服QD，熊去氧胆酸胶囊250mg口服BID，乳果糖口服溶液15ml口服TID，复方氨基酸胶囊(8-11)2粒口服TID</t>
  </si>
  <si>
    <t>肖玉英</t>
  </si>
  <si>
    <t>消化道出血、食管胃底静脉曲张破裂出血、肝硬化失代偿期、自身免疫学肝炎-原发性胆汁性胆管炎重叠综合征、门静脉血栓形成、腹腔积液、脾功能亢进、肺部阴影、高尿酸血症</t>
  </si>
  <si>
    <t>(希)头孢克洛缓释片0.375g口服BID，止咳合剂10ml口服TID，熊去氧胆酸胶囊250mg口服BID，兰索拉唑口崩片30mg口服QD，按柠蒎肠溶软胶0.3g口服TID</t>
  </si>
  <si>
    <t>宋桂兰</t>
  </si>
  <si>
    <t>消化道出血、食管静脉曲张伴有出血、乙型肝炎后肝硬化失代偿期、慢性迁延性乙型病毒性肝炎、慢性胃炎、右侧胸腔积液、低蛋白血症、肝性脑病、电解质代谢紊乱、凝血功能异常、支气管炎</t>
  </si>
  <si>
    <t>兰索拉唑口崩片30mg口服QD，螺内酯片20mg口服BID，乳果糖口服溶液15ml口服QD，恩替卡韦分散片0.5mg口服QD，左氧氟沙星片0.5g口服QD，羧甲司坦口服溶液10ml口服TID，利可君片20mg口服TID，熊去氧胆酸胶囊250mg口服BID，复方氨基酸胶(8-11)2粒口服TID</t>
  </si>
  <si>
    <t>消化道出血、出血性外痔、酒精性肝硬化失代偿期、酒精性肝硬化失代偿期伴胃底静脉曲张套扎术后、脾功能亢进、中度贫血、白细胞减少、血小板减少、慢性肾脏病4期、代谢性酸中毒、肾性贫血、腹腔积液、胸腔积液、急性下呼吸道感染、支气管炎、低T3综合征、2型糖尿病、高血压3级（极高危）、充血性心衰</t>
  </si>
  <si>
    <t>头孢地尼胶囊0.1g口服TID，乳果糖口服溶液15ml口服TID，愈美片200mg口服TID，硝苯地平控释片30mg口服QD，(金)卡维地洛片2.5mg口服QD，泮托拉唑钠肠溶片40mg口服QD，托拉塞米20mg口服QD(自备)</t>
  </si>
  <si>
    <t>岳金彪</t>
  </si>
  <si>
    <t>酒精性肝硬化、肝硬化失代偿期、腹水、肝硬化伴食管静脉曲张、脾术后、肝性脑病、泌尿道感染</t>
  </si>
  <si>
    <t>(瑞)雷贝拉唑钠肠溶片10mg口服QD，腺苷蛋氨酸肠溶片0.5g口服QD，复方氨基酸胶囊(8-11)2粒口服TID，利福昔明片0.2g口服BID，螺内酯片40mg口服BID，呋塞米20mg口服qd(自备)</t>
  </si>
  <si>
    <t>李印华</t>
  </si>
  <si>
    <t>食管胃底静脉曲张破裂出血、肝硬化失代偿期？肝性脑病、脾功能亢进、低蛋白血症、贫血肝静脉-下腔静脉阻塞？急性下呼吸道感染</t>
  </si>
  <si>
    <t>乳果糖口服溶液15ml口服BID，兰索拉唑口崩片30mg口服QD，复方氨基酸胶囊(8-11)2粒口服TID，多烯磷脂酰胆碱胶囊456mg口服TID</t>
  </si>
  <si>
    <t>李广起</t>
  </si>
  <si>
    <t>肝硬化失代偿期（酒精性肝硬化）、肝肾综合征、脾大、腹腔积液、门静脉高压、肝硬化伴食管胃底静脉曲张破裂出血、肾功能异常、电解质代谢紊乱、低蛋白血症、贫血、血小板减少、肝功能异常、陈旧性脑梗、陈旧性脑出血、胃穿孔术后</t>
  </si>
  <si>
    <t>梁桂荣</t>
  </si>
  <si>
    <t>肝硬化伴胃底静脉曲张破裂出血、原发性胆汁性肝硬化、自身免疫性肝炎、再生障碍性贫血</t>
  </si>
  <si>
    <t>泮托拉唑钠肠溶片40mg口服QD，熊去氧胆酸胶囊250mg口服TID，利可君片20mg口服TID，磷酸铝凝胶20g口服BID，枯草杆菌二联活菌肠溶胶囊500mg口服TID,环孢素50mg口服TID(自备)</t>
  </si>
  <si>
    <t>王和君</t>
  </si>
  <si>
    <t>消化道出血，十二指肠球部溃疡，肝硬化失代偿期，门静脉高压，脾大，食管胃底静脉曲张，脾大，食管静脉曲张套扎术后，酒精性肝病，结肠糜烂，门静脉血栓形成，肠系膜静脉血栓形成，慢性胃炎，中度贫血，低蛋白血症，内痔，高血压2级（中危），单纯性肾囊肿（双侧)</t>
  </si>
  <si>
    <t>2艾司奥美拉唑镁肠溶片40mg口服BID，硝苯地平控释片30mg口服QD，硫普罗宁肠溶片0.1g口服TID，2瑞巴派特片0.1g口服TID(餐前)</t>
  </si>
  <si>
    <t>孔维世</t>
  </si>
  <si>
    <t>消化道出血、食管胃底静脉曲张破裂出血？门脉高压性胃肠病？乙型肝炎后肝硬化失代偿期、脾功能亢进</t>
  </si>
  <si>
    <t>无出院带药，嘱继续服用抗病毒药物</t>
  </si>
  <si>
    <t>张有强</t>
  </si>
  <si>
    <t>上消化道出血、肝硬化伴食管胃底静脉曲张破裂出血、门脉高压性胃肠病、自身免疫性肝炎？酒精性肝硬化、贫血、低钙血症</t>
  </si>
  <si>
    <t>熊去氧胆酸胶囊250mg口服TID，(波)雷贝拉唑钠肠溶片10mg口服QD</t>
  </si>
  <si>
    <t>刘凤梅</t>
  </si>
  <si>
    <t>消化道出血、食管或胃底静脉曲张破裂出血？门脉高压性胃肠病、肝硬化伴食管胃底静脉曲张（乙肝后）、2型糖尿病、高血压3级（极高危）</t>
  </si>
  <si>
    <t>兰索拉唑口崩片30mg口服QD，阿卡波糖片50mg口服TID，(金)卡维地洛片2.5mg口服BID</t>
  </si>
  <si>
    <t>消化道出血、肝硬化失代偿期、胃底静脉曲张破裂出血、胃底静脉曲张组织胶术后、门静脉高压、门脉高压性胃肠病、十二指肠球炎、2型糖尿病、高血压3级</t>
  </si>
  <si>
    <t>孙伟</t>
  </si>
  <si>
    <t>克雷伯杆菌败血症，消化道出血，酒精性肝硬化伴食管胃底静脉曲张破裂出血套扎术后，食管炎，酒精性肝硬化失代偿期，低蛋白血症，脾功能亢进，肺部感染，肺气肿，陈旧性腹腔结核，陈旧性胸膜结核，股骨头无菌性坏死</t>
  </si>
  <si>
    <t>利可君片20mg口服TID，兰索拉唑口崩片30mg，双环醇片50mg口服TID，头孢地尼胶囊0.1g口服TID</t>
  </si>
  <si>
    <t>张国祥</t>
  </si>
  <si>
    <t>消化道出血，食管胃底静脉曲张破裂出血？肝硬化失代偿期，腹水，脾功能亢进，贫血，自身免疫性肝炎,肾功能异常，低蛋白血症、</t>
  </si>
  <si>
    <t>头孢地尼1片口服 TID，兰索拉唑 30mg口服 QD,螺内酯片 20mg口服 BID，氯化钾缓释片 1g口服 BID，呋塞米 1片 口服 QD</t>
  </si>
  <si>
    <t>卞学军</t>
  </si>
  <si>
    <t>消化道出血，胃溃疡，结肠溃疡，肝硬化失代偿期，腹腔积液，EB病毒感染，中毒贫血，低蛋白血症，慢性肾盂肾炎，通风</t>
  </si>
  <si>
    <t>(瑞)雷贝拉唑钠肠溶片10mg口服QD，乳果糖口服溶液15ml口服TID，康复新液100ml口服TID，多烯磷脂酰胆碱胶囊456mg口服TID</t>
  </si>
  <si>
    <t>杨秋先</t>
  </si>
  <si>
    <t>亚急性肝衰、肝硬化失代偿期、酒精性肝硬化?肝静脉-下腔静脉阻塞、凝血功能异常、腹腔积液、低蛋白血症、肺部感染、心功能不全、慢性胃炎、食管炎、直肠粘膜脱垂</t>
  </si>
  <si>
    <t>甘草酸二胺肠溶胶囊3#TID，熊去氧胆酸250mgTID，甲钴胺1#TID，泮托拉唑1#QD，头孢地尼1#TID，利尿剂根据尿量调整，继续补充叶酸/B12</t>
  </si>
  <si>
    <t>王东来</t>
  </si>
  <si>
    <t>酒精性肝硬化失代偿期</t>
  </si>
  <si>
    <t>螺内酯片40mg口服BID，利福昔明片0.2g口服QID，复方氨基酸胶囊(8-11)2粒口服TID，熊去氧胆酸胶囊250mg口服TID，泮托拉唑钠肠溶片40mg口服BID，乳果糖口服溶液15ml口服TID</t>
  </si>
  <si>
    <t>宋伟</t>
  </si>
  <si>
    <t>胃底静脉曲张伴出血、丙型肝炎后肝硬化失代偿期、酒精性肝硬化、低钾血症、糖尿病？陈旧性脑梗死、股骨头无菌性坏死</t>
  </si>
  <si>
    <t>兰索拉唑口崩片30mg口服QD，多烯磷脂酰胆碱胶囊456mg口服TID，磷酸铝凝胶20g口服TID</t>
  </si>
  <si>
    <t>李海深</t>
  </si>
  <si>
    <t>肝硬化失代偿期，腹水，低蛋白血症，贫血，凝血功能异常，腹腔感染，肝硬化伴食管静脉曲张套扎术后，电解质代谢紊乱</t>
  </si>
  <si>
    <t>毛文广</t>
  </si>
  <si>
    <t>乙型肝炎后肝硬化失代偿期、脾亢、肝功能异常、低蛋白血症、贫血、血小板减少、肠道菌群失调、膝关节后十字韧带损伤</t>
  </si>
  <si>
    <t>复方氨基酸胶(8-11)2粒口服TID，熊去氧胆酸胶囊250mg口服TID，(国)恩替卡韦分散片0.5mg口服QD，乳果糖口服溶液15ml口服BID，复方嗜酸乳杆菌片1g口服TID</t>
  </si>
  <si>
    <t>刘学芳</t>
  </si>
  <si>
    <t>急性胰腺炎、原发性胆汁性肝硬化、自身免疫性肝炎、肝功能不全、冠心病、心力衰竭、房颤、肺感染、胸腔积液、高血压3级、低蛋白血症</t>
  </si>
  <si>
    <t>乳果糖口服溶液15ml口服TID，兰索拉唑口崩片30mg口服QD，螺内酯片20mg口服BID，呋塞米20mg口服QD，熊去氧胆酸胶囊250mg口服BID，唑吡坦片10mg口服QN，头孢地尼胶囊0.1g口服TID，欣康20mg口服BID，络活喜2.5mg口服QD，地高辛0.125mg口服QD</t>
  </si>
  <si>
    <t>温克明</t>
  </si>
  <si>
    <t>肝硬化失代偿期、肝性脑病、脾亢、低蛋白血症、胃底静脉曲张、结肠息肉、慢性息肉、食管炎</t>
  </si>
  <si>
    <t>兰索拉唑口崩片30mg口服QD，利福昔明片0.2g口服QID，乳果糖口服溶液15ml口服，熊去氧胆酸胶囊250mg口服TID，复方氨基酸胶囊(8-11）2粒口服TID</t>
  </si>
  <si>
    <t>吴秀兰</t>
  </si>
  <si>
    <t>食管胃底静脉曲张破裂出血、肝硬化失代偿期、低蛋白血症、腹水、脾亢、凝血功能异常、肺炎、电解质代谢紊乱</t>
  </si>
  <si>
    <t>兰索拉唑口崩片30mg口服QD，熊去氧胆酸胶囊250mg口服QD，磷酸铝凝胶20g口服BID，螺内酯片20mg口服QD</t>
  </si>
  <si>
    <t>娄立柱</t>
  </si>
  <si>
    <t>肝功能异常、药物性肝损害、酒精性肝硬化、自身免疫性肝炎？、胆汁淤积肝炎、十二指肠溃疡、慢性胃炎、糖尿病、多发性结肠息肉</t>
  </si>
  <si>
    <t>(波)雷贝拉唑钠肠溶片10mg口服QD，熊去氧胆酸胶囊250mg口 服TID，多烯磷脂酰胆碱胶囊228mg口服TID，康复新液10ml口服TID，复方嗜酸乳杆菌片1g口服TID</t>
  </si>
  <si>
    <t>丛桂芬</t>
  </si>
  <si>
    <t>消化道出血、食管静脉出血伴有出血、肝硬化失代偿期、2型糖尿病、冠状动脉性心脏病、高血压3级</t>
  </si>
  <si>
    <t>(瑞)雷贝拉唑钠肠溶片10mg口服QD，瑞巴派特片0.1g口服TID，多烯磷脂酰胆碱胶囊228mg口服TID，复方氨基酸胶囊(8-11)2粒口服TID，生血宁片0.5g口服BID</t>
  </si>
  <si>
    <t>马守金</t>
  </si>
  <si>
    <t>消化道出血、食管胃底静脉曲张破裂出血、酒精性肝硬化、慢性胃炎</t>
  </si>
  <si>
    <t>琥珀酸美托洛尔缓释片47.5mg口服QD，兰索拉唑口崩片30mg口服QD</t>
  </si>
  <si>
    <t>酒精性肝硬化、肝硬化失代偿期、腹水、肝硬化伴食管静脉曲张、脾术后、肝性脑病、低蛋白血症、凝血功能障碍、脾术后</t>
  </si>
  <si>
    <t>（波)雷贝拉唑钠肠溶片10mg口服QD，复方氨基酸胶囊(8-11)2粒口服TID，乳果糖口服溶液15ml口服TID，熊去氧胆酸胶囊250mg口服TID，多烯磷脂酰胆碱胶囊456mg口服TID,呋塞米片20mg qd(自备)，螺内酯40mg bid(自备)</t>
  </si>
  <si>
    <t>蔡润贵</t>
  </si>
  <si>
    <t>食管胃底静脉曲张破裂出血、丙型肝炎后肝硬化失代偿期、门脉高压性胃肠病、脾大、低蛋白血症、贫血、腹水、硬化性肠系膜炎？胆囊结石、胆囊炎、肺部感染</t>
  </si>
  <si>
    <t>(波)雷贝拉唑钠肠溶片10mg口服QD，康复新液10ml口服TID，磷酸铝凝胶20g口服BID，复方氨基酸胶囊(8-11)2粒口服TID，硫普罗宁肠溶片0.2g口服TID</t>
  </si>
  <si>
    <t>李淑芬</t>
  </si>
  <si>
    <t>2020//4/6</t>
  </si>
  <si>
    <t>肝硬化失代偿期、门静脉高压、脾大、脾功能亢进、肝硬化伴食管胃底静脉曲张、腹水、低蛋白血症、肝内胆管结石（多发）、贫血、肺部感染</t>
  </si>
  <si>
    <t>腺苷蛋氨酸肠溶片1g口服QD，螺内酯片20mg口服BID，复方氨基酸胶囊(8-11)2粒口服TID，米曲菌胰酶24mg口服TID，利福昔明片0.2g口服QID，头孢地尼胶囊0.1g口服TID</t>
  </si>
  <si>
    <t>李玉梅</t>
  </si>
  <si>
    <t>丙肝肝硬化伴食管静脉曲张、腹水、低蛋白血症、贫血、2型糖尿病、胃术后、剖宫产个人史</t>
  </si>
  <si>
    <t>复方氨基酸胶囊(8-11)2粒口服TID，2甘草酸二铵肠溶胶囊150mg口服TID，螺内酯片40mg口服BID，(自备)乳果糖口服溶液15ml口服TID，曲美布汀片0.1g口服TID，(自备)兰索拉唑口崩片30mg口服</t>
  </si>
  <si>
    <t>张秀如</t>
  </si>
  <si>
    <t>肝硬化失代偿期、药物性肝硬化？腹腔积液、低蛋白血症、脾功能亢进、心功能不全、甲亢、压疮。脐疝</t>
  </si>
  <si>
    <t>(波)雷贝拉唑钠肠溶片10mg口服QD，复方氨基酸胶囊(8-11)2粒口服TID，头孢地尼胶囊0.1g口服TID，(欣)单硝酸异山梨酯片20mg口服QD，多烯磷脂酰胆碱胶囊456mg口服TID，螺内酯40mg口服BID(自备)，呋塞米20mg口服BID(自备)，氯化钾口服液10ml口服BID(自备)</t>
  </si>
  <si>
    <t>刘长芬</t>
  </si>
  <si>
    <t>肝硬化失代偿期、腹水、脾功能亢进、食管胃底静脉曲张、中度贫血、冠心病、糖尿病、胆结石、肾功能异常、高尿酸血症</t>
  </si>
  <si>
    <t>螺内酯片40mg口服BID，康复新液10ml口服TID，(波)雷贝拉唑钠肠溶片10mg口服QD，复方氨基酸胶囊(8-11)1粒口服TID，托拉塞米(自备)5mg口服BID</t>
  </si>
  <si>
    <t>刘福华</t>
  </si>
  <si>
    <t>肝硬化失代偿期（药物？自免？）、红皮病性银屑病、胆囊结石、低蛋白血症、贫血、自发性腹膜炎、直肠占位、腹腔积液、盆腔积液、脾大</t>
  </si>
  <si>
    <t>熊去氧胆酸胶囊250mg口服TID，多烯磷脂酰胆碱胶囊456mg口服TID，利福昔明片0.4g口服TID，米曲菌胰酶24mg口服TID，西甲硅油乳剂40mg口服QD</t>
  </si>
  <si>
    <t>杨曙涛</t>
  </si>
  <si>
    <t>食管胃底静脉曲张破裂出血、乙肝肝硬化失代偿期、门静脉高压、脾功能亢进、肝结节、肝囊肿</t>
  </si>
  <si>
    <t>李淑霞</t>
  </si>
  <si>
    <t>自免肝肝硬化失代偿、食管静脉曲张伴出血、脾大、腹水</t>
  </si>
  <si>
    <t>乳果糖口服溶液15ml口服QD，熊去氧胆酸胶囊250mg口服TID，磷酸铝凝胶20g口服BID，艾司奥美拉唑镁肠溶片40mg口服QD，米曲菌胰酶48mg口服TID</t>
  </si>
  <si>
    <t>丙肝肝硬化失代偿期、食管静脉曲张破裂出血、门静脉高压、低蛋白血症、冠心病、高血压、糖尿病、三系减少</t>
  </si>
  <si>
    <t>（瑞)雷贝拉唑钠肠溶片10mg口服QD，生血宁片0.5g口服BID，2(TPF-D)肠内营养乳剂500ml口服QD</t>
  </si>
  <si>
    <t>l</t>
  </si>
  <si>
    <t>张桂珍</t>
  </si>
  <si>
    <t>隐源性肝硬化失代偿期、脾大、门静脉高压、门静脉血栓形成、低蛋白血症、凝血功能异常、电解质代谢紊乱、白细胞减少、血小板减少</t>
  </si>
  <si>
    <t>螺内酯片40mg口服BID，乳果糖口服溶液15ml口服TID，利福昔明片0.4g口服BID，米曲菌胰酶24mg口服TID，腺苷蛋氨酸肠溶片1g口服BID，泮托拉钠肠溶片40mg口服QD，呋塞米片20mg口服BID</t>
  </si>
  <si>
    <t>杨继安</t>
  </si>
  <si>
    <t>肝硬化失代偿（自免肝？）、脾功能亢进、主动脉瓣狭窄、胃底静脉曲张曲张组织胶及硬化治疗术后、食管胃底静脉曲张破裂出血套扎术后、高血压2级（极高危）、阵发性室上性心动过速</t>
  </si>
  <si>
    <t>2甘草酸二铵肠溶胶囊150mg口服TID，泮托拉唑钠肠溶片40mg口服QD</t>
  </si>
  <si>
    <t>刘起珍</t>
  </si>
  <si>
    <t>肝硬化失代偿期（自免肝？）、食管静脉曲张不伴有出血、门脉高压性胃肠病、腹腔积液（肝前）、高血压2级（高危）、胆囊切除术后、子宫切除术</t>
  </si>
  <si>
    <t>少量</t>
  </si>
  <si>
    <t>(金)卡维地洛片10mg口服QD，多烯磷脂酰胆碱胶囊456mg口服TID，熊去氧胆酸胶囊250mg口服TID，螺内酯片20mg口服QD，(瑞)雷贝拉唑钠肠溶片10mg口服QD</t>
  </si>
  <si>
    <t>徐海水</t>
  </si>
  <si>
    <t>乙肝肝硬化失代偿期、消化道出血、门静脉高压、食管静脉曲张、支气管炎、高血压1级、糖尿病、甲减、脾大</t>
  </si>
  <si>
    <t>复方氨基酸胶囊(8-11)2粒口服TID，复方嗜酸乳杆菌片1g口服TID，(波)雷贝拉唑钠肠溶片10mg 口服QD</t>
  </si>
  <si>
    <t>李青烜</t>
  </si>
  <si>
    <t>乙肝肝硬化失代偿期、低蛋白血症、肾炎综合征、腹膜炎、胆囊结石、高血压、脾术后</t>
  </si>
  <si>
    <t>中量</t>
  </si>
  <si>
    <t>多烯磷脂酰胆碱胶囊456mg口服TID，呋塞米20mg口服QD(自备)，螺内酯片20mg口服BID，黄葵胶囊2.5g口服TID，复方氨基酸胶囊(8-11)1粒口服TID，恩替卡韦片0.5mg口服QD，坎地沙坦酯片8mg口服QD,(络)苯磺酸氨氨地平片5mg口服QD，复方嗜酸乳杆菌片1g口服TID，(波)雷贝拉唑钠肠溶片10mg口服QD</t>
  </si>
  <si>
    <t>2020.5.11</t>
  </si>
  <si>
    <t>自身免疫性肝炎后肝硬化、食管胃底静脉曲张、腹腔积液、胸腔积液、肾功能异常、低蛋白血症、脾大、2型糖尿病、高血压、子宫切除术后</t>
  </si>
  <si>
    <t>螺内酯片40mg口服BID，呋塞米片20mg口服TID，泮托拉唑钠肠溶片40mg口服QD，复方氨基酸胶(8-11)2粒口服TID，伊托必利片50mg口服TID，头孢地尼胶囊0.1g口服TID，氧化钾口服溶液10ml口服TID(自备)，尿毒清颗粒1袋口服QID</t>
  </si>
  <si>
    <t>徐奇志</t>
  </si>
  <si>
    <t>2020.5.14</t>
  </si>
  <si>
    <t>乙肝、酒精肝肝硬化失代偿期、食管胃底静脉曲张、门脉高压性胃肠病、慢性迁延性乙型肝炎、2糖尿病、高脂血症、高尿酸血症、腹腔积液、脾大、胆囊结石、高血压</t>
  </si>
  <si>
    <t>恩替卡韦片0.5mg口服QD，螺内酯片20mg口服QD，非诺贝特胶囊0.2g口服QD，2艾司奥美拉唑镁肠溶片40mg口服QD，(金)卡维地洛片10mg口服QD，呋塞米20mg口服QD自备，依折麦布10mg口服QD自备</t>
  </si>
  <si>
    <t>王芝艳</t>
  </si>
  <si>
    <t>肝硬化失代偿期（自免肝？隐源性？）、幽门溃疡伴出血、腹腔积液、脾亢、肝囊肿、胆结石、胆囊炎</t>
  </si>
  <si>
    <t>2艾司奥美拉唑镁肠溶片40mg口服QD，磷酸铝凝胶20g口服BID，康复新液10ml口服TID，米曲菌胰酶48mg口服TID</t>
  </si>
  <si>
    <t>朱振玲</t>
  </si>
  <si>
    <t>乙肝肝硬化失代偿期、门脉高压性胃病、脾亢、冠心病、心功能2级、2型糖尿病、十二指肠憩室、单纯性肾囊肿、脐疝、低蛋白血症、腹腔积液、慢性肾病</t>
  </si>
  <si>
    <t>大量</t>
  </si>
  <si>
    <t>螺内酯片60mg口服BID，雷贝拉唑钠肠溶片10mg口服QD，乳果糖口服溶液15ml口服BID，复方氨基酸胶囊(8-11)2粒 口服 BID，米曲菌胰酶24mg口服TID</t>
  </si>
  <si>
    <t>刘荣杰</t>
  </si>
  <si>
    <t>肝硬化失代偿（酒精肝？自免肝？）、腹腔积液、低蛋白血症、慢性肾衰竭、2型糖尿病、贫血</t>
  </si>
  <si>
    <t>复方氨基酸胶囊(8-11)2粒口服TID，2艾司奥美拉唑镁肠溶片40mg口服QD，头孢地尼胶囊0.1g口服TID</t>
  </si>
  <si>
    <t>韩香菊</t>
  </si>
  <si>
    <t>肝硬化失代偿期（自身免疫性肝炎？）腹水、低蛋白血症、慢性胃炎、肝囊肿、慢阻肺</t>
  </si>
  <si>
    <t>(波)雷贝拉唑钠肠溶片10mg口服QD，多烯磷脂酰胆碱胶囊456mg，熊去氧胆酸胶囊250mg口服TID，复方氨基酸胶囊(8-11)2粒口服，米曲菌胰酶24mg口服TID</t>
  </si>
  <si>
    <t>张红梅</t>
  </si>
  <si>
    <t>乙肝肝硬化失代偿期、食管胃底静脉曲张、全血细胞减少、脾大、脾亢、门静脉高压、凝血功能异常、胆囊息肉</t>
  </si>
  <si>
    <t>杨域敏</t>
  </si>
  <si>
    <t>原发性胆汁性肝硬化、食管静脉曲张破裂出血、低蛋白血症、腹腔积液（大量）、脾亢黄疸、高脂血症、门静脉血栓形成</t>
  </si>
  <si>
    <t>乳果糖口服溶液15ml口服BID，熊去氧胆酸胶囊250mg口服TID，2甘草酸二铵肠溶胶囊100mg口服TID，(波)雷贝拉唑钠肠溶片10mg口服QD，螺内酯片20mg口服BID，呋塞米20mg口服BID(自备)，骨化三醇0.25ug口服QD(自备)。</t>
  </si>
  <si>
    <t>刘振琪</t>
  </si>
  <si>
    <t>酒精性肝硬化失代偿期、消化道出血、胃间质瘤、脾大、贫血、低蛋白血症</t>
  </si>
  <si>
    <t>冯建娥</t>
  </si>
  <si>
    <t>肝硬化失代偿期、食管胃底静脉曲张、腹水、低蛋白血症、慢性胃炎、结肠憩室、2型糖尿病</t>
  </si>
  <si>
    <t>多烯磷脂酰胆碱胶囊456mg口服TID，螺内酯片40mg口服BID，复方氨基酸胶囊(8-11)2粒口服TID，生血宁片0.5g口服TID，(波)雷贝拉唑钠肠溶片10mg口服QD，呋塞米片20mg口服QD</t>
  </si>
  <si>
    <t>滑福英</t>
  </si>
  <si>
    <t xml:space="preserve">    2020.5.7</t>
  </si>
  <si>
    <t>自身免疫性肝炎-原发性胆汁胆管炎重叠综合征、肝硬化、直肠恶性肿瘤、脾亢、甲减、糖尿病、慢性胆囊炎、胃息肉、结肠息肉</t>
  </si>
  <si>
    <t>陈鸿滨</t>
  </si>
  <si>
    <t>乙肝肝硬化、食管胃底静脉曲张、陈旧性脑梗死、2型糖尿病</t>
  </si>
  <si>
    <t>兰索拉唑口崩片30mg口服QD，磷酸铝凝胶20g口服BID，生血宁片0.5g口服BID，乳果糖口服溶液15ml口服TID</t>
  </si>
  <si>
    <t>刘淑平</t>
  </si>
  <si>
    <t>乙肝肝硬化、亚急性肝衰、胆囊肿瘤、胆囊肿瘤、胆囊炎</t>
  </si>
  <si>
    <t>(瑞)雷贝拉唑钠肠溶片10mg口服QD，熊去氧胆酸胶囊250mg口服TID，恩替卡韦片0.5mg口服QD，强力定眩片0.7g口服TID，复方氨基酸胶囊(8-11)2粒口服TID</t>
  </si>
  <si>
    <t>于生</t>
  </si>
  <si>
    <t>隐源性肝硬化、特发性门脉高压、脾大、脾亢、特发性血小板减少性紫癜、高脂血症、痛风、高血压2级</t>
  </si>
  <si>
    <t>2艾司奥美拉唑镁肠溶片40mg口服QD，阿卡波糖片50mg口服TID，瑞舒伐他汀钙片5mg口服QN，甲泼尼龙片8mg口服QD，氯化钾缓释片0.5g口服TID(自备)</t>
  </si>
  <si>
    <t>郭英强</t>
  </si>
  <si>
    <t>肝硬化、肺心病、重度贫血、MDS?、2型糖尿病、腹腔积液、低蛋白血症</t>
  </si>
  <si>
    <t>复方氨基酸胶囊(8-11)2粒口服TID，利可君片20mg口服TID，孟鲁司特钠片10mg口服QN，头孢地尼胶囊0.1g口服TID，螺内酯片40mg口服BID，单硝酸异山梨酯片20mg口服QD，唑吡坦片5mg口服QN，利福昔明片0.4g口服BID</t>
  </si>
  <si>
    <t>酒精性肝硬化失代偿期、门静脉高压、食管胃底静脉曲张套扎术后、脾大、门静脉血栓形成、肠系膜静脉血栓形成、胃溃疡、慢性胃炎、高血压2级、单纯性肾囊肿</t>
  </si>
  <si>
    <t>生血宁片0.5g口服BID，乳果糖口服溶液15ml口服TID，(金)卡维地洛片2.5mg 口服QD，2甘草酸二铵肠溶胶囊150mg口服TID，康复新液10ml口服TID，硝苯地平控释片30mg口服QD，(瑞)雷贝拉唑钠肠溶片10mg口服 QD</t>
  </si>
  <si>
    <t>孙秉华</t>
  </si>
  <si>
    <t>乙肝肝硬化失代偿期、食管胃底静脉曲张破裂出血、门静脉高压、肠系膜上静脉血栓形成、脾亢、肝囊肿</t>
  </si>
  <si>
    <t>磷酸铝凝胶20g口服BID，乳果糖口服溶液15ml口服BID，艾司奥美拉唑镁肠溶片40mg口服QD，恩替卡韦(自备)0.5mg口服QD</t>
  </si>
  <si>
    <t>肝硬化失代偿期、亚急性肝衰、腹腔积液、低蛋白血症</t>
  </si>
  <si>
    <t>泮托拉唑钠肠溶片40mg口服QD，米曲菌胰酶24mg口服TID，腺苷蛋氨酸肠溶片0.5g口服TID，螺内酯片20mg口服BID，呋塞米片20mg口服QD，甲钻胺(自备)，叶酸片(自备)</t>
  </si>
  <si>
    <t>魏桂琴</t>
  </si>
  <si>
    <t>肝硬化失代偿期（自免肝？）、食管胃底静脉曲张、腹水、脾大、血小板减少、低蛋白血症、贫血</t>
  </si>
  <si>
    <t>米曲菌胰酶48mg口服TID，螺内酯片20mg口服BID，熊去氧胆酸胶囊250mg口服TID，双环醇片50mg口服TID，复方氨基酸胶囊(8-11)2粒口服TID，(瑞)雷贝拉唑钠肠溶片10mg口服QD，呋塞米20mg QD</t>
  </si>
  <si>
    <t>肝硬化失代偿期、腹水、贫血、低蛋白血症、高血压2级、2型糖尿病</t>
  </si>
  <si>
    <t>托拉塞米片40mg口服QD，螺内酯片20mg口服BID，生血宁片0.5g口服TID，兰索拉唑口崩片30mg口服QD，磷酸铝凝胶20g口服BID，硝苯地平控释片30mg口服QD，氯化钾片1gTID(自备)</t>
  </si>
  <si>
    <t>边文英</t>
  </si>
  <si>
    <t>酒精性肝硬化失代偿、自免肝？肝功能异常、门脉高压性胃肠病、低蛋白血症、血小板减少、轻度贫血、凝血功能异常</t>
  </si>
  <si>
    <t>米曲菌胰酶48mg口服TID，乳果糖口服溶液15ml口服TID，螺内酯片20mg口服BID，熊去氧胆酸胶囊250mg口服TID，(瑞)雷贝拉唑钠肠溶片10mg口服QD，呋塞米20mgQD</t>
  </si>
  <si>
    <t>张源愈</t>
  </si>
  <si>
    <t>乙肝肝硬化失代偿期、凝血功能异常、低蛋白血症、全血细胞减少、腹水、脾大、肝血管瘤？脾海绵状血管瘤？脾淋巴管瘤？</t>
  </si>
  <si>
    <t>恩替卡韦片0.5mg口服QD，复方氨基酸胶囊(8-11)2粒口服TID，螺内酯片20mg口服BID，呋塞米片20mg口服QD，利可君片20mg口服TID，(波)雷贝拉唑钠肠溶片10mg口服QD，左甲状腺素钠片12.5ug口服GD(自备)</t>
  </si>
  <si>
    <t>吴顺朝</t>
  </si>
  <si>
    <t>酒精性肝硬化失代偿期、食管静脉曲张、腹水、脾大、低蛋白血症、免疫球蛋白升高、2型糖尿病</t>
  </si>
  <si>
    <t>雷贝拉唑钠肠溶片10mg口服QD，螺内酯片40mg口服 BID，乳果糖口服溶液15ml口服 BID，甘草酸二铵肠溶胶囊50mg口服TID，熊去氧胆酸胶囊250mg口服 TID，米曲菌胰酶24mg口服TID</t>
  </si>
  <si>
    <t>沈艳芳</t>
  </si>
  <si>
    <t>自身免疫性肝炎后肝硬化失代偿、食管胃底静脉曲张破裂出血、溃疡性结肠炎、慢性胃炎、脾术后、门静脉血栓、胆囊术后、再生障碍性贫血</t>
  </si>
  <si>
    <t>康复新液10ml口服TID</t>
  </si>
  <si>
    <t>强宝玉</t>
  </si>
  <si>
    <t>乙肝肝硬化、肝衰竭、肝性脑病、肾衰竭、肝肾综合征、腹腔积液、低蛋白血症、电解质代谢紊乱、凝血功能异常、胆囊结石、冠心病、高血压3级、骨关节炎</t>
  </si>
  <si>
    <t>曾小青</t>
  </si>
  <si>
    <t>PBC、肝硬化失代偿、食管静脉曲张破裂出血、慢性胃炎、2型糖尿病、全身硬皮病、肝占位？、直肠皮赘</t>
  </si>
  <si>
    <t>复方嗜酸乳杆菌片1g口服TID，多烯磷脂酰胆碱胶囊456mg口服TID，熊去氧胆酸胶囊250mg口服TID，(波)雷贝拉唑钠肠溶片10mg口服QD</t>
  </si>
  <si>
    <t>自免肝肝硬化、食管胃底静脉曲张破裂出血、慢性胃炎、溃疡性结肠炎、门静脉血栓形成、胆囊术后、再生障碍性贫血</t>
  </si>
  <si>
    <t>刘美生</t>
  </si>
  <si>
    <t>PBC、肝硬化失代偿、食管静脉曲张破裂、门脉高压性胃肠病、腹腔积液、脾亢、慢性胃炎</t>
  </si>
  <si>
    <t>(自备)呋塞米片20mg1片口服QD，(自备)螺内酯片10mg2片口服QD，(自备)熊去氧胆酸胶囊250mg2粒口服BID</t>
  </si>
  <si>
    <t>赵凤鸣</t>
  </si>
  <si>
    <t>乙肝肝硬化失代偿、脾亢</t>
  </si>
  <si>
    <t>多烯磷脂酰胆碱胶囊456mg口服TID，双环醇片50mg口服TID，恩替卡韦分散片0.5mg口服QD</t>
  </si>
  <si>
    <t>严虹</t>
  </si>
  <si>
    <t>丙肝肝硬化失代偿、胆总管扩张、胃底静脉曲张曲张、慢性胃炎、低钾血症、高血压3级（极高危）</t>
  </si>
  <si>
    <t>施)苯磺酸左氨氨地平片5mg口服QD，熊去氧胆酸胶囊250mg口服QN，匹维溴铵片50mg口服TID</t>
  </si>
  <si>
    <t>2020.6.4</t>
  </si>
  <si>
    <t>肝硬化失代偿期、食管胃底静脉曲张、自身免疫性肝炎-原发性胆汁性胆管炎重叠综合征、门静脉血栓形成、腹腔积液、脾亢、肺部阴影、高尿酸血症</t>
  </si>
  <si>
    <t>熊去氧胆酸胶囊250mg口服BID，2(伊)托拉塞米片5mg口服QD，螺内酯片20mg口服BID，利可君片20mg口服TID，可乐)左氧氟沙星片0.5g口服QD，生血宁片0.5g口服TID，(瑞)雷贝拉唑钠肠溶片10mg口服QD</t>
  </si>
  <si>
    <t>郑恩贵</t>
  </si>
  <si>
    <t>酒精肝失代偿、食管胃底静脉曲张、低蛋白血症、脾大、贫血、血小板减少、血尿、蛋白尿</t>
  </si>
  <si>
    <t>复方嗜酸乳杆菌片1g口服TID，乳果糖口服溶液15ml口服BID，(波)雷贝拉唑钠肠溶片10mg口服QD，甘草酸二铵肠溶胶囊150mg口服TID，螺内酯20mg口服 BID(自备)</t>
  </si>
  <si>
    <t>周广山</t>
  </si>
  <si>
    <t>乙肝肝硬化、食管胃底静脉曲张、脾大、门脉高压、慢性胃炎、贫血、低钾</t>
  </si>
  <si>
    <t>刘开颜</t>
  </si>
  <si>
    <t>自免肝后肝硬化、原发性胆汁型肝硬化、重叠综合征、脾大、食管胃底静脉曲张术后、门脉、肝功能不全、腹腔积液、低蛋白血症。</t>
  </si>
  <si>
    <t>螺内酯片20mg口服BID，呋塞米片20mg口服BID，氧化钾缓释片(自备)1.5g口服BID，熊去氧胆酸胶囊500mg口服BID，艾司奥美拉唑镁肠溶片40mg口服QD，复方氨基酸胶囊(8-11)2粒口服TID，复方嗜酸乳杆菌片0.5g口服TID，(天)醋酸泼尼松片40mg口服QD</t>
  </si>
  <si>
    <t>杨树宝</t>
  </si>
  <si>
    <t>酒精性肝硬化、腹水、脾大、门静脉高压、低蛋白血症、胆囊结石、单纯性肾囊肿、高尿酸血症</t>
  </si>
  <si>
    <t>螺内酯片40mg口服BID，呋塞米片20mg口服BID，复方氨基酸胶囊(8-11)2粒口服TID，(瑞)雷贝拉唑钠肠溶片20mg口服QD，多烯磷脂酰胆碱胶囊456mg口服TID</t>
  </si>
  <si>
    <t>郭凤祥</t>
  </si>
  <si>
    <t>自免肝?酒精肝？肝硬化失代偿、结缔组织病、干燥综合征？、肺肿物待查、低蛋白血症。</t>
  </si>
  <si>
    <t>复方氨基酸胶囊(8-11)2粒口服TID，多烯磷脂酰胆碱胶囊456mg口服TID，瑞)雷贝拉唑钠肠溶片10mg口服BID</t>
  </si>
  <si>
    <t>周玉群</t>
  </si>
  <si>
    <t>原发性胆汁淤积性肝硬化、食管胃底静脉曲张、门脉高压性胃肠病、全血细胞减少、低蛋白血症、脾大、腹水、肝功能异常、胆囊结石、高脂血症、高血压3级（极高危）、2型糖尿病、结缔组织病、溶血性贫血、甲状腺功能减退</t>
  </si>
  <si>
    <t>米曲菌胰酶48mg口服TID，复方嗜酸乳杆菌片1g口服TID，熊去氧胆酸胶囊500mg口服BID，(波)雷贝拉唑钠肠溶片10mg口服QD</t>
  </si>
  <si>
    <t>高峦</t>
  </si>
  <si>
    <t>乙肝肝硬化、肝性脑病（前驱期）、门静脉高压、食管胃底静脉曲张、脾大、脾亢、腹水、胸腔积液、门静脉血栓形成、肠系膜静脉血栓形成、贫血、低蛋白血症、低T3综合征、低钙血症</t>
  </si>
  <si>
    <t>(瑞)雷贝拉唑钠肠溶片20mg口服QD，乳果糖口服溶液15ml口服TID，复方氨基酸胶囊(8-11)2粒口服TID，螺内酯片20mg口服TID，生血宁片0.25g口服TID，恩替卡韦1#QD(自备)，呋塞米20mg口服TID(自备)</t>
  </si>
  <si>
    <t>齐凤娟</t>
  </si>
  <si>
    <t>原发性胆汁性胆管炎、自身免疫性肝炎？肝硬化失代偿、亚急性肝衰、肝性脑病、肝硬化伴食管静脉曲张、消化道出血、右侧股骨颈骨折、低蛋白血症、重度骨质疏松、脐疝、肝囊肿、脾大切除术后、慢性胃炎、腹水</t>
  </si>
  <si>
    <t>（罗)骨化三醇胶丸0.25ug口服BID，钙尔奇D1.5g(两片)BID</t>
  </si>
  <si>
    <t>王茂岐</t>
  </si>
  <si>
    <t>自身免疫性肝硬化？腹水</t>
  </si>
  <si>
    <t>多烯磷脂酰胆碱胶囊228mg口服QD，氯化钾口服溶液20ml口服TID，复方氨基酸胶囊(8-11)2粒口服TID，螺内酯片40mg口服BID，呋塞米片(自备)40mg口服QD，呋塞米片(自备)20mg口服QN，复方嗜酸乳杆菌1g口服TID</t>
  </si>
  <si>
    <t>唐菊兰</t>
  </si>
  <si>
    <t>肝硬化、食管胃底静脉曲张、门脉高压性胃肠病、自身免疫性肝炎？脾亢、全血细胞减少、重度贫血、胃息肉</t>
  </si>
  <si>
    <t>(国)头孢呋辛酯片0.25g口服BID，腺苷蛋氨酸肠溶片0.5g口服BID，熊去氧胆酸胶囊250mg口服QD，2甘草酸二铵肠溶胶囊100mg口服TID，(波)雷贝拉唑钠肠溶片10mg口服QD，利可君片20mg口服TID</t>
  </si>
  <si>
    <t>王瑞山</t>
  </si>
  <si>
    <t>乙肝肝硬化失代偿、消化道出血、腹水、门脉高压、食管胃底静脉曲张、脾大</t>
  </si>
  <si>
    <t>乳果糖口服溶液15mlTID，伊托必利片50mgTID，米曲菌胰48mgTID，利可君片20mgTID，生血宁片0.5gTID，康复新液10mITID，拉米夫定I#QD(自备)，呋塞米40mgTID(自备)，螺内酯40gTID(自备)</t>
  </si>
  <si>
    <t>丁艳杰</t>
  </si>
  <si>
    <t>丙肝肝硬化、腹水、脾大、门脉高压性胃肠病、胆囊结石、高血压2级（中危）、甲状腺功能减退</t>
  </si>
  <si>
    <t>硫普罗宁肠溶片0.2g口服TID，多烯磷脂酰胆碱胶囊456mg口服TID，螺内酯片20mg口服TID，左甲状腺素钠片12.5ug口服QD，呋塞米片20mg口服BID(自备)，双歧杆菌三联活菌肠溶胶囊0.42g口服TID，复方嗜酸乳杆菌片1g口服TID，康复新液10ml口服TID，复方氨基酸胶囊(8-11)2粒口服TID</t>
  </si>
  <si>
    <t>原发性胆汁性肝硬化、食管胃底静脉曲张出血、自免肝？低蛋白血症、电解质代谢紊乱、腹腔积液、高脂血症、</t>
  </si>
  <si>
    <t>(波)雷贝拉唑钠肠溶片10mg口服QD，(伊)托拉塞米片10mg口服QD5mg，螺内酯片20mg口服BID，乳果糖口服溶液15ml口服BID，熊去氧胆酸胶囊250mg口服TID，硫普罗宁肠溶片0.1g口服TID，瑞舒伐他汀钙片10mg口服QN，氯化钾缓释片1g口服BID</t>
  </si>
  <si>
    <t>甄津梅</t>
  </si>
  <si>
    <t>丙肝肝硬化、门静脉高压、食管胃底静脉曲张、贫血、低蛋白血症</t>
  </si>
  <si>
    <t>(波)雷贝拉唑钠肠溶片10mg口服QD，生血宁片0.5g口服BID，复方氨基酸胶囊(8-11)1粒口服TID</t>
  </si>
  <si>
    <t>张淑青</t>
  </si>
  <si>
    <t>肝硬化失代偿期、食管胃底静脉曲张、自身免疫性肝炎？低蛋白血症、类风湿关节炎、2型糖尿病</t>
  </si>
  <si>
    <t>多烯磷脂酰胆碱胶囊456mg口服TID，硫普罗宁肠溶片0.2g口服TID，复方氨基酸胶囊(8-11)2粒口服TID，左甲状腺素钠片12.5ug口服QD，复方甘草酸苷片2片口服TID，诺和锐3010iu皮下10iu(早餐前)-12iu(晚餐前）</t>
  </si>
  <si>
    <t>乙肝肝硬化失代偿、食管静脉曲张破裂出血、胸腔积液、腹腔积液、低蛋白血症、电解质代谢紊乱、贫血</t>
  </si>
  <si>
    <t>（恩替卡韦0.5 Qd，复方氨基酸胶囊2粒 tid，康复新10ml tid，氯化钾缓释片1g tid，兰索拉唑口崩片30mgQd)X7天，利尿药自备</t>
  </si>
  <si>
    <t>刘洪源</t>
  </si>
  <si>
    <t>酒精性肝硬化失代偿期、腹水、低蛋白血症、脾大、电解质代谢紊乱、亚临床甲状腺功能减退症、泌尿系感染、高血压3级、慢性前列腺炎、胆囊术后</t>
  </si>
  <si>
    <t>琥珀酸美托洛尔缓释片47.5mg口服QD，多烯磷脂酰胆碱胶囊456mg口服TID，硫普罗宁肠溶片0.2g口服TID，复方氨基酸胶囊(8-11)2粒口服TID，生血宁片0.25g口服TID，熊去氧胆酸胶囊250mg口服TID，左甲状腺素钠片12.5ug口服QD，乳果糖口服溶液15ml口服TID</t>
  </si>
  <si>
    <t>刘会臧</t>
  </si>
  <si>
    <t>肝硬化失代偿、食管胃底静脉曲张破裂出血、腹水、脾大、全血细胞减少、低蛋白血症、慢性胃炎、肝结节性质待定、胸腔积液双侧、胆囊结石、肺炎</t>
  </si>
  <si>
    <t>(波)雷贝拉唑钠肠溶片10mg口服QD，康复新液10ml口服TID，(金)卡维地洛片5mg口服QD</t>
  </si>
  <si>
    <t>宋宝娜</t>
  </si>
  <si>
    <t>自免肝？药物肝？肝硬化、营养不良、低蛋白血症、低钾血症</t>
  </si>
  <si>
    <t>熊去氧胆酸胶囊250mg口服TID(自备)，米曲菌胰酶24mg口服TID，氯化钾缓释片1g口服QID，醋酸泼尼松片50mg口服QD，泮托拉唑钠肠溶片40mg口服QD，双环醇片25mg口服TID(自备)，钙尔奇D口服QD1片自备，骨化三醇胶囊0.5ug口服QD自备</t>
  </si>
  <si>
    <t>酒精性肝硬化失代偿、肝性脑病（前驱期）、低蛋白血症、腹水、食管静脉曲张、脾术后、上呼吸道感染</t>
  </si>
  <si>
    <t>乳果糖口服溶液15ml口服TID，硫普罗宁肠溶片0.1g口服TID，多烯磷脂酰胆碱胶囊456mg口服TID，熊去氧胆酸胶囊250mg口服TID，(波)雷贝拉唑钠肠溶片10mg口服QD，伊托必利片50mg口服TID，米曲菌胰酶24mg口服TID，羧甲司坦口服溶液10ml口服TID，氯化钾缓释片lg口服BID，复方氨基酸胶囊(8-11)1粒口服TID</t>
  </si>
  <si>
    <t>酒精性肝硬化、自免肝？、腹水、门静脉高压性胃肠病、食管胃底静脉曲张、脾亢、低蛋白血症、2型糖尿病</t>
  </si>
  <si>
    <t>(熊去氧胆酸胶囊250mgTID，复方氨基酸胶囊(8-11)2粒口服TID，螺内酯片20mgBID，氯化钾缓释片1g口服 Bid，腺苷蛋氨酸肠溶片1g口服QD，呋塞米20mg Qd)x7天</t>
  </si>
  <si>
    <t>钱浩扬</t>
  </si>
  <si>
    <t>先天性肝硬化（进行性家族性肝内胆汁淤积2型）、原发性硬化性胆管炎？自身免疫性肝硬化？</t>
  </si>
  <si>
    <t>熊去氧胆酸胶囊250mgTID，复方甘草酸苷片3片TID，维生素D(自备)</t>
  </si>
  <si>
    <t>朝鲁</t>
  </si>
  <si>
    <t>酒精性肝硬化、门静脉高压、脾功能亢进、胃底静脉曲张、腹水、陈旧脑梗、慢性胃炎、自发性腹膜炎？</t>
  </si>
  <si>
    <t>乳果糖口服溶液15ml口服TID，氯化钾口服溶液10ml口服BID，呋塞米片20mg口服QD，螺内酯片20mg口服BID，左氧氟沙星片0.5g口服QD，甲硝唑片0.6g口服TID，布拉氏酵母菌散(自备)2袋BID</t>
  </si>
  <si>
    <t>李静</t>
  </si>
  <si>
    <t>丙肝肝硬化失代偿期、胃底静脉曲张、脾亢、宫颈上皮内肿瘤、甲减、肝恶性肿瘤术后、脾梗死、胰腺结节</t>
  </si>
  <si>
    <t>(枸橼酸莫沙必利片5mg口服TID，(波)雷贝拉唑钠肠溶片10mg口服QD)x7天，优甲乐62.5mgQd自备</t>
  </si>
  <si>
    <t>邓肃宁</t>
  </si>
  <si>
    <t>酒精性肝硬化失代偿、自发性腹膜炎、腹水、脾大、门静脉高压、胸腔积液、肺部感染、肺动脉高压、低蛋白血症、电解质代谢紊乱、肝囊肿、肝血管瘤、肝结节性质待定、高脂血症、2型糖尿病、陈旧性脑梗死、腹股沟疝左侧</t>
  </si>
  <si>
    <t>螺内酯片20mg口服BID，呋塞米20mg口服bid(自备)，硫普罗宁肠溶片0.2g口服TID，多烯磷脂酰胆碱胶囊228mg口服TID，阿司匹林肠溶片100mg口服Qd，阿托伐他汀钙片20mg口服QN，硝苯地平控释片30mg口服QD，阿卡波糖片50mg口服TID，氧化钾缓释片1g口服BID</t>
  </si>
  <si>
    <t>董剑芳</t>
  </si>
  <si>
    <t>自免肝肝硬化、慢性胃炎、高血压3级极高危、下肢静脉曲张、胆囊术后</t>
  </si>
  <si>
    <t>(波)雷贝拉唑钠肠溶片10mg口服QD，硒酵母片100ug口服BID，气滞胃痛颗粒2.5g口服TID，氟哌噻吨美利曲辛片10.5mg口服QD，康复新液10ml口服TID，甲钴胺片0.5mg口服TID，利可君片 20mgTID</t>
  </si>
  <si>
    <t>自免肝？肝硬化失代偿期、消化道出血、贫血、脾大、门静脉高压、低蛋白血症、肾功能异常、2型糖尿病、高血压2级、细菌性感染、肺结节病待查</t>
  </si>
  <si>
    <t>尿毒清颗粒(无糖型)5g口服TID，2(伊)托拉塞米片5mg口服BID，利格列汀片5mg口服QD，乳果糖口服溶液15ml口服BID，(波)雷贝拉唑钠肠溶片10mg口服QD，生血宁片0.5g口服TID，螺内酯片40mg口服BID</t>
  </si>
  <si>
    <t>赵建英</t>
  </si>
  <si>
    <t>肝衰竭、乙肝肝硬化、脾亢、门静脉高压、肝性脑病、凝血功能障碍、全血细胞减少、低蛋白血症、腹腔积液、胸腔积液、右侧单侧腹股沟疝、低钾血症、白癜风、压疮</t>
  </si>
  <si>
    <t>熊去氧胆酸胶囊250mg口服TID，双环醇片25mg口服TID，利福昔明片0.2g口服TID，腺苷蛋氨酸肠溶片1g口服QD，(2瑞)雷贝拉唑钠肠溶片10mg口服QD，继续口服自备药:氯化钾口服溶液20ml口服BID,富马酸替诺福韦二吡呋酷片300mg口服QD，利可君片20mg口服TID，呋塞米20mg口服TID，螺内酯片20mg口服TID，乳果糖口服溶液15ml口服TID</t>
  </si>
  <si>
    <t>陆海</t>
  </si>
  <si>
    <t>肝硬化失代偿期、食管胃底静脉曲张破裂出血、门静脉高压、脾大、血小板减少、慢性胃炎、肝囊肿、银屑病、肺气肿</t>
  </si>
  <si>
    <t>康复新液10ml口服TID，米曲菌胰酶24mg口服TID，(2瑞)雷贝拉唑钠肠溶片10mg口服QD</t>
  </si>
  <si>
    <t>陈玲君</t>
  </si>
  <si>
    <t>自身免疫性肝硬化、十二指肠球部溃疡、消化道出血、低蛋白血症、肝功能异常、慢性胃炎</t>
  </si>
  <si>
    <t>熊去氧胆酸胶囊250mg口服TID，甘草酸二铵肠溶胶囊150mg口服TID，(波)雷贝拉唑钠肠溶片10mg口服QD</t>
  </si>
  <si>
    <t>陈继英</t>
  </si>
  <si>
    <t>自免肝肝硬化失代偿、肝性脑病、腹水、脾亢、低蛋白血症、冠心病、心功能2级、肺部感染、肺水肿、胸腔积液、肺动脉高压、2型糖尿病、高血压3级、门静脉血栓、陈旧性脑梗</t>
  </si>
  <si>
    <t>兰索拉唑口崩片30mg口服QD，腺苷蛋氨酸肠溶片0.5g口服TID，利福昔明片0.2g口服TID，水飞蓟宾胶囊70mg口服TID，枸橼酸莫沙必利片5mg口服TID</t>
  </si>
  <si>
    <t>孙利芬</t>
  </si>
  <si>
    <t>自免肝肝硬化、食管胃底静脉曲张、脾大、胸腔积液、呼吸衰竭、肺部感染、胸腔积液、慢性心衰、心包积液、菌血症、胆囊结石、重度贫血、低蛋白血症、干燥综合征？双下肢静脉曲张</t>
  </si>
  <si>
    <t>(希)头孢克洛缓释片0.375g口服TID，(远)甲硝唑片0.2g口服QD，螺内酯片20mg口服TID，呋塞米片20mgQD</t>
  </si>
  <si>
    <t>张耀莉</t>
  </si>
  <si>
    <t>自免肝、原发性胆汁性胆管炎、亚急性肝衰竭、肝硬化失代偿期、肝硬化伴食管胃底静脉曲张、腹水、门静脉高压、脾大、慢性腹膜炎、慢性胃炎、低蛋白血症、高脂血症、贫血、低钾血症、低钙血症、子宫萎缩、子宫内膜增厚</t>
  </si>
  <si>
    <t>2艾司奥美拉唑镁肠溶片40mg口服QD，熊去氧胆酸胶囊250mg口服TID，双环醇片25mg口服TID，非诺贝特胶囊0.2g口服QN，螺内酯片20mg口服BID，(天)醋酸泼尼松片20mg口服BID，氯化钾缓释片0.5g口服BID，利福昔明片0.4g口服BID、骨化三醇胶囊0.25ug口服QD(自备)、钙尔奇D1片口服QD(自备)、布拉氏酵母菌2袋口服BID(自备)</t>
  </si>
  <si>
    <t>陈凤云</t>
  </si>
  <si>
    <t>自免肝？肝硬化失代偿期、肝性脑病、食管胃底静脉曲张套扎术后、肾功能异常、贫血、血小板减少、低钾血症、带状疱疹、类风湿关节炎、呼吸道感染、冠心病、心功能不全、胆囊结石</t>
  </si>
  <si>
    <t>头孢地尼胶囊0.1g口服TID，羧甲司坦口服溶液10ml口服TID，复方甲氧那明胶囊93mg口服TID，乳果糖口服溶液15ml口服TID，熊去氧胆酸胶囊500mg口服TID</t>
  </si>
  <si>
    <t>王克义</t>
  </si>
  <si>
    <t>酒精性肝硬化失代偿期、自发性腹膜炎、腹水、胸腔积液、胃底静脉曲张</t>
  </si>
  <si>
    <t>熊去氧胆酸胶囊250mg口服TID，螺内酯片40mg口服BID，盐酸莫西沙星片0.4g口服QD，(波)雷贝拉唑钠肠溶片10mg口服QD，利福昔明片0.2g口服QID。呋塞米20mg口服QD(自备)，布拉氏酵母菌散0.5g口服BID(自备)</t>
  </si>
  <si>
    <t>韩会芹</t>
  </si>
  <si>
    <t>自身免疫性肝硬化、食管静脉曲张伴有出血、消化道出血、腹水、脾大、门静脉高压、支气管炎、心包积液</t>
  </si>
  <si>
    <t>利可君片20mg口服TID，(波)雷贝拉唑钠肠溶片10mg口服QD，康复新液10ml口服TID，腺苷蛋氨酸肠溶片0.5g口服BID，米曲菌胰酶24mg口服TID</t>
  </si>
  <si>
    <t>曹广霞</t>
  </si>
  <si>
    <t>上消化道出血、糜烂性胃炎、肝硬化失代偿期、自免肝-PBC重叠综合征、泌尿道感染、门脉高压性胃肠病、肝硬化伴食管静脉曲张、肝功能异常、门静脉高压、脾大、单纯性肾囊肿、低蛋白血症、贫血、子宫肌瘤、宫颈囊肿、盆腔积液</t>
  </si>
  <si>
    <t>康复新液10ml口服TID，熊去氧胆酸胶囊250mg口服TID，米曲菌胰酶24mg口服TID，匹维溴铵片50mg口服TID，(波)雷贝拉唑钠肠溶片10mg口服QD</t>
  </si>
  <si>
    <t>宗国英</t>
  </si>
  <si>
    <t>肝硬化失代偿期、门静脉高压、食管静脉曲张、慢性胃炎、全血细胞减少、脾大、脾亢、糖尿病、低蛋白血症、凝血功能异常、左肾囊肿、精神分裂症？</t>
  </si>
  <si>
    <t>氯氮平125mg早-125mg午-125mg晚口服，长秀霖8iu皮下注射QN，乳果糖口服溶液15ml口服TID，麻仁软胶囊2#TID口服，维生素C片2#口服QD，维生素B1片2#口服TID，气滞胃痛颗粒2.5g口服TID，康复新液10ml口服TID，瑞巴派特片0.1g口服TID，兰索拉唑口崩30mg口服QD，米曲菌胰酶24mg口服TID，利那洛肽1粒口服QD</t>
  </si>
  <si>
    <t>陈俊发</t>
  </si>
  <si>
    <t>酒精性肝硬化、食管胃底静脉曲张破裂出血、门脉高压性、脾大、腹水、全血细胞减少、低纤维蛋白原症、低钙血症</t>
  </si>
  <si>
    <t>乳果糖口服溶液15ml口服TID，康复新液10m1口服TID，(2瑞)雷贝拉唑钠肠溶片10mg口服QD</t>
  </si>
  <si>
    <t>李桂兰</t>
  </si>
  <si>
    <t>免疫性肝损伤、肝硬化失代偿、食管胃底静脉曲张破裂出血、脾大、腹水、门静脉高压、慢性胃炎、低蛋白血症、盆腔积液、肺感染、结缔组织病？胆结石、高血压2级、2型糖尿病、湿疹</t>
  </si>
  <si>
    <t>乳果糖口服溶液15ml口服BID，康复新液10ml口服TID，熊去氧胆酸胶囊250mg口服TID，(2瑞)雷贝拉唑钠肠溶片10mg口服QD，利可君片20mg口服TID</t>
  </si>
  <si>
    <t>酒精性肝硬化失代偿、门静脉血栓形成、食管胃底静脉曲张破裂出血、腹水、脾大、脾亢、高血压3级、白内障。脑萎缩、低蛋白血症、电解质代谢紊乱</t>
  </si>
  <si>
    <t>奥美拉唑镁肠溶片20mg口服QD，康复新液10ml口服TID，腺苷蛋氨酸肠溶片0.5g口服BID</t>
  </si>
  <si>
    <t>李振霞</t>
  </si>
  <si>
    <t>自身免疫性肝炎、原发性胆汁性型肝硬化、重叠综合征、低蛋白血症、低钾血症、贫血、骨质疏松伴有病理性骨折、水肿</t>
  </si>
  <si>
    <t>熊去氧胆酸胶囊250mg口服TID，多烯磷脂酰胆碱胶囊456mg口服TID,(浙)瑞舒伐他汀钙片10mg口服QN，(福)阿仑膦酸钠片70mg口服w2QW，(天)醋酸泼尼松片30mg口服QD，(波)雷贝拉唑钠肠溶片10mg口服QD，螺内酯片40mg口服QD，氯化钾口服溶液10ml口服TID，钙片1粒口服QD(自备)，维生素D400iu口服QD(自备)</t>
  </si>
  <si>
    <t>刘淑琴</t>
  </si>
  <si>
    <t>肝功能异常 乙型肝炎肝硬化 门静脉高压 脾功能亢进 低钾血症 低蛋白血症 肿瘤标记物升高 慢性胃炎 2型糖尿病 冠心病 结肠息肉 直肠息肉 类风湿关节炎 肺诊断性影像异常（薇、小结节）单纯性肾囊肿 胆囊腺肌症</t>
  </si>
  <si>
    <t>熊去氧胆酸胶囊250mg口服TID，双环醇片25mg口服TID，利可君片20mg口服TID，(波)雷贝拉唑钠肠溶片10mg口服QD</t>
  </si>
  <si>
    <t>肝硬化失代偿期 自身免疫性肝炎？门静脉血栓形成门脉高压腹水低蛋白血症低钾血症胃底静脉曲张食管静脉曲张腹壁静脉曲张脾功能亢进全血细胞减少凝血功能异常肺部感染脾静脉血栓形成 心功能不全 心包积液肺水肿胸腔积液慢性胃炎高血压病3级极高危 下肢静脉曲张</t>
  </si>
  <si>
    <t>螺内酯片40mg口服BID，米曲菌胰酶24mg口服TID，头孢地尼胶囊0.1g口服BID，兰索拉唑口崩片30mg口服QD，复方氨基酸胶囊(8-11)2粒口服BID</t>
  </si>
  <si>
    <t>消化道出血 乙型肝炎肝硬化失代偿期肝硬化食管静脉曲张门脉高压性胃肠病 脾功能亢进 全血细胞减少慢性胃炎伴胆汁反流2型糖尿病 贫血便秘</t>
  </si>
  <si>
    <t>(波)雷贝拉唑钠肠溶片10mg口服QD，乳果糖口服溶液15ml口服BID，阿德福韦酯片10mg口服QD(自备)</t>
  </si>
  <si>
    <t>杨福泉</t>
  </si>
  <si>
    <t>隐匿性肝硬化 胸腔积液 低蛋白血症电解质代谢紊乱 肝硬化失代偿期 肝硬化伴食管静脉曲张门脉高压性胃肠病门静脉血栓形成反流性食管炎 脾大 腹水贫血肝功能异常 结肠息肉 肺动脉高压 房性期前收缩室性期前收缩</t>
  </si>
  <si>
    <t>乳果糖口服溶液15ml口服按需使用，(大)双歧杆菌三联活菌肠溶胶囊0.42g口服BID，熊去氧胆酸胶囊250mg口服TID</t>
  </si>
  <si>
    <t>腾志海</t>
  </si>
  <si>
    <t>隐匿性肝硬化 门静脉血栓形成 肠系膜上静脉血栓形成 脾静脉血栓形成门静脉高压食管静脉曲张（中重度）胃底静脉曲张（轻度）脾大肝囊肿</t>
  </si>
  <si>
    <t>米曲菌胰酶24mg口服TID，(2瑞)雷贝拉唑钠肠溶片10mg口服QD，(金)卡维地洛片10mg口服QD，(大)利伐沙班片20mg口服QD，熊去氧胆酸胶囊250mg口服TID</t>
  </si>
  <si>
    <t>高德良</t>
  </si>
  <si>
    <t>肝硬化 肝性脑病 腹水 肝功能异常 颈内动脉狭窄支架置入术后 腔隙性脑梗死 高血压3级（极高危） 脑萎缩 脾大 低蛋白血症</t>
  </si>
  <si>
    <t>乳果糖口服溶液 15ml TID，多烯磷脂酰胆碱胶囊 456mgTID 随餐吞服，熊去氧胆酸胶囊 500mg BID，螺内酯片20mg BID，(波)雷贝拉唑钠肠溶片 10mg QD 餐前服用</t>
  </si>
  <si>
    <t>范学建</t>
  </si>
  <si>
    <t>消化道出血结肠毛细血管疾病？急性糜烂出血性胃炎？丙型肝炎肝硬化 肝硬化伴食管静脉曲张胃底静脉曲张门脉高压胃肠病 结肠息肉 多发小肠息肉 慢性胃炎 贫血 心房颤动 高血压病2级（极高危）双肾结石 脾术后 胆囊术后 门静脉血栓形成 下肢静脉闭塞 凝血功能异常</t>
  </si>
  <si>
    <t>(波)雷贝拉唑钠肠溶片10mg口服QD，铝碳酸镁咀嚼片0.5g口服TID，(南)地奥司明片0.45g口服BID，沙利度胺片50mg口服QD，康复新液10ml口服TID</t>
  </si>
  <si>
    <t>张金祥</t>
  </si>
  <si>
    <t>消化道出血 胃溃疡 酒精性肝硬化失代偿期 食管静脉曲张脾大 脾亢 低蛋白血症 食管炎 糜烂性胃炎 高血压病3级极高危 支气管炎 肺部阴影 肺气肿 内痔 结肠憩室胆囊结石 前列腺钙化灶</t>
  </si>
  <si>
    <t>康复新液10ml口服TID，(波)雷贝拉唑钠肠溶片10mg口服QD，2强肝胶囊2g口服BID，复方氨基酸胶囊(8-11)2粒口服TID，硝苯地平控释片30mg口服QD</t>
  </si>
  <si>
    <t>赵会侠</t>
  </si>
  <si>
    <t>消化道出血、食管胃底静脉曲张破裂出血、肝硬化、药物性肝损害？脾大、贫血、血小板减少、低蛋白血症、慢性胃炎、十二指肠息肉、门脉高压性胃肠病、2型DM、胆囊结石、子宫腺肌瘤？</t>
  </si>
  <si>
    <t>(波)雷贝拉唑钠肠溶片10mg口服QD，复方氨基酸胶囊(8-11)2粒口服TID，硝酸异山梨酯5mg口服QD(自备)</t>
  </si>
  <si>
    <t>高振宇</t>
  </si>
  <si>
    <t>脾功能亢进 慢性淤血性脾大 肝炎后肝硬化 食管静脉曲张不伴出血慢性胃窦炎白细胞减少贫血营养不良营养风险</t>
  </si>
  <si>
    <t>赵凤芝</t>
  </si>
  <si>
    <t>消化道出血、PSC、食管胃底静脉曲张套扎术后、脾亢、脾大、腹水、低蛋白血症、低钾血症、泌尿道感染</t>
  </si>
  <si>
    <t>肝硬化失代偿期自身免疫性肝炎？肝硬化伴食管静脉曲张治疗后贫血血小板减少 带状疱疹性神经痛 类风湿关节炎冠心病 心功能不全胆囊结石 低蛋白血症 电解质紊乱</t>
  </si>
  <si>
    <t>熊去氧胆酸胶囊250mg口服TID，螺内酯片40mg口服QD，甘草酸二铵肠溶胶囊150mg口服TID，乳果糖口服溶液15ml口服TID，奥美拉唑镁肠溶片20mg口服QD，腺苷蛋氨酸肠溶片1g口服QD</t>
  </si>
  <si>
    <t>马顺起</t>
  </si>
  <si>
    <t>消化道出血 食管静脉曲张肝硬化，酒精性肝病 门脉高压性胃肠病 糜烂性胃炎 十二指肠憩室炎 低蛋白血症 贫血</t>
  </si>
  <si>
    <t>铝碳酸镁咀嚼片1g口服TID，硫普罗宁肠溶片0.2g口服TID，兰索拉唑口崩片30mg口服 QD</t>
  </si>
  <si>
    <t>刘幸铃</t>
  </si>
  <si>
    <t>肝硬化失代偿期 肝功能不全（肝功能B级child-pugh7分）食管胃底静脉曲张破裂出血 门脉高压性胃肠病 低蛋白血症 脾大 中度贫血 免疫性血小板减少胆囊结石胆囊萎缩 食管裂孔疝 脐疝 单纯性肾囊肿</t>
  </si>
  <si>
    <t>螺内酯片40mg口服QD，熊去氧胆酸胶囊250mg口服TID，兰索拉唑口崩片 30mg 口服QD，曲安西龙片4mg口服QD(自备)</t>
  </si>
  <si>
    <t>丁秉</t>
  </si>
  <si>
    <t>肝硬化？低蛋白血症肝功能异常肿瘤标记物慢性胆囊炎脂肪肝腔隙性脑梗死室性早搏心律失常射频消融术后慢性胃炎抑郁状态失眠周期性麻痹陈旧性腔隙性脑梗塞腰椎间盘突出副脾双侧腹股沟疝</t>
  </si>
  <si>
    <t>熊去氧胆酸胶囊250mg口服TID，双环醇片50mg口服TID，(波)雷贝拉唑钠肠溶片10mg口服QD，利福昔明片0.4g口服BID，乳果糖口服溶液15ml口服TID，(自备)复方氨基酸胶囊2粒口服TID</t>
  </si>
  <si>
    <t>肝硬化脾大脾功能亢进白细胞减少肝功能异常脂肪肝白内障术后支气管哮喘下肢静脉曲张食管胃底静脉曲张</t>
  </si>
  <si>
    <t>(波)雷贝拉唑钠肠溶片10mg口服QD，熊去氧胆酸胶囊250mg口服TID，伊托必利片50mg口服TID，多烯磷脂酰胆碱胶囊456mg口服TID，可乐)左氧氟沙星片0.5g口服QD</t>
  </si>
  <si>
    <t>酒精性肝硬化（失代偿期）脾大肝性脑病？颈内动脉狭窄支架置入术后腔隙性脑梗死高血压3级极高危脑萎缩低蛋白血症低钾血症轻度贫血</t>
  </si>
  <si>
    <t>(波)雷贝拉唑钠肠溶片10mg口服BID，(金)卡维地洛片10mg口服QD，腺苷蛋氨酸肠溶片0.5g口服BID，熊去氧胆酸胶囊500mg口服BID，乳果糖口服溶液15ml口服TID</t>
  </si>
  <si>
    <t>上消化道出血 胃底静脉曲张版出血 胃底静脉曲张组织胶注射术后贫血肝硬化失代偿期自身免疫性肝炎原发性胆汁性胆管炎重叠综合征食管静脉曲张门脉高压性胃肠病低蛋白血症脾功能亢进肝细胞性黄疸肝功能异常干燥综合征？肾炎？腹腔积液 胸腔积液</t>
  </si>
  <si>
    <t>熊去氧胆酸胶250mg口服TID，(波)雷贝拉唑钠肠溶片10mg口服QD，复方氨基酸胶囊(8-11)2粒口服TID，肾炎康复片2.4g口服TID</t>
  </si>
  <si>
    <t>李志朋</t>
  </si>
  <si>
    <t>消化道出血 胃溃疡伴出血 酒精性肝硬化伴食管静脉曲张低蛋白血症腹水脾功能亢进血小板减少水肿贫血肺部阴影（结节）肺部感染蛋白尿血尿</t>
  </si>
  <si>
    <t>(2瑞)雷贝拉唑钠肠溶片10mg口服QD，熊去氧胆酸胶囊250mg口服TID，复方氨基酸胶囊(8-11)2粒口服TID，螺内酯片20mg口服QD，呋塞米20mgQD</t>
  </si>
  <si>
    <t>朱风岭</t>
  </si>
  <si>
    <t>消化道出血 食管静脉曲张破裂出血乙型肝炎肝硬化失代偿期高氨血症肝性脑病贫血腹腔积液垂体术后并肾上腺皮质功能不全低钠血症肺部感染？低蛋白血症脑萎缩</t>
  </si>
  <si>
    <t>雷贝拉唑钠肠溶片10mg口服 QD，左甲状腺素钠片50ug口服QD，恩替卡韦片0.5mg口服QD，氢化可的松片40mg口服早八点(自备)，氢化可的松片20mg口服下午四点(自备)</t>
  </si>
  <si>
    <t>消化道出血肝硬化伴食管静脉曲张酒精性肝硬化门静脉血栓星材肠系膜静脉栓塞门脉高压性胃肠病腹水脾功能亢进轻度贫血慢性支气管炎脑囊肿脑萎缩白内障</t>
  </si>
  <si>
    <t>兰索拉唑口崩片30mg口服QD，复方氨基酸胶囊(8-11)1粒口服BID，普萘洛尔10mg口服 QD(自备药)</t>
  </si>
  <si>
    <t>消化道出血酒精性肝病肝硬化食管静脉曲张门脉高压性胃肠病糜烂性胃炎十二指肠憩室脾大</t>
  </si>
  <si>
    <t>(波)雷贝拉唑钠肠溶片10mg口服QD，生血宁片0.5g口服TID，复方氨基酸胶囊(8-11)2粒口服TID，复方嗜酸乳杆菌片1g口服TID，铝碳酸镁咀嚼片0.5g口服TID</t>
  </si>
  <si>
    <t>付薇</t>
  </si>
  <si>
    <t>消化道出血 食管胃底静脉曲张破裂出血肝硬化失代偿期自身免疫性肝硬化？门脉高压性胃肠病子宫内膜恶性肿瘤贫血 低蛋白血症上呼吸道感染</t>
  </si>
  <si>
    <t>(波)雷贝拉唑钠肠溶片10mg口服QD，复方氨基酸胶囊(8-11)2粒口服TID</t>
  </si>
  <si>
    <t>杨秀红</t>
  </si>
  <si>
    <t>消化道出血 小肠血管畸形？肝硬化原发性胆汁性胆管炎 食管静脉曲张 脾大腹腔积液盆腔积液贫血 低蛋白血症凝血功能异常 腹部肿物食管隆起病变性质待定食管裂孔疝结肠息肉肺动脉高压高血压病2级极高危</t>
  </si>
  <si>
    <t>熊去氧胆酸胶囊250mgTID，螺内酯片20mgQD，(波)雷贝拉唑钠肠溶片10mg QD，复方氨基酸胶囊(8-11)2粒TID，呋塞米片20mgQD</t>
  </si>
  <si>
    <t>戴锦铮</t>
  </si>
  <si>
    <t>肝硬化失代偿期(自身免疫性肝炎？)、其他诊断腹水、门脉高压性胃肠病、脾大、缺铁性贫血？、高血压病1级(高危)、2型糖尿病、白癜风、肝硬化TIPS术后</t>
  </si>
  <si>
    <t>(2瑞)雷贝拉唑钠肠溶片10mg口服BID，乳果糖口服溶液15ml口服TID，(卡博平)阿卡波糖片50mg口服TID，(大)双歧杆菌三联活菌肠溶胶囊0.42g口服BID，2甘草酸二铵肠溶胶囊150mg口服TID，愈美片200mg口服TID</t>
  </si>
  <si>
    <t>陈国玉</t>
  </si>
  <si>
    <t>消化道出血、食管胃底静脉曲张破裂出血？、门脉高压性胃肠病、肝硬化失代偿期、酒精性肝硬化？、门静脉海绵样变、贫血、肺部感染？、脾术后、胆囊结石</t>
  </si>
  <si>
    <t>乳果糖口服溶液15ml口服TID、雷贝拉唑钠肠溶片10mg口服QD</t>
  </si>
  <si>
    <t>张桂友</t>
  </si>
  <si>
    <t>消化道出血、食管胃底静脉曲张破裂出血？、缺血型肠病、肝硬化失代偿期、酒精性肝病、药物性肝损害？、肠系膜静脉血栓形成、门静脉高压、脾大、腹水、贫血、前列腺增生、冠状动脉性心脏病</t>
  </si>
  <si>
    <t>生血宁片0.5g口服TID，乳果糖口服溶液15ml口服TID，雷贝拉唑10mgQD口服(自备)，氨基酸胶囊2粒TID口服(自备)</t>
  </si>
  <si>
    <t>食管胃底静脉曲张破裂出血、肝硬化失代偿期(酒精性)、脾功能亢进、贫血、门脉高压性胃肠病、腹腔积液、低T3综合征？、高血压病3级(极高危)、多发性结肠息肉切除术后、胆囊术后、前列腺钙化灶</t>
  </si>
  <si>
    <t>雷贝拉唑钠肠溶片10mg口服QD，康复新液10ml口服TID，熊去氧胆酸胶囊250mg口服TID，乳果糖口服溶液15ml口服TID，生血宁片0.25g口服TID</t>
  </si>
  <si>
    <t>张丽芝</t>
  </si>
  <si>
    <t>食管胃底静脉曲张破裂出血、肝硬化失代偿期、自身免疫性肝炎？、门静脉血栓形成、门静脉海绵样变、脾功能亢进、贫血、胃息肉、高血压病3级(极高危)、单纯性肾囊肿、肺部阴影</t>
  </si>
  <si>
    <t>兰索拉唑口崩片30mg口服QD</t>
  </si>
  <si>
    <t>佟力</t>
  </si>
  <si>
    <t>肝硬化伴胃底食管静脉曲张、门静脉高压、腹腔积液、脾大、十二指肠溃疡、血小板减少、低蛋白血症、2型糖尿病</t>
  </si>
  <si>
    <t>利福昔明片0.2g口服TID，恩卡韦片0.5mg口服QD，螺内酯片20mg口服QD，复方氨基酸胶囊(8-11)2粒口服TID</t>
  </si>
  <si>
    <t>杨志霞</t>
  </si>
  <si>
    <t>慢加急性肝衰竭、自身免疫性肝炎后肝硬化失代偿期、原发性胆汁性肝硬化、低蛋白血症、腹水、脾功能亢进、高血压病3级(极高危)、2型糖尿病、电解质代谢紊乱、营养不良</t>
  </si>
  <si>
    <t>复方氨基酸胶囊(8-11)2粒口服TID，熊去氧胆酸胶囊250mg口服TID，腺苷蛋氨酸肠溶片1g口服QD，生血宁片0.5g口服TID，利可君片20mg口服TID</t>
  </si>
  <si>
    <t>管大君</t>
  </si>
  <si>
    <t>消化道出血、多发小肠溃疡、肠系膜下动脉狭窄重度、慢性胃炎、多发胃息肉、胆囊结石、肝硬化？、高血压病3级(极高危)、糖尿病、冠状动脉性心脏病、冠状动脉支架植入后状态、腹主动脉溃疡(穿透性)、右侧髂总动脉夹层、附壁主动脉血栓形成、亚临床甲状腺功能亢进、完全性右束支传导阻滞、窦性心动过缓、海绵状肝血管瘤</t>
  </si>
  <si>
    <t>除心脏药物外，瑞巴派特片0.1g口服TID，康复新液10ml口服TID，生血宁片0.5g口服TID，(波)雷贝拉唑钠肠溶片10mg口服QD</t>
  </si>
  <si>
    <t>赵桂荣</t>
  </si>
  <si>
    <t>原发性胆汁性肝硬化、低蛋白血症、门静脉高压、EB病毒感染、肝结节、先天性心包囊肿、高血压病2级(中危)</t>
  </si>
  <si>
    <t>能去氧胆酸胶囊1粒TID；泛昔洛韦胶囊1粒TID；复方氨基酸胶(8-11)2粒TID；多烯磷脂酰胆碱胶囊2粒TID；腺苷蛋氨酸肠溶片2片QD；双环醇片 2片TID。</t>
  </si>
  <si>
    <t>消化道出血、肝硬化伴食管静脉曲张、肝硬化失代偿期、原发性胆汁性肝硬化、自身免疫性肝炎、门脉高压性胃肠病、低蛋白血症、低钙血症、全血细胞减少、脾功能亢进、再生障碍性贫血、肝囊肿(多发)、单纯性肾囊肿(双肾多发)、腹腔积液、支气管炎、2型糖尿病？、亚临床甲状腺功能亢进症？</t>
  </si>
  <si>
    <t>艾司奥美拉唑镁肠溶片40mg口服QD，铝碳酸镁咀嚼片1g口服TID，熊去氧胆酸胶囊250mg口服TID，利可君片20mg口服TID</t>
  </si>
  <si>
    <t>韩银</t>
  </si>
  <si>
    <t>休克(低血容量性？)、消化道出血、肝硬化伴食管胃底静脉曲张(肝硬化原因待明)、腹腔积液、贫血(中度)、甲状旁腺功能亢进症、高钙血症、冠状动脉性心脏病、左心房肥大</t>
  </si>
  <si>
    <t>张福顺</t>
  </si>
  <si>
    <t>慢性胃炎、慢性胆囊炎、腹腔积液、肝内胆管结石(毛细胆管结石)、胆囊结石、肝囊肿、结肠黑变病、内痔、高血压病1级(极高危)、冠状动脉支架植入后状态、具有心脏起搏器</t>
  </si>
  <si>
    <t>泮托拉唑钠肠溶片40mg口服QD，米曲菌胰酶48mg口服TID，伊托必利片50mg口服TID，阿戈美拉汀片25mg口服QN，熊去氧胆酸胶囊250mg口服TID，(安)厄贝沙坦片0.15g口服QD，2六味安消胶囊2g口服TID，按柠肠溶软胶囊0.3g口服TID，愈美片200mg口服TID</t>
  </si>
  <si>
    <t>许文</t>
  </si>
  <si>
    <t>肝硬化伴食管胃底静脉曲张、门静脉高压、肝功能异常、低蛋白血症、高血压病3级(3级)、腹腔积液</t>
  </si>
  <si>
    <t>兰索拉唑口崩片30mg口服QD,康复新液10ml口服TID，复方氨基酸胶囊(8-11)2粒口服TID，双环醇片25mg口服QD，熊去氧胆酸胶囊250mg口服TID，多烯磷脂酰胆碱胶囊456mg口服TID</t>
  </si>
  <si>
    <t>原发性胆汁性肝硬化、肝硬化失代偿期、腹腔积液、食管胃底静脉曲张、脾功能亢进、黄疸、低蛋白血症、高脂血症、自身免疫性肝炎？、胰腺肿瘤(导管内乳头状粘液瘤)、胆囊腺肌症、胆囊结石、腰椎压缩性骨折</t>
  </si>
  <si>
    <t>托拉塞米10mg口服QD、多糖铁复合物胶囊1粒QD、托伐普坦15mg口服酌情、复方氨基酸胶囊2粒口服TID，兰索拉唑口崩片30mg口服QD，螺内酯片20mg口服QD，熊去氧胆酸胶囊250mg口服TID，生血宁片0.5g口服TID，氯化钾缓释片1g口服BID，腺苷蛋氨酸肠溶片1g口QD，康复新液10ml口服TID，乳果糖口服溶液酌情</t>
  </si>
  <si>
    <t>马东军</t>
  </si>
  <si>
    <t>酒精性肝硬化、肝功能异常、门静脉高压、自身免疫性肝炎？、脾大、食管胃底静脉曲张、低蛋白血症、肿瘤标记物升高、凝血功能异常</t>
  </si>
  <si>
    <t>多烯磷脂酰胆碱胶囊456mg口服TID，熊去氧胆酸胶囊250mg口服TID，(华中)艾司唑仑片1mg口服QN</t>
  </si>
  <si>
    <t>张玉清</t>
  </si>
  <si>
    <t>隐源性肝硬化失代偿期、门静脉高压、门脉高压性胃肠病、消化道出血、全血细胞减少、低蛋白血症、高血压病3级(极高危)、冠状动脉粥样硬化性心脏病、冠状动脉搭桥术后状态、2型糖尿病</t>
  </si>
  <si>
    <t>王传春</t>
  </si>
  <si>
    <t>消化道出血、失血性休克、肝硬化伴食管胃底静脉曲张、慢性乙型病毒性肝炎、门脉高压性胃肠病、腹水、肝功能异常、凝血功能障碍、低蛋白血症</t>
  </si>
  <si>
    <t>杜伟光</t>
  </si>
  <si>
    <t>乙型肝炎后肝硬化失代偿期、肝硬化伴食管静脉曲张、门脉高压性胃肠病、脾大、腹水、低蛋白血症、白细胞减少、血小板减少、慢性迁延型乙型病毒性肝炎、肝囊肿、胆囊结石、亚临床甲状腺功能亢进</t>
  </si>
  <si>
    <t>复方氨基酸胶囊2粒TID，多烯磷脂酰胆碱胶囊2粒TID，利可君片1片TID，(波)雷贝拉唑钠肠溶片1片QD(饭前)；熊去氧胆酸胶囊1粒TID；利福昔明片 1片TID</t>
  </si>
  <si>
    <t>申卫生</t>
  </si>
  <si>
    <t>肝硬化、肝功能不全、血小板减少、白细胞减少、十二指肠球炎、高血压病3级(极高危)</t>
  </si>
  <si>
    <t>（络)苯磺酸氨氯地平片5mg口服QD，熊去氧胆酸胶囊250mg口服TID，利可君片20mg口服TID</t>
  </si>
  <si>
    <t>程国</t>
  </si>
  <si>
    <t>消化道出血、食管静脉曲张、十二指肠球部溃疡、肝硬化（失代偿期）、慢性乙型病毒性肝炎、全血细胞减少、脾功能亢进、腹腔积液、低蛋白血症、2型糖尿病、慢性胃炎、低钙血症、低钠血症、肿瘤标记物升高</t>
  </si>
  <si>
    <t>兰索拉唑口崩片30mg口服QD，铝碳酸镁咀嚼片1g口服TID，螺内酯片20mg口服BID，呋塞米片20mg口服QD，恩替卡韦片0.5mg口服QD</t>
  </si>
  <si>
    <t>张凤敏</t>
  </si>
  <si>
    <t>自身免疫性肝硬化？、药物性肝损害、营养不良、轻度脂肪肝、高血压病2级（高危）</t>
  </si>
  <si>
    <t>熊去氧胆酸胶囊250mg口服BID，腺音蛋氨酸肠溶片1g口服BID</t>
  </si>
  <si>
    <t>秦恩敏</t>
  </si>
  <si>
    <t>消化道出血、食管胃底静脉曲张破裂出血、肝硬化、自身免疫性肝硬化？、门静脉高压、门脉高压性胃肠病、脾大、脾功能亢进、肝功能异常、低蛋白血症、胃息肉？、胆囊结石、胆囊腺肌症？、多发性肝囊肿、单纯性肾囊肿（双肾）</t>
  </si>
  <si>
    <t>熊去氧胆酸胶囊250mg口服TID，雷贝拉唑钠肠溶片10mg口服QD，瑞巴派特片0.1g口服 TID</t>
  </si>
  <si>
    <t>王全</t>
  </si>
  <si>
    <t>原发性硬化性胆管炎、自身免疫性肝炎、胆囊结石、结肠炎、结核感染？、脾大</t>
  </si>
  <si>
    <t>熊去氧胆酸胶囊250mg口服TID，复方嗜酸乳杆菌片1g口服TID，康复新液10ml口服TID，匹维溴铵片50mg口服TID，(进)万古霉素针500mg口服BID，(自备)雷公藤多片10mg口服TID</t>
  </si>
  <si>
    <t>华玉璋</t>
  </si>
  <si>
    <t>肝硬化失代偿期、乙型肝炎肝硬化、腹水、低蛋白血症、脾大、冠状动脉性心脏病、心力衰竭、心功能III级、永久型心房颤动、肺动脉高压、结缔组织病？、多浆膜腔积液、胆囊结石、高血压病2级（极高危）</t>
  </si>
  <si>
    <t>恩替卡韦片1mg口服QD，螺内酯片20mg口服TID，(2瑞)雷贝拉唑钠肠溶片10mg口服QD，利福昔明片0.4g口服TID，(可力)地高辛片0.125mg口服QD，(大)利伐沙班片10mg口服QD，托拉塞米片20mg口服QD(自备)，氯化钾缓释片2g口服TID(自备)</t>
  </si>
  <si>
    <t>张树生</t>
  </si>
  <si>
    <t>酒精性肝硬化失代偿期、腹腔积液、低蛋白血症、脾功能亢进、慢性病性贫血？、凝血功能异常、血尿、2型糖尿病</t>
  </si>
  <si>
    <t>雷贝拉唑钠肠溶片10mg口服QD，腺苷蛋氨酸肠溶片0.5g口服BID，螺内酯片20mg口服QD，利福昔明片0.4g口服TID，熊去氧胆酸胶囊250mg口服BID，氧化钾缓释片1g口服TID(自备)，氨基酸胶囊2粒TID(自备)，乳果糖口服液1袋TID(自备)</t>
  </si>
  <si>
    <t>消化道出血、肝硬化伴食管胃底静脉曲张破裂出血？、门静脉海绵样变、脾术后、贫血、腹水、胆囊结石</t>
  </si>
  <si>
    <t>羧甲司坦口服溶液10ml口服TID，复方氨基酸胶囊(8-11)2粒口服TID，(波)雷贝拉唑钠肠溶片10mg口服QD</t>
  </si>
  <si>
    <t>高秀芳</t>
  </si>
  <si>
    <t>消化道出血、肝硬化伴食管胃底静脉曲张破裂出血？、腹腔感染？、急性心肌梗死、 急性心力衰竭、高血压病3 级（极高危）、冠状动脉粥样硬化性心脏病、心功能IV级、下肢静脉肌间血栓形成、低蛋白血症、肺动脉高压、动脉硬化、急性肾衰竭、陈旧性心肌梗死、胆囊结石、纵隔淋巴结肿大、肿瘤标记物升高、自身免疫病？</t>
  </si>
  <si>
    <t>熊去氧胆酸胶囊250mg口服TID,(泰)氢氯吡格雷片50mg口服QD，琥珀酸美托洛尔缓释片23.75mg口服QD，(依)单硝酸异山梨酯缓释片60mg口服QD，阿托伐他汀钙片20mg口服QN，(2瑞)雷贝拉唑钠肠溶片10mg口服，托拉塞米定期利尿</t>
  </si>
  <si>
    <t>消化道出血、食管胃底静脉曲张破裂出血、结缔组织病、系统性红斑狼疮？、自身免疫性肝炎-原发性胆汁性胆管炎重叠综合征、肝硬化、贫血、门静脉血栓形成、营养不良、脾功能亢进、高尿酸血症、低蛋白血症</t>
  </si>
  <si>
    <t>铝碳酸镁咀嚼片0.5g口服TID，曲美布汀片0.1g口服TID，熊去氧胆酸胶囊250mg口服BID，康复新液10ml口服TID，(2瑞)雷贝拉唑钠肠溶片10mg口服QD</t>
  </si>
  <si>
    <t>曹达兰</t>
  </si>
  <si>
    <t>消化道出血、门脉高压性胃肠病伴渗血、缺血性肠病？原发性胆汁型肝硬化失代偿期、结肠息肉、脾功能亢进、腹水、腹泻、2型糖尿病、胆囊结石、后天性肾囊肿、内痔</t>
  </si>
  <si>
    <t>熊去氧胆酸胶囊250mg口服TID，利可君片20mg口服TID，米曲菌胰酶24mg口服TID，(大)双歧杆菌三联活菌肠溶胶囊0.42g口服BID，蒙脱石散3g口服TID，(2瑞)雷贝拉唑钠肠溶片10mg口服QD</t>
  </si>
  <si>
    <t>于朝恩</t>
  </si>
  <si>
    <t>肝硬化伴食管胃底静脉曲张破裂出血、门静脉高压、营养不良、贫血、低蛋白血症、高血压病2级（高危）、2型糖尿病、脾大、腹腔积液、双肾多发单纯性肾囊肿、前列腺钙化灶</t>
  </si>
  <si>
    <t>奥美拉唑镁肠溶片20mg口服QD，复方氨基酸胶囊(8-11)2粒口服TID，螺内酯片20mg口服QD，呋塞米片20mg口服QD(自备)，普禁洛尔10mg口服QD(自备)</t>
  </si>
  <si>
    <t>林庆松</t>
  </si>
  <si>
    <t>酒精性肝硬化、脾功能亢进、肝性脑病、食管胃底静脉曲张、脑基底节出血史、高血压病3级（极高危）、缺血性心肌病？室性期前收缩、血糖升高、血脂异常、胆囊切除术后状态</t>
  </si>
  <si>
    <t>甘草酸二铵肠溶胶囊150mg口服TID，熊去氧胆酸胶囊250mg口服TID，腺苷蛋氨酸肠溶片1g口服QD，利福昔明片0.4g口服TID，乳果糖口服溶液15ml口服TID，复方嗜酸乳杆菌片1g口服TID，硝苯地平控释片30mg口服QD</t>
  </si>
  <si>
    <t>刘玉芝</t>
  </si>
  <si>
    <t>消化道出血、食管胃底静脉曲张破裂出血？、肝硬化失代偿期（原因未明）、低蛋白血症、贫血、凝血功能异常、脾术后、2型糖尿病</t>
  </si>
  <si>
    <t>雷贝拉唑钠肠溶片10mg口服QD，康复新液10ml口服TID，复方氨基酸胶囊(8-11)2粒口服TID</t>
  </si>
  <si>
    <t>申亚光</t>
  </si>
  <si>
    <t>肝硬化（隐源性）、脾功能亢进、营养性低蛋白血症、食管胃底静脉曲张、腹腔积液、门静脉高压、脾大（巨脾原因待查）、脾梗死、甲状腺功能亢进、心脏扩大、甲状腺功能亢进性心脏病？、支气管炎</t>
  </si>
  <si>
    <t>利可君片20mg口服TID，多烯磷脂酰胆碱胶囊456mg口服TID，(2瑞)雷贝拉唑钠肠溶片10mg口服QD，复方氨基酸胶囊(8-11)2粒口服TID，盐酸普萘洛尔片5mg口服BID，复方碘口服溶液5滴口服TID</t>
  </si>
  <si>
    <t>郭凤枝</t>
  </si>
  <si>
    <t>肝硬化（早期）、肝功能异常、自身免疫性肝炎-原发性胆汁性肝硬化重叠综合征？、黄疸、胆总管扩张</t>
  </si>
  <si>
    <t>熊去氧胆酸胶囊250mg口服TID，2甘草酸二铵肠溶胶囊150mg口服TID</t>
  </si>
  <si>
    <t>王丽萍</t>
  </si>
  <si>
    <t>消化道出血、肝硬化伴食管静脉曲张破裂出血、原发性胆汁性胆管炎、胃溃疡、门脉高压性胃肠病、脾大、冠状动脉粥样硬化性心脏病、高血压病2级（高危）、低蛋白血症、胰腺囊肿、肺部阴影、胆囊结石、尾骨骨折</t>
  </si>
  <si>
    <t>熊去氧胆酸胶囊250mg口服TID，(欣)单硝酸异山梨酯片20mg口服QD，雷贝拉唑钠肠溶片10mg口服QD，康复新液10ml口服TID，生血宁片0.5g口服BID</t>
  </si>
  <si>
    <t>消化道出血、食管胃底静脉曲张破裂出血、门脉高压性胃肠病、乙型肝炎后肝硬化失代偿期、肝硬化伴食管静脉曲张套扎及樱花治疗术后、脾功能亢进、贫血、凝血功能障碍、腹水、低T3综合征</t>
  </si>
  <si>
    <t>陈志霞</t>
  </si>
  <si>
    <t>消化道出血、肝硬化伴食管胃底静脉曲张、肝硬化失代偿期、腹腔积液、脾大、低蛋白血症、原发性胆汁性肝硬化、自身免疫性肝炎？、干燥综合征、缺铁性贫血、脾功能亢进、低蛋白性营养不良、肝功能异常、肝血管瘤、肝囊肿</t>
  </si>
  <si>
    <t>2甘草酸二铵肠溶胶囊150mg口服TID，熊去氧胆酸胶囊250mg口服TID，(波)雷贝拉唑钠肠溶片10mg口服QD，复方氨基酸胶囊(8-11)2粒口服TID</t>
  </si>
  <si>
    <t>张泽萍</t>
  </si>
  <si>
    <t>原发性胆管炎、肝硬化、冠状动脉粥样硬化性心脏病、不稳定型心绞痛、新功能I级、2型糖尿病、单纯性肾囊肿、肾结石、骨质增生、腰椎间盘突出</t>
  </si>
  <si>
    <t>原发性胆管炎？</t>
  </si>
  <si>
    <t>熊去氧胆酸胶250mg口服TID，双环醇片25mg口服TID，腺苷蛋氨酸肠溶片0.5g口服BID，瑞格列奈1mg口服TID，氢氯吡格雷片75mg口服QD</t>
  </si>
  <si>
    <t>乙型肝炎后肝硬化失代偿期、肝硬化伴食管胃底静脉曲张、脾大、门静脉高压、门脉高压性胃肠病、低蛋白血症、低钾血症、胆囊结石、多发性胃息肉？、肝囊肿（多发）</t>
  </si>
  <si>
    <t>熊去氧胆酸胶囊口服1粒TID，复方氨基酸胶囊(8-11)口服 2粒BID，利福昔明片口服1片TID，泮托拉钠肠溶片口服2片TID，多烯磷脂酰胆碱胶囊456mg口服TID，螺内酯片2片BID，呋塞米片1.5片QD(自备)，富酸替诺福韦二吡呋酯片300mg口服QD(自备)</t>
  </si>
  <si>
    <t>翟建中</t>
  </si>
  <si>
    <t>肝硬化失代偿期（酒精性？药物性？）、食管静脉曲张不伴有出血、脾术后、门静脉血栓形成、低蛋白血症、凝血功能异常、高血压病2级（高危）、2型糖尿病、慢性胃炎、胆囊结石、胆总管结石、肺气肿、肺大疱、主动脉硬化、白血病、完全性右束支传导阻滞</t>
  </si>
  <si>
    <t>？</t>
  </si>
  <si>
    <t>（络)苯磺酸氨氯地平片2.5mg口服QD,(浙)瑞舒伐他汀钙片10mg口服QN，多烯磷脂酰胆碱胶囊456mg口服TID，兰索拉唑口崩片30mg口服QD</t>
  </si>
  <si>
    <t>马月馨</t>
  </si>
  <si>
    <t>消化道出血、肝硬化伴食管静脉曲张破裂出血、原发性胆汁性肝硬化、肝硬化失代偿期、脾功能亢进、低蛋白血症、贫血、腹腔积液、门静脉血栓形成、门静脉海绵样变</t>
  </si>
  <si>
    <t>陈秀文</t>
  </si>
  <si>
    <t>食管胃底静脉曲张破裂出血、肝硬化失代偿期（病因未明）、肝功能异常、脾大、白细胞减少、血小板减少、肾结石、单纯性肾囊肿（多发）、高血压3级（高危）、胆囊切除术后状态、子宫切除术后状态、</t>
  </si>
  <si>
    <t>康复新液10ml口服TID，(瑞)雷贝拉唑钠肠溶片10mg口服QD</t>
  </si>
  <si>
    <t>刘井芬</t>
  </si>
  <si>
    <t>原发性胆汁型肝硬化、自身免疫性肝炎？、食管静脉曲张不伴出血、胃溃疡、急性糜烂出血性胃炎、十二指肠球部溃疡、幽门螺杆菌感染</t>
  </si>
  <si>
    <t>腺苷蛋氨酸肠溶片1g口服QD，雷贝拉唑10mg口服QD，瑞巴派特0.1g口服 TID,双环醇片25mg口服TID，熊去氧胆酸250mg口服TID</t>
  </si>
  <si>
    <t>胡月斌</t>
  </si>
  <si>
    <t>熊去氧胆酸胶囊250mg口服，(波)雷贝拉唑钠肠溶片10mg口服，阿昔莫司分散片0.25g口服BID，甲泼尼龙片32mg口服QD</t>
  </si>
  <si>
    <t>消化道出血、门脉高压性胃肠病（出血）？、肝硬化伴食管静脉曲张、脾功能亢进、乙型肝炎后肝硬化失代偿期、全血细胞减少、贫血、慢性胃炎伴胆汁反流、2型糖尿病</t>
  </si>
  <si>
    <t>雷贝拉唑10mg口服QD，利可君片1片TID，多糖铁2粒QD</t>
  </si>
  <si>
    <t>郭盛兰</t>
  </si>
  <si>
    <t>自身免疫性肝炎-原发性胆汁性肝硬化重叠综合征？、肝硬化、类风湿性关节炎、高脂血症、高血压病1级（中危）、胆囊切除术后状态</t>
  </si>
  <si>
    <t>熊去氧胆酸胶囊250mg口服TID，甘草酸二铵肠溶胶囊150mg口服TID，螺内酯片20mg口服BID，呋塞米(自备)20mg口服QD，甲泼尼龙(自备)2mg口服QD，氯化钾缓释片(自备)1g口服QD，雷贝拉唑(自备)10mg口服QD，钙尔奇D(自备)1片口服QD</t>
  </si>
  <si>
    <t>曹媛</t>
  </si>
  <si>
    <t>肝硬化、乙型肝炎肝硬化？、食管静脉曲张不伴有出血、脾大、结肠息肉、直肠息肉、低钾血症、2型糖尿病</t>
  </si>
  <si>
    <t>(波)雷贝拉唑钠肠溶片10mg口服QD，2瑞巴派特片0.1g口服TID，2甘草酸二铵肠溶胶囊150mg口服TID，康复新液10ml口服TID</t>
  </si>
  <si>
    <t>张玉颖</t>
  </si>
  <si>
    <t>肝硬化、原发性胆汁性胆管炎、自身免疫性肝炎？、脾大、胆囊结石、高血压病2级（中危）</t>
  </si>
  <si>
    <t>熊去氧胆酸 250mg TID 苯磺酸氨氯地平片 5mgQD 氧沙坦钾片 100mgQD</t>
  </si>
  <si>
    <t>姚连福</t>
  </si>
  <si>
    <t>肝脓肿、酒精性肝硬化伴结节、肝胆管结石、胆囊切除术后状态、凝血功能异常、高血压病2级（中危）、高脂血症、血糖升高、脾血管瘤、白癜风</t>
  </si>
  <si>
    <t>盐酸莫西沙星片0.4g口服QD，多烯磷脂酰胆碱胶456mg口服TID，硝苯地平控释片30mg口服QD，琥珀酸美托洛尔缓释片23.75mg口服QD，复方嗜酸杆菌片0.5g口服TID，甲硝唑片0.2g口服TID(自备)</t>
  </si>
  <si>
    <t>臧淑兰</t>
  </si>
  <si>
    <t>原发性胆汁型肝硬化伴食管静脉曲张破裂出血、系统性硬化症、食管炎、肝血管瘤？、肝囊肿、胆囊结石、类风湿性关节炎、间质性肺病</t>
  </si>
  <si>
    <t>利可君片20mg口服TID，熊去氧胆酸胶囊250mg口服TID，替米沙坦片40mg口服QD，乙酰半胱氨酸片0.6g口服BID，(波)雷贝拉唑钠肠溶片10mg口服QD</t>
  </si>
  <si>
    <t>段玉珍</t>
  </si>
  <si>
    <t>肝性脑病、自身免疫性肝炎、肝硬化、腹水、电解质代谢紊乱、低蛋白血症、凝血功能异常</t>
  </si>
  <si>
    <t>多烯磷脂酰胆碱胶囊456mg口服TID，熊去氧胆酸胶囊250mg口服TID，利福昔明片0.4g口服BID，乳果糖口服溶液30ml口服BID，螺内酯片20mg口服BID，亿活0.5g BID(自备)口服，呋塞米20mgBID(自备)口服</t>
  </si>
  <si>
    <t>李克辉</t>
  </si>
  <si>
    <t>食管胃底静脉曲张破裂出血、肝硬化失代偿期、药物性肝硬化？、自身免疫性肝硬化？、门静脉高压、脾大、脾静脉血栓形成、腹腔积液、全血细胞减少、胆囊炎、肝囊肿、2型糖尿病</t>
  </si>
  <si>
    <t>(波)雷贝拉唑钠肠溶片10mg口服QD，2甘草酸二铵肠溶胶囊150mg口服TID，复方氨基酸胶囊(8-11)2粒口服TID，利可君片40mg口服TID，2瑞巴派特片0.1g口服TID</t>
  </si>
  <si>
    <t>张丽萍</t>
  </si>
  <si>
    <t>食管胃底静脉曲张破裂出血、消化道出血、遗传性易栓症、继发性血小板增多症、贫血、慢性胃炎、上肢静脉血栓形成(头静脉、贵要静脉、肘正中静脉)、肺部感染、胸腔积液、乙型病毒性肝炎、小肠部分切除术后状态、脾术后、甲状腺功能亢进史</t>
  </si>
  <si>
    <t>(波)雷贝拉唑钠肠溶片10mg口服QD，康复新液10ml口服TID，可乐)左年氟沙星片0.5g口服QD，恩替卡韦片0.5mg口服QD，复方甲氧那明胶囊93mg口服TID。普萘洛尔片5mg口服BID(自备，注意监测心率。心率大于60次/分5天后可加量至5mg口服TID)</t>
  </si>
  <si>
    <t>肝硬化伴食管静脉曲张破裂出血、酒精性肝硬化、门静脉高压、脾大、全血细胞减少、低蛋白血症、门静脉血栓形成、肠系膜静脉栓塞、门脉高压性胃肠病、高血压病2级(高危)、脑萎缩、白内障</t>
  </si>
  <si>
    <t>利可君片40mg口服TID，(波)雷贝拉唑钠肠溶片10mg口服QD，螺内酯片40mg口服QD，止咳合剂20ml口服BID，可乐)左氧氟沙星片0.5g口服QD，康复新液10ml口服TID</t>
  </si>
  <si>
    <t>杨庭荣</t>
  </si>
  <si>
    <t>肝硬化失代偿期、原发性胆汁型肝硬化、自身免疫性肝炎、肝硬化伴食管胃底静脉曲张套扎术后、低蛋白血症、肝功能异常、胸腔积液、门静脉血栓形成、肝结节、血小板减少、胆总管结石</t>
  </si>
  <si>
    <t>熊去氧胆酸胶囊250mg口服TID，2甘草酸二铵肠溶胶囊150mg口服TID，复方氨基酸胶(8-11)2粒口服TID，(罗)骨化三醇胶丸0.25ug口服QD，螺内酯片80，雷贝拉唑钠肠溶片10mg口服QD</t>
  </si>
  <si>
    <t>吴素华</t>
  </si>
  <si>
    <t>结肠息肉，胃息肉，慢性浅表性胃炎，肝硬化，自身免疫性肝炎，肝功能异常，igg4相关性胆管炎，脾大，贫血，高血压病1级</t>
  </si>
  <si>
    <t>雷贝拉唑钠肠溶片10mg口服QD，瑞巴派特片0.1g口服TID，熊去氧胆酸胶囊500mg口服BID</t>
  </si>
  <si>
    <t>冯继德</t>
  </si>
  <si>
    <t>肝硬化失代偿期、脾大、脾功能亢进、食管胃底静脉曲张、营养不良性低蛋白血症、慢性迁延型乙型病毒性肝炎、多发性结肠息肉、慢性胃炎、结肠溃疡、缺铁性贫血、糖耐量异常？、胆囊炎？</t>
  </si>
  <si>
    <t>美沙拉嗪颗粒1g口服QD，(2瑞)雷贝拉唑钠肠溶片10mg口服QD，复方氨基酸胶囊(8-11)2粒口服TID，(金)卡维地洛片2.5mg口服QD，康复新液10ml口服TID，利福昔明片0.4g口服BID</t>
  </si>
  <si>
    <t>张凤阁</t>
  </si>
  <si>
    <t>肝硬化失代偿期(自身免疫性肝炎？)、肝功能异常、凝血功能异常、低钾血症、低蛋白血症、腹水、脾大、心房颤动、支气管炎、肺部感染、血小板减少、多发性肝囊肿、单纯性肾囊肿(多发)、前列腺钙化灶、痛风、脑出血个人史、高血压3级(极高危)、2型糖尿病</t>
  </si>
  <si>
    <t>熊去氧胆酸胶囊250mg口服TID，乳果糖口服溶液15ml口服BID，利福昔明片0.4g口服BID，米曲菌胰酶片48mg口服TID，复方氨基酸胶囊(8-11)2粒口服TID，双歧杆菌三联活菌肠溶胶囊0.42g口服BID，螺内酷片20mg口服BID，氯化钾缓释片1g口服BID，呋塞米片20mg口服BID</t>
  </si>
  <si>
    <t>张继昌</t>
  </si>
  <si>
    <t>肝硬化伴食管静脉曲张破裂出血、失血性休克、酒精性肝硬化、2型糖尿病、室性心动过速、频发房性期前收缩(房性早搏)、高血压病1级(高危)</t>
  </si>
  <si>
    <t>李德龙</t>
  </si>
  <si>
    <t>肝硬化、肝豆状核变性、反流性食管炎、慢性胃炎、多发胃息肉、肺炎</t>
  </si>
  <si>
    <t>青霉胺0.25g 口服QD</t>
  </si>
  <si>
    <t>陶家宁</t>
  </si>
  <si>
    <t>酒精性肝硬化、上消化道出血、食管胃底静脉曲张破裂出血、肝硬化伴食管胃底静脉曲张套扎术后、高血压3级(极高危)、冠状动脉性心脏病、高脂血症、甲状腺功能异常、贫血、脾大、陈旧性脑梗死、颈椎病、周围神经病、腰椎间盘退行性病变</t>
  </si>
  <si>
    <t>(波)雷贝拉唑钠肠溶片10mg口服QD，非洛地平缓释片2.5mg口服QD，复方氨基酸胶囊(8-11)2粒口服TID，康复新液10ml口服TID</t>
  </si>
  <si>
    <t>李成英</t>
  </si>
  <si>
    <t>自身免疫性肝硬化、非酒精性脂肪型肝炎、药物性肝损害、下腔静脉狭窄？、心房颤动射频消融术后、冠状动脉粥样硬化、甲状腺结节</t>
  </si>
  <si>
    <t>利福昔明片0.2g口服QID，熊去氧胆酸胶囊250mg口服TID，(大)双歧杆菌三联活菌肠溶胶囊0.42g口服BID，(波)雷贝拉唑钠肠溶片10mg口服QD，甲泼尼龙片40mg口服QD</t>
  </si>
  <si>
    <t>郭继春</t>
  </si>
  <si>
    <t>酒精性肝硬化、肝硬化失代偿期、肝性脑病、低蛋白血症、肝功能异常、脾功能亢进、凝血功能异常、肝细胞癌、上呼吸道感染、肝囊肿(多发)、单纯性肾囊肿(左侧)、胰腺肿瘤(IPMN)？、下肢动脉粥样硬化、冠状动脉粥样硬化、高尿酸血症</t>
  </si>
  <si>
    <t>乳果糖口服溶液15ml口服BID，利福昔明片0.2g口服QID，熊去氧胆酸胶囊250mg口服TID，复方氨基酸胶囊(8-11)2粒口服TID，多烯磷脂酰胆碱胶囊456mg口服TID，螺内酯片20mg口服BID，呋塞米片20mg口服BID(自备)，腺苷蛋氨酸肠溶片0.5g口服BID</t>
  </si>
  <si>
    <t>关新</t>
  </si>
  <si>
    <t>肝功能异常、自身免疫性肝炎-原发性胆汁性肝硬化重叠综合征、药物性肝损害？、肝硬化、脂肪肝、肝囊肿、胆囊结石、甲状腺功能减退症、睡眠障碍</t>
  </si>
  <si>
    <t>熊去氧胆酸胶囊250mg口服TID，2甘草酸二铵肠溶胶150mg口服TID，可乐)左氧氟沙星片0.5g口服QD，多烯磷脂酰胆碱胶囊456mg口服TID</t>
  </si>
  <si>
    <t>王永强</t>
  </si>
  <si>
    <t>酒精性肝硬化伴使馆为敌静脉曲张、脾大、门脉高压性胃肠病、十二指肠溃疡</t>
  </si>
  <si>
    <t>(2瑞)雷贝拉唑钠肠溶片10mg口服QD，(金)卡维地洛片10mg口服QD，多烯磷脂酰胆碱胶囊456mg口服TID</t>
  </si>
  <si>
    <t>消化道出血、食管胃底静脉曲张破裂出血、门脉高压性胃肠病、乙型肝炎后肝硬化失代偿期、肝硬化伴食管静脉曲张套扎及硬化治疗术后、脾功能亢进、贫血、凝血功能异常、腹水、低T3综合征</t>
  </si>
  <si>
    <t>肝硬化(早期)、肝功能异常、自身免疫性肝炎-原发性胆汁性肝硬化重叠综合征？、黄疸、胆总管扩张</t>
  </si>
  <si>
    <t>消化道出血、肝硬化伴食管静脉曲张破裂出血、原发性胆汁性胆管炎、胃溃疡(A2)、门脉高压性胃肠病、脾大、冠状动脉粥样硬化性心脏病、高血压病2级(高危)、低蛋白血症、胰腺囊肿、肺部阴影、胆囊结石、为骨骨折</t>
  </si>
  <si>
    <t>肝硬化(隐源性)、脾功能亢进、营养性低蛋白血症、食管胃底静脉曲张、腹腔积液、门静脉高压、脾大(巨脾原因待查)、脾梗死、甲状腺功能亢进症、心脏扩大、甲状腺功能亢进性心脏病？、支气管炎</t>
  </si>
  <si>
    <t>酒精性肝硬化、脾功能亢进、肝性脑病、食管胃底静脉曲张、脑基底节出血史、高血压病3级(极高危)、缺血性心肌病？、室性期前收缩、血糖升高、血脂异常、胆囊切除术后状态</t>
  </si>
  <si>
    <t>盐酸莫西沙星片0.4g口服QD，多烯磷脂酰胆碱胶囊456mg口服TID，硝苯地平控释片30mg口服QD，琥珀酸美托洛尔缓释片23.75mg口服QD，复方嗜酸乳杆菌片0.5g口服TID，甲硝唑片0.2g口服TID(自备)</t>
  </si>
  <si>
    <t>肝脓肿，酒精性肝硬化，肝胆管结石，胆囊切除术后，凝血功能异常，高血压2级，高血脂症，血糖升高，脾血管瘤</t>
  </si>
  <si>
    <t>乙型肝炎后肝硬化失代偿期，肝硬化伴食管胃底静脉曲张，脾大，门静脉高压，低蛋白血症，低钾血症，胆囊结石，肝囊肿，多发性胃息肉</t>
  </si>
  <si>
    <t>肝硬化失代偿期，食管胃底静脉曲张，门静脉血栓形成，低蛋白血症，凝血功能异常，高血压病2级，2型糖尿病，慢性胃炎，胆囊结石，胆总管结石，肺气肿，主动脉硬化，白血病，完全性右束支传导阻滞</t>
  </si>
  <si>
    <t>食管胃底静脉曲张破裂出血、酒精性肝硬化、脾大、腹水、低蛋白血症、门脉高压性胃肠病、凝血功能异常、缺铁性贫血、全血细胞减少、慢性胃炎</t>
  </si>
  <si>
    <t>原发性胆汁性肝硬化、自身免疫性肝炎？、食管静脉曲张不伴有出血、胃溃疡、急性糜烂出血性胃炎、十二指肠球部溃疡、幽门螺旋杆菌感染</t>
  </si>
  <si>
    <t>腺苷蛋氨酸肠溶片1g口服QD，雷贝拉唑10mg口服QD，瑞巴派特0.1g口服 TID，双环醇片25mg口服TID，熊去氧胆酸250mg口服 TID</t>
  </si>
  <si>
    <t>自身免疫性肝炎-原发性胆汁性肝硬化重叠综合、肝硬化、类风湿性关节炎、高脂血症、高血压病1级(中危)、胆囊切除术后状态</t>
  </si>
  <si>
    <t>熊去氧胆酸胶囊250mg口服TID，甘草酸二铵肠溶胶囊150mg口服TID，螺内酯片20mg口服BID，呋塞米(自备)20mg口服QD，甲泼尼龙(自备)2mg口服QD，氧化钾缓释片(自备)1g口服QD，雷贝拉唑(自备)10mg口服QD，钙尔奇D(自备)1片口服QD</t>
  </si>
  <si>
    <t>71</t>
  </si>
  <si>
    <t>肝硬化失代偿期，自身免疫性肝炎，原发性胆汁性肝硬化，肝硬化伴食管胃底静脉曲张套扎术后，胸腔积液，胆囊结石，门静脉血栓形成，肝结节，胆总管结石，血小板减少，泌尿道感染？</t>
  </si>
  <si>
    <t>熊去氧胆酸胶囊250mg口服TID，螺内酯片100mg口服QD，呋塞米20mg口服QD，复方氨基酸胶囊(8-11)2粒口服TID，(2瑞)雷贝拉唑钠肠溶片10mg口服QD，(大)双歧杆菌三联活菌肠溶胶囊0.42g口服BID</t>
  </si>
  <si>
    <t>尚金兰</t>
  </si>
  <si>
    <t>消化道出血，肝硬化失代偿期，脾功能亢进，脾大，贫血，低蛋白血症，腹水，肿瘤标记物升高，骨质疏松症</t>
  </si>
  <si>
    <t>兰索拉唑口崩片30mg口服QD，生血宁片0.5g口服TID，熊去氧胆酸胶囊250mg口服TID，利福昔明片0.2g口服QID，复方氨基酸胶囊2粒口服TID，乳果糖口服溶液15ml口服BID，双环醇片25mg口服TID</t>
  </si>
  <si>
    <t>张金凤</t>
  </si>
  <si>
    <t>食管胃底静脉曲张破裂出血，肝硬化，原发性骨髓纤维化，贫血，脾大，门静脉海绵样变，低蛋白血症，腹腔积液</t>
  </si>
  <si>
    <t>康复新液10ml口服TID，(波)雷贝拉唑钠肠溶片10mg口服QD，复方氨基酸胶囊(8-11)2粒口服TID，乳果糖口服溶液15ml口服TID，螺内酯片40mg口服QD，呋塞米片20mg口服QD(自备)</t>
  </si>
  <si>
    <t>酒精性肝硬化伴食管胃底静脉曲张破裂出血、肝硬化失代偿期、门静脉高压、脾大(中度)、脾功能亢进、全血细胞减少、腹水、凝血功能异常、低蛋白血症、糖耐量异常</t>
  </si>
  <si>
    <t>2瑞巴派特片0.1g口服TID，螺内酯片100mg口服QD，利可君片40mg口服TID，(2瑞)雷贝拉唑钠肠溶片10mg口服QD，复方氨基酸胶囊(8-11)2粒口服TID</t>
  </si>
  <si>
    <t>张玉婷</t>
  </si>
  <si>
    <t>肝功能异常，酒精性肝硬化？，腹腔积液，自发性腹膜炎？胸腔积液，胆囊结石？，慢性胃炎，凝血功能障碍</t>
  </si>
  <si>
    <t>(国)头孢地尼胶囊0.1g口服TID，螺内酯片20mg口服BID，多烯磷脂酰胆碱胶囊456mg口服TID，熊去氧胆酸胶囊250mg口服TID，呋塞米片20mg口服QD</t>
  </si>
  <si>
    <t>杨凤举</t>
  </si>
  <si>
    <t>食管静脉曲张伴出血套扎术后，消化道出血，肝硬化？，贫血，脂肪肝，慢性胃炎，高血压2级2型糖尿病，冠状动脉性心脏病？</t>
  </si>
  <si>
    <t>波)雷贝拉唑钠肠溶片10mg口服QD，康复新液10ml口服TID，乳果糖口服溶液15ml口服TID，复方氨基酸胶囊(8-11)2粒口服TID，普奈洛尔片10mg口服QD(注意监测心率，心率小于60次/分应减量或停药)(自备)，善存片1片口服QD(自备)，二甲双胍片1片口服BID(自备)，西格列丁片1片口服QD(自备)，格列美脲片1片口服QD(自备)</t>
  </si>
  <si>
    <t>王桂森</t>
  </si>
  <si>
    <t>丙型肝炎肝硬化，脾功能亢进，脾大，全血细胞减少，高血压2级，胆囊结石</t>
  </si>
  <si>
    <t>利可君片40mg口服TID，熊去氧胆酸胶囊250mg口服TID，2甘草酸二铵肠溶胶囊150mg口服TID，(波)雷贝拉唑钠肠溶片10mg口服QD</t>
  </si>
  <si>
    <t>宋庆和</t>
  </si>
  <si>
    <t>肝性脑病、肝硬化，伴食管胃底静脉曲张，腹水，低蛋白血症，结肠息肉，胆囊结石，慢性胃炎？脑萎缩？</t>
  </si>
  <si>
    <t>利福昔明片0.2g口服QID，(波)雷贝拉唑钠肠溶片10mg口服QD，复方氨基酸胶囊(8-11)2粒口服TID，熊去氧胆酸胶囊250mg口服TID，(大)双歧杆菌三联活菌肠溶胶囊0.63g口服BID</t>
  </si>
  <si>
    <t>张利琴</t>
  </si>
  <si>
    <t>肝硬化伴食管胃底静脉曲张，消化道出血，自身免疫性肝炎？，低蛋白血症，地纤维蛋白原血症，贫血</t>
  </si>
  <si>
    <t>复方氨基酸胶囊(8-11)2粒口服TID，可乐)左氧氟沙星片0.5g口服QD，(波)雷贝拉唑钠肠溶片10mg口服QD，康复新液10ml口服TID，熊去氧胆酸胶囊250mg口服TID，自备药:螺内酯40mg口服QD，钙尔奇600mg口服QD</t>
  </si>
  <si>
    <t>张红国</t>
  </si>
  <si>
    <t>肝硬化伴食管胃底静脉曲张破裂出血，丙肝后肝硬化失代偿，低蛋白血症，贫血，腹水，高血压3级，胆囊切除术后状态</t>
  </si>
  <si>
    <t>利福昔明片0.2g口服QID，(大)双歧杆菌三联活菌肠溶胶囊0.63g口服BID，呋塞米片20mg口服BID，复方氨基酸胶囊(8-11)2粒口服TID，螺内酯片60mg口服QD</t>
  </si>
  <si>
    <t>乙型肝炎后肝硬化失代偿期，门脉高压性胃肠病，贫血，慢性胃炎，子宫切除术后状态，甲状腺术后</t>
  </si>
  <si>
    <t>左甲状腺素钠片50ug口服QD，恩替卡韦片0.5mg口服QD，利福昔明片0.2g口服QID，乳果糖口服溶液15ml口服TID，兰索拉唑口崩片30mg口服QD</t>
  </si>
  <si>
    <t>食管胃底静脉曲张破裂出血，肝硬化失代偿期，门静脉高压，腹腔积液，门静脉血栓形成，肝功能异常，凝血功能异常，慢性胃炎，低蛋白血症，低钾血症，中度贫血，2型糖尿病脾术后</t>
  </si>
  <si>
    <t>康复新液10ml口服TID，雷贝拉唑钠肠溶片10mg口服QD，复方氨基酸胶囊2粒口服TID，甘草酸二胺肠溶胶囊150mg口服TID，螺内酷片40mg口服QD(自备)，呋塞米片20mg口服QD(自备)，乳果糖口服液15ml口服BID</t>
  </si>
  <si>
    <t>房振勤</t>
  </si>
  <si>
    <t>乙型肝炎肝硬化，消化道出血，伴食管胃底静脉曲张破裂出血，消化道出血，低蛋白血症，贫血十二指肠息肉，腹水，二型糖尿病</t>
  </si>
  <si>
    <t>恩替卡韦片0.5mg口服QD，(波)雷贝拉唑钠肠溶片10mg口服QD，康复新液10ml口服TID，复方氨基酸胶囊(8-11)2粒口服TID</t>
  </si>
  <si>
    <t>周凤英</t>
  </si>
  <si>
    <t>食管胃底静脉曲张破裂出血，肝硬化失代偿期，门静脉高压，脾大，腹腔积液，低蛋白血症，缺铁性贫血，2型糖尿病，血小板减少左乳腺术后</t>
  </si>
  <si>
    <t>康复新液10ml口服TID，雷贝拉唑钠肠溶片10mg口服QD，复方氨基酸胶囊2粒口服TID</t>
  </si>
  <si>
    <t>自身免疫性肝炎-原发性胆汁性胆管炎重叠综合，胃底静脉曲张组织胶注射术后，低蛋白血症，食管静脉曲张，肝功能异常，干燥综合征？</t>
  </si>
  <si>
    <t>熊去氧胆酸胶囊250mg口服QID，复方氨基酸胶囊(8-11)2粒口服TID，(波)雷贝拉唑钠肠溶片10mg口服QD，白芍总苷胶囊0.6g口服TID</t>
  </si>
  <si>
    <t>张素霞</t>
  </si>
  <si>
    <t>肝硬化伴食管胃底静脉曲张破裂出血，乙肝后肝硬化失代偿期，脾功能亢进，低蛋白血症，盆腔积液，肿瘤标记物升高</t>
  </si>
  <si>
    <t>(波)雷贝拉唑钠肠溶片10mg口服QD，康复新液10ml口服TID，多烯磷脂酰胆碱胶囊456mg口服TID，恩替卡韦片0.5mg口服QD</t>
  </si>
  <si>
    <t>赵桂钢</t>
  </si>
  <si>
    <t>肝硬化失代偿期、肝占位性病变原因待定、门静脉血栓形成、电解质代谢紊乱、甲状腺功能减退症、心律失常、心房颤动、多浆膜腔积液、肾功能异常、高血压病3级(极高危)、低蛋白血症、贫血、冠状动脉性心脏病、稳定型心绞痛</t>
  </si>
  <si>
    <t>左甲状腺素钠片100ug口服QD，曲美他嗪片20mg口服QD，米曲菌胰片24mg口服TID，熊去氧胆酸胶囊250mg口服TID，复方氨基酸胶囊(8-11)2粒口服TID，伊托必利片50mg口服TID，螺内酯片40mg口服BID，蚓激醇肠溶胶囊30万IU口服TID(自备)，托伐普坦1粒口服QD(自备)，呋塞米40mg口服BID(自备)</t>
  </si>
  <si>
    <t>酒精性肝硬化伴胃底静脉曲张破裂出血、酒精性肝硬化失代偿期、门脉高压性胃肠病、自身免疫性肝炎？、腹水、脾功能亢进、脾大、肝功能异常、贫血、低蛋白血症、低钾血症、低钙血症、肿瘤标记物升高、凝血功能异常、2型糖尿病、胸腔积液、多发性肝囊肿、胆囊结石</t>
  </si>
  <si>
    <t>(波)雷贝拉唑钠肠溶片10mg口服QD，2瑞巴派特片0.1g口服TID，康复新液10ml口服TID，多烯磷脂酰胆碱胶囊456mg口服TID，螺内酯片20mg口服QD，呋塞米20mg口服BID</t>
  </si>
  <si>
    <t>田保泽</t>
  </si>
  <si>
    <t>肝硬化伴食管胃底静脉伴曲张破裂出血、自身免疫性肝硬化、门静脉血栓形成、脾功能亢进、慢性胃炎、重度贫血、电解质代谢紊乱</t>
  </si>
  <si>
    <t>康复新液10ml口服TID，2瑞巴派特片0.1g口服TID，(波)雷贝拉唑钠肠溶片10mg口服QD，熊去氧胆酸胶囊250mg口服TID，(大)利伐沙班片20mg口服QD</t>
  </si>
  <si>
    <t>邵红叶</t>
  </si>
  <si>
    <t>丙型肝炎后肝硬化失代偿期、脾大、贫血、血小板减少、白细胞减少、甲状腺功能亢进史、子宫切除术后状态、阑尾术后</t>
  </si>
  <si>
    <t>(波)雷贝拉唑钠肠溶片10mg口服QD，瑞巴派特片0.1g口服TID，康复新液10ml口服TID</t>
  </si>
  <si>
    <t>邢宝英</t>
  </si>
  <si>
    <t>食管胃底静脉曲张、肝硬化失代偿期、脾功能亢进、腹腔积液、门静脉血栓形成、慢性乙型病毒性肝炎、支气管炎、肠系膜脂膜炎、肿瘤标记物升高、营养风险</t>
  </si>
  <si>
    <t>塞米片20mg口服QD(自备)，螺内酯片50mg口服QD(自备)，艾司奥美拉唑镁肠溶片40mg口服QD，复方氨基酸胶(8-11)2粒口服TID</t>
  </si>
  <si>
    <t>消化道出血、食管胃底静脉曲张破裂出血、肝硬化失代偿期、脾功能亢进、结肠肿物(脂肪瘤？)、慢性胃炎、内痔、2型糖尿病、抑郁状态</t>
  </si>
  <si>
    <t>阿普唑仑1片口服QD，阿普唑仑2片口服QD，氯氮平4片口服QD【早8:30】，氧氮平7片口服QD【晚20:30】，氯氮平5片口服QD【午13:00】，利可君片20mg口服TID，生血宁片0.5g口服TID，内酯片40mg口服QD，呋塞米20mg口服QD，(波)雷贝唑钠肠溶片10mg口服QD，2瑞巴派特片0.1g口服TID</t>
  </si>
  <si>
    <t>刘振凯</t>
  </si>
  <si>
    <t>上消化道出血、食管胃底静脉曲张破裂出血、酒精性肝硬化失代偿期、门脉高压性胃肠病、十二指肠球炎伴糜烂、肝功能异常、低蛋白血症、高血压1级、2型糖尿病、肿瘤标记物升高、胆囊腺肌症、慢性支气管炎</t>
  </si>
  <si>
    <t>磷酸铝凝胶20g口服BID，硫普罗宁肠溶片0.2g口服TID，氯雷他定片10mg口服QD(皮疹好转后停药)，(波)雷贝拉钠肠溶片10mg口服QD</t>
  </si>
  <si>
    <t>消化道出血、食管胃底静脉曲张破裂出血、乙型肝炎肝硬化、门静脉高压、门脉高压性胃肠病、脾大、脾功能亢进、腹腔积液、低蛋白血症</t>
  </si>
  <si>
    <t>恩替卡韦片0.5mg口服QD，呋塞米片(自备)20mg口服QD，螺内酯片20mg口服BID，(波)雷贝拉唑钠肠溶片10mg口服QD，康复新液10ml口服TID，2瑞巴派特片0.1g口服TID</t>
  </si>
  <si>
    <t>杨金山</t>
  </si>
  <si>
    <t>消化道出血、食管胃底静脉曲张破裂出血、门静脉血栓形成、脾大、结肠憩室、胆囊结石、胸腔积液贫血、低蛋白血症、酒精性肝硬化失代偿期</t>
  </si>
  <si>
    <t>(波)雷贝拉唑钠肠溶片10mg口服QD，2瑞巴派特片0.1g口服TID，康复新液10ml口服TID，螺内酯片20mg口服QD，呋塞米片20mg口服QD</t>
  </si>
  <si>
    <t>消化道出血、门脉高压性胃肠病(出血)？、肝硬化伴食管静脉曲张、脾功能亢进、乙型肝炎后肝硬化失代偿期、全血细胞减少、贫血：慢性胃炎伴胆汁反流、2型糖尿病</t>
  </si>
  <si>
    <t>雷贝拉唑10mg口服QD，利可君片1片 TID，多糖铁2粒QD</t>
  </si>
  <si>
    <t>侯淑琦</t>
  </si>
  <si>
    <t>乙型肝炎后肝硬化失代偿期、低蛋白血症、腹腔积液、脾大、贫血、慢性胃炎、胆囊结石、肾功能异常、2型糖尿病、感染、眼底出血、糖尿病性视网膜病变</t>
  </si>
  <si>
    <t>多烯磷脂酰胆碱胶囊456mg口服TID，尿毒清颗粒(无糖型)5g口服TID，(苏)恩替卡韦分散片0.5mg口服QD，利格列汀片5mg口服QD，复方嗜酸乳杆菌片1g口服TID，(波)雷贝拉唑钠肠溶片10mg口服QD，(诺)瑞格列奈片2mg口服TID，螺内酯片40mg口服BID，(国)头孢地尼胶囊0.1g口服TID，呋塞米片20mg口服QD(自备)，来得时胰岛素6IU皮下QN(自备)，复方氨基酸胶囊2粒TID口服自备)</t>
  </si>
  <si>
    <t>贾士亮</t>
  </si>
  <si>
    <t>肝硬化伴食管胃底静脉曲张、乙型肝炎肝硬化、脾功能亢进、低蛋白血症、门脉高压性胃肠病、慢性萎缩性胃炎、缺铁性贫血、肝囊肿</t>
  </si>
  <si>
    <t>生血宁片0.5g口服BID，(金)卡维地洛片5mg口服QD，恩替卡韦0.5mg口服QD</t>
  </si>
  <si>
    <t>佟荣芹</t>
  </si>
  <si>
    <t>肝硬化失代偿期、肝硬化伴食管胃底静脉曲张、腹水、低蛋白血症、肝肾综合征、肾功能异常、凝血功能异常、电解质代谢紊乱、心房颤动、陈旧性心肌梗死、冠状动脉性心脏病、冠状动脉支架植入后状态、冠状动脉搭桥术后状态、心力衰竭、高血压病3级(极高危)</t>
  </si>
  <si>
    <t>(泰)氢氯吡格雷片50mg口服QD，琥珀酸美托洛尔缓释片47.5mg口服QD，(欣)单硝酸异山梨酯片20mg口服BID，(进)阿托伐他汀钙片20mg口服QN，(可力)地高辛片0.125mg口服QD，米曲菌胰酶片48mg口服TID，复方氨基酸胶囊(8-11)2粒口服TID，曲美布汀片0.1g口服TID，螺内酯片20mg口服BID，呋塞米片20mg口服BID(效果不佳时可改为托拉塞米片20mg口服BID)，(波)雷贝拉唑钠肠溶片10mg口服QD</t>
  </si>
  <si>
    <t>黄维宽</t>
  </si>
  <si>
    <t>消化道出血、肝硬化、低蛋白血症</t>
  </si>
  <si>
    <t>乳果糖口服溶液15ml口服TID，多烯磷脂酰胆碱胶囊456mg口服TID，(2瑞)雷贝拉唑钠肠溶片10mg口服QD，康复新液10ml口服TID，复方氨基酸胶囊(8-11)2粒口服TID，利伐沙班10mg口服QD(自备)</t>
  </si>
  <si>
    <t>魏艳清</t>
  </si>
  <si>
    <t>自身免疫性肝硬化、自身免疫性肝炎-原发性胆汁性胆管炎重叠综合征，慢性萎缩性胃炎，2型糖尿病，高血压病3级、冠心病、高脂血症、胆囊息肉、肠道菌群失调</t>
  </si>
  <si>
    <t>熊去氧胆酸胶囊 250mg口服 TID，硝苯地平控释片 30mg口服 QN，(安)厄贝沙坦片 0.15g口服QN ，(进)阿托伐他汀钙片 20mg口服 QN，硒酵母片100Ug 口服 BID，(大)双歧杆菌三联活菌肠溶胶囊0.21g口服 BID</t>
  </si>
  <si>
    <t>任忠义</t>
  </si>
  <si>
    <t>1.酒精性肝硬化 2.肝硬化失代偿期 3.腹水 4.肝性脑病 5.脾大 6.电解质代谢紊乱 7.双下肢水肿 8.低蛋白血症 9.门静脉高压 10.胆囊结石 11.2型糖尿病 12.静脉曲张术后 13.双侧颈动脉狭窄</t>
  </si>
  <si>
    <t>螺内酯片 40mg 口服 BID，复方氨基酸胶囊(8-11)2粒 口服 TID，熊去氧胆酸胶囊 250mg 口服 TID，康复新液 10ml口服 TID，肾炎康复片 2.4g 口服TID，呋塞米 40mg 口服 BID</t>
  </si>
  <si>
    <t>1.乙型肝炎后肝硬化失代偿期 2.肝结节（性质待定） 3.肝硬化伴食管胃底静脉曲张 4.脾大 5.门脉高压性胃肠病 6.便秘</t>
  </si>
  <si>
    <t>能去氧胆酸胶囊 250 mg 口服，复方氨基酸胶囊(8-11)2 粒 口服，利可君片 40mg口服，泮托拉唑钠肠溶片 40 mg口服，乳果糖口服溶液15ml口服</t>
  </si>
  <si>
    <t>1.上消化道出血 2.十二指肠溃疡伴出血 3.酒精性肝硬化 4.肝硬化伴食管胃底静脉曲张套扎术后 5.高血压3级（极高危） 6.冠状动脉性心脏病 7.贫血 8.陈旧性脑梗死</t>
  </si>
  <si>
    <t>(波)雷贝拉唑钠肠溶片10mg口服QD，非洛地平缓释片5mg口服QD，复方氨基酸胶囊(8-11)2粒口服TID，康复新液10ml口服TID</t>
  </si>
  <si>
    <t>王维克</t>
  </si>
  <si>
    <t>1.食管狭窄（瘢痕狭窄） 2.酒精性肝硬化失代偿期 3.酒精性肝硬化伴食管胃底静脉曲张 4.门脉高压性胃肠病 5.脾大 6.脾功能亢进 7.慢性胃炎伴糜烂 8.右侧单纯性肾囊肿 9.前列腺钙化灶</t>
  </si>
  <si>
    <t>康复新液10ml口服TID，(波)雷贝拉唑钠肠溶片10mg口服QD，利可君片20mg口服TID，(金)卡维地洛片5mg口服QD</t>
  </si>
  <si>
    <t>李冬莲</t>
  </si>
  <si>
    <t>1.肝硬化伴食管静脉曲张2.门脉高压性胃肠病3.肝硬化失代偿期4.原发性胆汁性胆管炎5.自身免疫性肝炎？6.脾大7.干燥综合征\[舍格伦\]8.贫血9.肝功能异常10.肺动脉高压11.肺部阴影12.纵隔淋巴结肿大13.低钾血症14.升结肠憩室15.多发性肝囊肿16.单纯性肾囊肿（右肾）</t>
  </si>
  <si>
    <t>熊去氧胆酸胶囊 250 mg口服 TID ，2甘草酸二铵肠溶胶囊 150 mg 口服 TID，白芍总苷胶囊 0.6g口服 TID，生血宁片 0.5g口服 TID，多糖铁复合物胶囊 0.3g口服 QD，利可君片 20 mg 口服 TID，(金)卡维地洛片 10 mg 口服 QD，氯化钾缓释片 1g 口服 BID</t>
  </si>
  <si>
    <t>宋宝铭</t>
  </si>
  <si>
    <t>1.小肠出血 2.肝硬化 3.肝动静脉瘘 4.脾动脉瘤 5.肺动脉高压 6.遗传性出血性毛细血管扩张症? 7.慢性胃炎 8.结肠息肉 9.2型糖尿病 10.持续性心房颤动</t>
  </si>
  <si>
    <t>磷酸铝凝胶 20 g口服 TID ，(大)双歧杆菌三联活菌肠溶胶囊 0.42 g口服 TID ，康复新液 10ml 口服 TID，(可力)地高辛片 0.125 mg 囗服 QD，多糖铁复合物胶囊 0.3g口服 QD，叶酸0. 4mg 口服QD自备，呋塞米20mg QD自备，螺内酯20mg自备QD</t>
  </si>
  <si>
    <t>李福纯</t>
  </si>
  <si>
    <t>1.消化道出血2.肝硬化失代偿期3.乙型肝炎肝硬化4.肝硬化伴食管静脉曲张5.肝硬化伴胃底静脉曲张6.脾术后7.肝功能不全8.低蛋白血症9.中度贫血10.肠系膜上静脉血栓形成11.门静脉血栓形成</t>
  </si>
  <si>
    <t>熊去氧胆酸胶囊250mg口服TID，(波)雷贝拉唑钠肠溶片10mg口服QD，复方啫酸乳杆菌片1g口服TID，康复新液10ml口服TID</t>
  </si>
  <si>
    <t>杨宝珍</t>
  </si>
  <si>
    <t>1.消化道出血2.肝硬化伴食管静脉曲张3.门脉高压性胃肠病4.胃溃疡伴出血5.直肠静脉曲张6.脾大7.胆囊切除术后状态8.肝囊肿9.单纯性肾囊肿</t>
  </si>
  <si>
    <t>(波)雷贝拉唑钠肠溶片10mg口服QD，熊去氧胆酸胶囊250mg口服TID，2瑞巴派特片0.1g口服TID，螺内酯片40mg口服QD</t>
  </si>
  <si>
    <t>1.肝硬化失代偿期2.酒精性肝硬化伴食管胃底静脉曲张3.脾大4.脾功能亢进5.高氨血症6.肝功能异常7.高尿酸血症8.肝性脑病9.腹水10.低蛋白血症11.消化道出血12.高血压病3级（高危）13.胆囊术后14.慢性前列腺炎15.结肠息肉</t>
  </si>
  <si>
    <t>腺苷蛋氨酸肠溶片1g口服 BID，利可君片20mg口服TID，多烯磷脂酰胆碱胶囊456mg口服TID，利福昔明片0.2g口服QID，(波)雷贝拉唑钠肠溶片10mg口服QD，曲美布汀片0.1g口服TID，乳果糖口服溶液15ml口服BID</t>
  </si>
  <si>
    <t>范福征</t>
  </si>
  <si>
    <t>肝硬化失代偿期、慢性乙型病毒性肝炎、食管静脉曲张不伴有出血、门脉高压性胃肠病、腹水、脾大、脂肪肝、蛋白尿、胆囊息肉、胆囊炎</t>
  </si>
  <si>
    <t>甘草酸二铵肠溶胶囊150mg口服TID(一周后减为100mg口服TID)、恩替卡韦分散片0.5mg口服QD、复方氨基酸胶囊(8-11)2粒口服BID、肾炎康复片5片口服TID(自备)</t>
  </si>
  <si>
    <t>赵云华</t>
  </si>
  <si>
    <t>消化道出血、肝硬化失代偿期（PBC？AIH-PBC重叠综合征？）、胃底静脉曲张伴出血、脾功能亢进、低蛋白血症、</t>
  </si>
  <si>
    <t>熊去氧胆酸胶囊250mg口服TID，康复新液10ml口服TID，艾司奥美拉唑镁肠溶片40mg口服QD</t>
  </si>
  <si>
    <t>1.丙型肝炎后肝硬化失代偿期 2.低钾血症 3.低蛋白血症 4.轻度贫血 5.慢性胃炎 6.高血压3级（极高危） 7.肺气肿 8.肺大疱 9.胸腔积液 10.肺不张</t>
  </si>
  <si>
    <t>苯磺酸左氨氯地平片5mg口服 QD;(华中)艾司唑仑片 2mg口服QN;(2瑞)雷贝拉唑钠肠溶片 20 mg 口服 QD ;多烯磷脂酰胆碱胶囊 456 mg □服 TID ;复方氨基酸胶囊(8-11)1 粒 口服 BID ;氯化钾缓释片 1g 口服 BID(自备)</t>
  </si>
  <si>
    <t>赵熙信</t>
  </si>
  <si>
    <t>1.肝硬化伴食管胃底静脉曲张破裂出血 2.隐源性肝硬化 3.肝功能异常 4.贫血 5.低T3综合征 6.2型糖尿病 7.胆囊结石 8.低钙血症 9.低钾血症</t>
  </si>
  <si>
    <t>波)雷贝拉唑钠肠溶片10mg口服QD ，生血宁片 0.5g口服 BID，螺內酯片 20 mg 口服 BID，熊去氧胆酸胶囊 250 mg 口服 TID，(大)双歧杆菌三联活菌肠溶胶囊 0.63 g口服 BID</t>
  </si>
  <si>
    <t>1.肝硬化失代偿期 2.腹水 3.低蛋白血症 4.脾大 5.脾功能亢进 6.门静脉血栓形成 7.贫血 8.血小板减少 9.白细胞减少 10.肿瘤标记物升高 11.食管胃底静脉曲张术后 12.白内障术后 13.支气管哮喘 14.心脏瓣膜病</t>
  </si>
  <si>
    <t>熊去氧胆酸胶囊 250 mg 口服 TID，螺内酯片 40 mg 口服BID， 复方氨基酸胶囊(8-11)2 粒 口服 TID ，兰索拉唑口崩片 30 mg 口服 QD，伊托必利片 50 mg 口服 TID ，多烯磷脂酰胆碱胶囊 456 mg 口服 TID，磷酸铝凝胶 20 g口服QN ，(大)双歧杆菌三联活菌肠溶胶囊 0.42 g口服 TID，(华中)艾司唑仑片1mg口服QN</t>
  </si>
  <si>
    <t>上消化道出血、食管胃底静脉曲张破裂出血、肝硬化失代偿期、脾功能亢进、自身免疫性肝炎-原发性胆汁性胆管炎、贫血、低蛋白血症</t>
  </si>
  <si>
    <t>螺内酯片40mg口服QD，(波)雷贝拉唑钠肠溶片10mg口服QD，熊去氧胆酸胶囊250mg口服BID，2瑞巴派特片0.1g口服TID、和可君片20mg口服TID，呋塞米20mg口服QD，乳果糖口服溶液15ml口服BID</t>
  </si>
  <si>
    <t>王玉英</t>
  </si>
  <si>
    <t>熊去氧胆酸胶囊250mg口服TID，复方嗜酸乳杆菌片1g口服TID，复方氨基酸胶囊(8-11)2粒口服TID，琥珀酸美托洛尔缓释片47.5mg口服QD，乳果糖口服溶液15ml口服BID，螺内酯片40mg口服QD，西甲硅油乳剂2ml口服TID</t>
  </si>
  <si>
    <t>张友侠</t>
  </si>
  <si>
    <t>消化道出血、食管静脉曲张伴有出血、不明原因肝硬化失代偿期、肝硬化伴食管胃底静脉曲张、门脉高压性胃肠病、脾大</t>
  </si>
  <si>
    <t>止咳合剂30ml口服TID，(波)雷贝拉唑钠肠溶片10mg口服QD，康复新液10ml口服TID</t>
  </si>
  <si>
    <t>闫秋锦</t>
  </si>
  <si>
    <t>肝硬化伴食管静脉曲张、门静脉高压、脾大、结肠息肉、慢性胃炎、肺间质纤维化、胆囊结石、高血压病2级（高危）  不明原因肝硬化</t>
  </si>
  <si>
    <t>熊去氧胆酸胶囊250mg口服BID，多烯磷脂酰胆碱胶囊456mg口服TID，乙酰半胱氨酸片0.6g口服BID，琥珀酸美托洛尔缓释片47.5mg口服QD，康复新液10ml口服TID，(波)雷贝拉唑钠肠溶片10mg口服QD，(大)双歧杆菌三联活菌肠溶胶囊0.84g口服BID</t>
  </si>
  <si>
    <t>李臣</t>
  </si>
  <si>
    <t>食管胃底静脉曲张破裂出血、酒精性肝硬化失代偿期、门静脉高压、腹水、脾大、低蛋白血症、慢性胃炎、胆囊结石、结肠憩室、2型糖尿病、支气管炎</t>
  </si>
  <si>
    <t>(2瑞)雷贝拉唑钠肠溶片10mg口服QD，2瑞巴派特片0.1g口服TID，阿卡波糖50mg tid餐前口服自备</t>
  </si>
  <si>
    <t>侯建国</t>
  </si>
  <si>
    <t>肺部阴影、肝硬化？、冠状动脉性心脏病、高血压病3级（极高危）、2型糖尿病、视神经脊髓炎谱系疾病、骨质疏松、子宫切除术后状态</t>
  </si>
  <si>
    <t>2米曲菌胰酶片24mg口服TID，伊托必利片50mg口服TID，(华中)艾司唑仑片1mg口服QN，(大)双歧杆菌三联活菌肠溶胶囊0.63g口服BID</t>
  </si>
  <si>
    <t>吴留珠</t>
  </si>
  <si>
    <t>1.肝硬化失代偿期、酒精性肝病、自身免疫性肝硬化？2.门静脉高压3.腹腔积液（大量）4.脾功能亢进5.低蛋白血症6.食管静脉曲张不伴有出血7.肺部感染？8.电解质代谢紊乱9.轻度贫血10.黄疸11.胆囊结石12.肠道菌群失调13.窦性心动过速14.慢性肾炎？</t>
  </si>
  <si>
    <t>(大)双歧杆菌三联活菌肠溶胶囊 0.63 g口服 BID ，(国)富马酸比索洛尔片 7.5 mg 口服 QD，腺苷蛋氨酸肠溶片 0.5g口服 BID，复方氨基酸胶囊(8-11)2 粒 口服 BID，肾炎康复片 2.4g口服 TID，可乐)左氧氟沙星片 0.5g口服 QD，螺内酯片 40 mg 口服 BID，呋塞米20mg口服QD</t>
  </si>
  <si>
    <t>梁守庆</t>
  </si>
  <si>
    <t>食管胃底静脉曲张破裂出血、肝硬化失代偿期、门静脉血栓形成、门静脉海绵样变、门脉高压性胃肠病、腹水、脾术后、贫血、低蛋白血症、支气管炎、左侧胸腔积液、肺空洞、间质性肺病、凝血功能异常、</t>
  </si>
  <si>
    <t>国)头孢地尼胶囊0.1g口服TID，(2瑞)雷贝拉唑钠肠溶片10mg口服QD，(TPF能)肠内营养混悬液500ml口服QD</t>
  </si>
  <si>
    <t>王淑俊</t>
  </si>
  <si>
    <t>肝硬化失代偿期、腹水、脾大、胃底静脉曲张、食管静脉曲张不伴有出血、脾功能亢进、胆囊炎、胆囊结石、冠状动脉粥样硬化性心脏病、冠状动脉支架植入后状态、低蛋白血症、肿瘤标记物升高、支气管炎、肺部阴影、心包积液、单纯性肾囊肿  少量腹水、脾大、食管静脉曲张</t>
  </si>
  <si>
    <t>米曲菌胰酶片24mg口服TID，曲美布汀片0.1g口服TID，瑞巴派特片0.1g口服TID，呋塞米片20mg口服QD，复方氨基酸胶囊(8-11)2粒口服TID，头孢地尼胶囊0.1g口服TID(1周)，熊去氧胆酸胶囊250mg口服TID</t>
  </si>
  <si>
    <t>陈金杰</t>
  </si>
  <si>
    <t xml:space="preserve">酒精性肝硬化失代偿期、门静脉高压、脾大、直肠息肉、高血压病3级（极高危）、2型糖尿病、高脂血症、陈旧性脑梗死  </t>
  </si>
  <si>
    <t>康复新液10mL口服TID，(大)双歧杆菌三联活菌肠溶胶囊0.42g口服BID，多烯磷脂酰胆碱胶囊456mg口服TID</t>
  </si>
  <si>
    <t>张国庆</t>
  </si>
  <si>
    <t>肝硬化伴食管静脉曲张、消化道出血、酒精性肝硬化、腹水、脾功能亢进、门脉高压性胃肠病、肝功能异常、结肠息肉、十二指肠息肉？、小肠黏膜糜烂、慢性胃炎、内痔、2型糖尿病</t>
  </si>
  <si>
    <t>(波)雷贝拉唑钠肠溶片10mg口服QD，康复新液10ml口服TID，2瑞巴派特片0.1g口服TID，熊去氧胆酸胶囊250mg口服QD</t>
  </si>
  <si>
    <t>写化江</t>
  </si>
  <si>
    <t>消化道出血、胃溃疡、十二指肠溃疡伴出血、乙型肝炎后肝硬化失代偿期、腹水、脾大、脾功能亢进、肝功能异常、低蛋白血症、低钾血症</t>
  </si>
  <si>
    <t>波)雷贝拉唑钠肠溶片10mg口服QD，康复新液10ml口服TID，2瑞巴派特片0.1g口服TID，熊去氧胆酸胶囊250mg口服QD，复方氨基酸胶囊(8-11)2粒口服TID</t>
  </si>
  <si>
    <t>胃窦毛细血管扩张症、消化道出血、肝硬化失代偿期、肝硬化伴食管胃底静脉曲张套扎术后、门脉高压性胃肠病、肝硬化TIPS术后、高血压病1级（高危）、2型糖尿病、缺铁性贫血、肝囊肿、胆囊结石</t>
  </si>
  <si>
    <t>2瑞巴派特片0.1g口服TID，施)苯磺酸左氨氯地平片2.5mg口服QD，螺内酯片20mg口服QD，康复新液10ml口服TID，(卡博平)阿卡波糖片50mg口服TID，兰索拉唑口崩片30mg口服QD，味塞米片20mg口服QD</t>
  </si>
  <si>
    <t>王淑珍</t>
  </si>
  <si>
    <t>食管静脉曲张伴有出血、消化道出血、肝硬化失代偿期、原发性胆汁性胆管炎、脾大、腹水、脾功能亢进、低蛋白血症、肝功能异常、胃息肉、慢性胃炎、十二指肠球部息肉、低钾血症、食管裂孔疝、食管炎、颈椎病、慢性支气管炎</t>
  </si>
  <si>
    <t>瑞巴派特片0.1g口服TID，熊去氧胆酸胶囊250mg口服BID，利可君片20mg口服TID，(波)雷贝拉唑钠肠溶片10mg口服QD，康复新液10ml口服TID</t>
  </si>
  <si>
    <t>冯德生</t>
  </si>
  <si>
    <t>肝功能异常、肝硬化、高血压病2级（中危）、低蛋白血症</t>
  </si>
  <si>
    <t>甘草酸二铵肠溶胶囊150mg口服TID，熊去氧胆酸胶囊250mg口服TID，曲美布汀片0.2g口服TID，米曲菌胰酶片48mg口服TID，复方氨基酸胶囊(8-11)2粒口服TID</t>
  </si>
  <si>
    <t>李伟</t>
  </si>
  <si>
    <t>酒精性肝硬化失代偿期、胃底静脉曲张、腹腔积液、脾大、脾功能亢进、下肢深静脉瓣膜功能不全</t>
  </si>
  <si>
    <t>熊去氧胆酸胶囊250mg口服 每日三次，螺内酯片40mg口服 每日一次，多烯磷脂酰胆碱胶囊456mg口服每日三次，腺苷蛋氨酸肠溶片1g口服 每日两次，呋塞米 20mg口服 隔日一次</t>
  </si>
  <si>
    <t>李德义</t>
  </si>
  <si>
    <t>消化道出血、贲门炎、慢性胃炎伴糜烂、小肠黏膜糜烂、多发性结肠息肉、十二指肠息肉、肝硬化失代偿期、酒精性肝硬化？、自身免疫性肝炎？、肝功能异常、贫血、脾大、低蛋白血症、低钙血症、凝血功能异常、慢性胆囊炎、阑尾术后、支气管炎、肺部阴影、尺神经损害、正中神经的其他损害、单纯性肾囊肿（双肾多发）、内痔</t>
  </si>
  <si>
    <t>(波)雷贝拉唑钠肠溶片10mg口服QD，熊去氧胆酸胶囊250mg口服TID，螺内酯片20mg口服QD，硫普罗宁肠溶片0.2g口服TID，生血宁片0.5g口服TID</t>
  </si>
  <si>
    <t>任红旗</t>
  </si>
  <si>
    <t>自身免疫性肝炎-原发性胆汁性肝硬化重叠综合症？、肝硬化失代偿期、脾功能亢进、腹水、盆腔积液、结缔组织病？、低蛋白血症、低纤维蛋白原血症、肝囊肿、单纯性肾囊肿、</t>
  </si>
  <si>
    <t>熊去氧胆酸胶囊250mg口服TID</t>
  </si>
  <si>
    <r>
      <rPr>
        <sz val="11"/>
        <color rgb="FF000000"/>
        <rFont val="等线"/>
        <charset val="134"/>
      </rPr>
      <t>消化道出血、食管胃底静脉曲张破裂出血、肝硬化失代偿期(原因不明</t>
    </r>
    <r>
      <rPr>
        <sz val="11"/>
        <color rgb="FF000000"/>
        <rFont val="汉仪书宋二KW"/>
        <charset val="134"/>
      </rPr>
      <t>）</t>
    </r>
    <r>
      <rPr>
        <sz val="11"/>
        <color rgb="FF000000"/>
        <rFont val="等线"/>
        <charset val="134"/>
      </rPr>
      <t>、低蛋白血症、凝血功能异常、高氨血症、缺铁性贫血,其他的、腹水、脾术后、2型糖尿病、下肢静脉肌间血栓形成、营养风险、低纤维蛋白原血症</t>
    </r>
  </si>
  <si>
    <t>(波)雷贝拉唑钠肠溶片10mg口服QD，复方氨基酸胶囊(8-11)2粒口服TID，生血宁片0.5g口服TID</t>
  </si>
  <si>
    <t>酒精性肝硬化伴食管胃底静脉曲张、门静脉高压、脾大、全血细胞减少、低蛋白血症、门静脉血栓形成、肠系膜静脉栓塞、门脉高压性胃肠病、慢性胃炎、十二指肠球炎、高血压病2级（高危）、脑萎缩、白内障</t>
  </si>
  <si>
    <t>消化道出血、肝硬化伴食管胃底静脉曲张、丙型肝炎后肝硬化失代偿期、胃溃疡、脾大、贫血、血小板减少、白细胞减少、甲状腺功能亢进史、子宫切除术后状态、阑尾术后 门脉高压，无腹水</t>
  </si>
  <si>
    <t>2甘草酸二铵肠溶胶囊150mg口服TID，(波)雷贝拉唑钠肠溶片10mg口服QD</t>
  </si>
  <si>
    <t>张孟如</t>
  </si>
  <si>
    <t>22.8.1</t>
  </si>
  <si>
    <t>乙型肝炎肝硬化代偿期、腹腔积液，心力衰竭，消化道出血，代谢性酸中毒，呼吸性碱中毒，电解质紊乱，肝功能异常，肺部感染，高凝状态，低蛋白血症，心律失常，心房颤动射频消融术后，类风湿关节炎，高血压病3级，左眼青光眼术后，右眼白内障</t>
  </si>
  <si>
    <t>呋塞米20mg口服 QD，螺内酯片 40 mg 口服 QD，氯化钾缓释片 1g口服 TID，米曲菌胰酶片 48mg 口服 TID，雷贝拉唑钠肠溶片 10mg 口服 QD，利福昔明片 0.2g口服 QID，乳果糖 15ml口服 BID，复方氨基酸胶囊(8-11)2粒口服 TID，(依)单硝酸异山梨酯缓释片(自备)60 mg 口服 QD，索他洛尔片(自备) 40mg口服 BID，瑞舒伐他汀钙片(自备)10mg口服 QN，甲泼尼龙片(自备)4mg口服 BID，雷公藤多苷片(自备)10 mg口服 BID，阿法骨化醇(自备) 2粒 口服 BID，(钙尔奇D)碳酸钙D3片(自备)600 mg 口服QD ，更昔洛韦眼用凝胶(自备)0.1g滴眼 TID ，小牛血去蛋白提取物滴眼液(自备)0.1 ml滴眼 TID，左氧氟沙星滴眼液(自备)0.1 ml滴眼 TID，普拉洛芬滴眼液(自备)0.1ml滴眼 TID，2%盐酸卡替洛尔滴眼液(自备)0.1 m1 滴眼 BID，布林佐胺滴眼液(自备)0.1ml滴眼 TID</t>
  </si>
  <si>
    <t>陈智华</t>
  </si>
  <si>
    <t>腹水，酒精性肝硬化伴食管胃底静脉曲张，门静脉高压，低蛋白血症，电解质代谢紊乱，IgG4相关疾病？高血压病3级高危</t>
  </si>
  <si>
    <t>螺内酯片 40 mg 口服QD，呋塞米片(自备)20mg 口服 QD，腺苷蛋氨酸肠溶片 0.5g口服BID，(2瑞)雷贝拉唑钠肠溶片 10 mg 口服 QD ，复方氨基酸胶囊(8-11)2 粒 口服 TID，复合维生素B片(自备) 1片 口服 TID</t>
  </si>
  <si>
    <t>闻越明</t>
  </si>
  <si>
    <t>肝硬化失代偿期，自身免疫性肝炎-原发胆汁性肝硬化重叠综合征，IGG4相关疾病？肝功能不全，低蛋白血症，门脉高压性胃病，肝硬化伴食管胃底静脉曲张，脾功能亢进，胆囊结石，肝囊肿，单纯性左侧肾囊肿，肺部阴影，肿瘤标记物升高CA125，胸腔积液</t>
  </si>
  <si>
    <t>(天)醋酸泼尼松片 20mg 口服 BID，(波)雷贝拉唑钠肠溶片10mg口服 QD，熊去氧胆酸胶囊 250mg口服 TID，腺苷蛋氨酸肠溶片1g口服 BID，双环醇片25mg口服 TID，复方氨基酸胶囊(8-11)2 粒口服TID，(国)铝碳酸镁呾嚼片1g口服 TID，乳果糖口服溶液15ml口服 BID，(国)氯化钾缓释片 1g口服 TID，(罗)骨化三醇胶丸0.25ug口服QD，(罗)骨化三醇胶丸0.25ug口服QD</t>
  </si>
  <si>
    <t>乙型肝炎后肝硬化失代偿期，食管静脉曲张，门脉高压性胃病，脾功能亢进，肝结节多发，肺部阴影，缺铁性贫血，慢性乙型病毒性肝炎，腹腔积液</t>
  </si>
  <si>
    <t>富马酸丙酚替诺福韦片 1片 口服 QD(自备)、康复新液 10ml口服 TID，磷酸铝凝胶 20g口服 BID，兰索拉唑口崩片30mg 口服QD，利可君片20mg口服TID，生血宁片 0.5g口服 TID，多糖铁复合物胶囊 0.3g口服 QD，复方氨基酸胶囊(8-11)2 粒口服TID</t>
  </si>
  <si>
    <t>食管胃底静脉曲张破裂出血、消化道出血、乙型肝炎肝硬化、门静脉高压、门脉高压性胃肠病、脾大、脾功能亢进、腹腔积液、低蛋白血症、白细胞减少、营养不良</t>
  </si>
  <si>
    <t xml:space="preserve">恩替卡韦片(自备)0.5mg口服QD，呋塞米片 20mg口服BID，螺内酯片40mg口服BID，兰索拉唑口崩片 30mg 口服 QD ，利福昔明片 0.2g口服 QID ，左氧氟沙星片 0.5g口服QD，布拉氏酵母菌 1g口服 BID </t>
  </si>
  <si>
    <t>张秀云</t>
  </si>
  <si>
    <t>肝硬化伴食管胃底静脉曲张、肝硬化失代偿、肝性脑病、门静脉高压、低蛋白血症、贫血、肝功能异常、肿瘤标记物升高、呼吸衰竭、胸腔积液、结肠息肉、2型糖尿病</t>
  </si>
  <si>
    <t>利福昔明片 0.4g口服 BID ，乳果糖口服溶液 15ml口服 TID ，兰索拉唑口崩片 30 mg 口服 QD ，康复新液 10 ml口服 TID</t>
  </si>
  <si>
    <t>高松</t>
  </si>
  <si>
    <t>消化道出血、肝硬化失代偿、原发性胆汁型肝硬化伴食管静脉曲张、腹腔积液、脾大、低蛋白血症、胃溃疡、支气管炎、动脉硬化、心房颤动、盆腔积液、高氨血症、肿瘤标记物升高、甲状腺功能异常、阑尾术后、腰椎骨折术后</t>
  </si>
  <si>
    <t>(波)雷贝拉唑钠肠溶片10mg口服 QD，熊去氧胆酸胶囊250mg口服TID， 呋塞米20mg口服QD(自备)，(国)氯化钾缓释片0.5g口服 TID ，螺内酯片20mg口服QD，利可君片20mg口服TID，生血宁片0.5g口服BID，复方氨基酸胶囊(8-11)2粒口服TID</t>
  </si>
  <si>
    <t>王文珍</t>
  </si>
  <si>
    <t>门脉高压性胃肠病、消化道出血、肝硬化伴食管静脉曲张、原发性胆汁型肝硬化伴食管静脉曲张、自身免疫性肝炎、脾大、腹腔积液、胆总管扩张、十二指肠球部溃疡、胆囊术后</t>
  </si>
  <si>
    <t>熊去氧胆酸胶囊 250 mg口服 TID，(波)雷贝拉唑钠肠溶片 10mg口服 QD ，康复新液 10 ml口服 TID，复方啫酸乳杆菌片 1g口服 TID ，利福昔明片 0.2g口服 QID ，2米曲菌胰酶片 48 mg 口服 TID</t>
  </si>
  <si>
    <t>邵桂琴</t>
  </si>
  <si>
    <t>自身免疫性肝炎？、肝硬化、脾大、贫血、白细胞减少、血小板减少、多发胃息肉、多发性肠息肉、慢性胃炎、胆囊结石、阑尾术后</t>
  </si>
  <si>
    <t>熊去氧胆酸胶囊 250mg口服 TID、可乐)左氧氟沙星片 0.5g口服QD 、(2瑞)雷贝拉唑钠肠溶片 10 mg 口服 QD、复方嗜酸乳杆菌片 1g口服 TID、2米曲菌胰酶片 48 mg 口服 TID</t>
  </si>
  <si>
    <t>冯丽华</t>
  </si>
  <si>
    <t>消化道出血，肝硬化伴食管胃底静脉曲张，门脉高压性胃肠病，乙型肝炎肝硬化，肥厚性心肌病，冠状动脉粥样硬化，冠状动脉肌桥，高血压病3级极高危</t>
  </si>
  <si>
    <t>(波)雷贝拉唑钠肠溶片 10 mg 口服 QD，康复新液 10 ml口服 TID， 复方啫酸乳杆菌片1g口服 TID</t>
  </si>
  <si>
    <t>孙建党</t>
  </si>
  <si>
    <t>幽门管溃疡，幽门梗阻，肝硬化，肝硬化伴食管静脉曲张，脾大，腹水，乙肝表面抗原携带者</t>
  </si>
  <si>
    <t>康复新液 10 ml口服 TID ，(2瑞)雷贝拉唑钠肠溶片 10 mg 口服 QD，恩替卡韦片 0.5mg 口服 QD</t>
  </si>
  <si>
    <t>赵焕义</t>
  </si>
  <si>
    <t>酒精性肝硬化失代偿期，低蛋白血症，肝性脑病，肝硬化伴食管静脉曲张套扎术后，腹水，高血压病2级，左下肢静脉曲张术后，双侧腹股沟疝，肝囊肿</t>
  </si>
  <si>
    <t>呋塞米40mg QD(自备)，螺内酯片 40 mg 口服 BID ，利福昔明片 0.2g口服 QID，乳果糖口服溶液 15 ml口服 BID，熊去氧胆酸胶囊 250 mg口服 TID，复方氨基酸胶囊(8-11)2 粒 口服 TID</t>
  </si>
  <si>
    <r>
      <rPr>
        <sz val="11"/>
        <color rgb="FF000000"/>
        <rFont val="等线"/>
        <charset val="134"/>
      </rPr>
      <t>肝硬化伴食管静脉曲张破裂出血</t>
    </r>
    <r>
      <rPr>
        <sz val="11"/>
        <color rgb="FF000000"/>
        <rFont val="汉仪书宋二KW"/>
        <charset val="134"/>
      </rPr>
      <t>，</t>
    </r>
    <r>
      <rPr>
        <sz val="11"/>
        <color rgb="FF000000"/>
        <rFont val="等线"/>
        <charset val="134"/>
      </rPr>
      <t>消化道出血</t>
    </r>
    <r>
      <rPr>
        <sz val="11"/>
        <color rgb="FF000000"/>
        <rFont val="汉仪书宋二KW"/>
        <charset val="134"/>
      </rPr>
      <t>，</t>
    </r>
    <r>
      <rPr>
        <sz val="11"/>
        <color rgb="FF000000"/>
        <rFont val="等线"/>
        <charset val="134"/>
      </rPr>
      <t>肝硬化失代偿期</t>
    </r>
    <r>
      <rPr>
        <sz val="11"/>
        <color rgb="FF000000"/>
        <rFont val="汉仪书宋二KW"/>
        <charset val="134"/>
      </rPr>
      <t>，</t>
    </r>
    <r>
      <rPr>
        <sz val="11"/>
        <color rgb="FF000000"/>
        <rFont val="等线"/>
        <charset val="134"/>
      </rPr>
      <t>自身免疫性肝炎</t>
    </r>
    <r>
      <rPr>
        <sz val="11"/>
        <color rgb="FF000000"/>
        <rFont val="汉仪书宋二KW"/>
        <charset val="134"/>
      </rPr>
      <t>？</t>
    </r>
    <r>
      <rPr>
        <sz val="11"/>
        <color rgb="FF000000"/>
        <rFont val="等线"/>
        <charset val="134"/>
      </rPr>
      <t>中度贫血</t>
    </r>
    <r>
      <rPr>
        <sz val="11"/>
        <color rgb="FF000000"/>
        <rFont val="汉仪书宋二KW"/>
        <charset val="134"/>
      </rPr>
      <t>，</t>
    </r>
    <r>
      <rPr>
        <sz val="11"/>
        <color rgb="FF000000"/>
        <rFont val="等线"/>
        <charset val="134"/>
      </rPr>
      <t>低蛋白血症</t>
    </r>
    <r>
      <rPr>
        <sz val="11"/>
        <color rgb="FF000000"/>
        <rFont val="汉仪书宋二KW"/>
        <charset val="134"/>
      </rPr>
      <t>，</t>
    </r>
    <r>
      <rPr>
        <sz val="11"/>
        <color rgb="FF000000"/>
        <rFont val="等线"/>
        <charset val="134"/>
      </rPr>
      <t>肿瘤标记物升高</t>
    </r>
  </si>
  <si>
    <t>能去氧胆酸胶囊 250 mg 口服 BID，白芍总苷胶囊 0.6g口服 BID，2甘草酸二铵肠溶胶囊 150 mg 口服 TID，腺苷蛋氨酸肠溶片 0.5 g口服 BID，(波)雷贝拉唑钠肠溶片 10 mg 口服QD，复方氨基酸胶囊 2粒 口服TID (自备)，甲钴胺 1片 口服 TID(自备)，利可君片 20mg 口服 TID(自备)</t>
  </si>
  <si>
    <t>尹树兰</t>
  </si>
  <si>
    <t>肝硬化失代偿期，食管静脉曲张伴有出血，脾大，白细胞减少，血小板减少，门脉高压性胃肠病，消化道出血，慢性迁延性乙型病毒性肝炎，多浆膜腔积液，肿瘤标记物升高，胆囊切除术后状态</t>
  </si>
  <si>
    <t>(苏)恩替卡韦分散片0.5 mg 口服 QD，复方氨基酸胶囊(8-11) 2 粒 口服 TID， 复方啫酸乳杆菌片1g口服 TID，(2瑞)雷贝拉唑钠肠溶片 10mg口服 QD</t>
  </si>
  <si>
    <t>夏淑兰</t>
  </si>
  <si>
    <t>肝硬化失代偿期，原发性胆汁型肝硬化，自身免疫性肝炎？低蛋白血症，贫血，肿瘤标记物升高，间质性肺炎？肺动脉高压，心包积液，2型糖尿病，高血压病1级，冠状动脉粥样硬化性心脏病</t>
  </si>
  <si>
    <t>生血宁片0.5gg口服TID，利可君片20mg口服TID，复方氨基酸胶囊(8-11)2粒口服TID，熊去氧胆酸胶囊250mg口服TID</t>
  </si>
  <si>
    <t>食管静脉曲张不伴有出血，肝硬化失代偿期，非酒精性脂肪性肝炎相关性肝硬化？自身免疫性肝硬化？脾大，血小板减少，肾结石，多发肾囊肿，高血压病3级，胆囊切除术后状态，子宫切除术后状态</t>
  </si>
  <si>
    <t xml:space="preserve">兰索拉唑口崩片30mg口服QD  </t>
  </si>
  <si>
    <t>陈立群</t>
  </si>
  <si>
    <t>酒精性肝硬化伴食管静脉曲张，消化道出血，脾大，腹水，慢性胃炎</t>
  </si>
  <si>
    <t>康复新液10ml口服TID，(2瑞)雷贝拉唑钠肠溶片10mg 口服 QD，复方啫酸乳杆菌片1g 口服TID</t>
  </si>
  <si>
    <t>陈秀英</t>
  </si>
  <si>
    <t>丙型肝炎肝硬化，腹水，血小板减少，凝血功能异常，消化道出血？低蛋白血症，贫血，2型糖尿病，低钾血症，低钙血症，肿瘤标记物升高，银屑病</t>
  </si>
  <si>
    <t>康复新液 10 ml口服 TID ，利福昔明片0.2g口服 TID，兰索拉唑口崩片 30mg口服 QD，磷酸铝凝胶 20g口服 BID， 复方氨基酸胶囊(8-11)2 粒 口服 TID， 呋塞米40mg 口服 QD(自备)，螺内酯20mg口服(自备)</t>
  </si>
  <si>
    <t>王玉欣</t>
  </si>
  <si>
    <t>肝硬化失代偿期，酒精性肝硬化？腹腔积液大量，食管胃底静脉曲张破裂出血？脾大，肝功能异常，肝结节性质待定？低蛋白血症，凝血功能异常，肾动脉狭窄？</t>
  </si>
  <si>
    <t>熊去氧胆酸胶囊 250 mg 口服 TID，腺苷蛋氨酸肠溶片 1g口服 BID，螺内酯片 40 mg 口服QD，复方氨基酸胶囊(8-11)2 粒 口服 TID，呋塞米(自备)20mg 口服 Qd</t>
  </si>
  <si>
    <t>林雪蓉</t>
  </si>
  <si>
    <t>消化道出血、食管胃底静脉曲张破裂出血、肝硬化失代偿、自身免疫性肝硬化、IgG4相关性疾病、肝功能异常、腹水、低蛋白血症、肝性脑病、高血压1级（极高危）、2型糖尿病、脾术后、胆囊切除术后状态</t>
  </si>
  <si>
    <t>兰索拉唑口崩片30mg 口服QD 、乳果糖口服溶液15ml口服 TID、利福昔明片0.2g口服 TID、螺内酯片20mg 口服QD 、呋塞米片20mg 口服 QD、复方氨基酸胶囊(8-11)2粒 口服TID</t>
  </si>
  <si>
    <t>酒精性肝硬化、食管胃底静脉曲张、脾功能亢进、肝性脑病、低蛋白血症、高血压病3级（极高危）、2型糖尿病、脑基底节出血史、胆囊切除术后、肿瘤标记物升高</t>
  </si>
  <si>
    <t>能去氧胆酸胶囊 250mg口服 TID，螺内酯片 20mg 口服 QD，达格列净片 10 mg 口服 QD，硝苯地平控释片 30 mg 口服 QD，乳果糖口服溶液 15 ml口服 TID，利福昔明片 0.2g口服 QID，2甘草酸二铵肠溶胶囊 150 mg口服TID，腺苷蛋氨酸肠溶片1g口服 QD，诺和锐笔芯 6 iu皮下 QD(早餐前)，诺和锐笔芯 8 iu 皮下 QD(午餐前)，诺和锐笔芯6iu 皮下 QD(晚餐前)</t>
  </si>
  <si>
    <t>贾秀芝</t>
  </si>
  <si>
    <t>自身免疫性肝炎、肝硬化、肝功能异常</t>
  </si>
  <si>
    <t>复方甘草酸苷片 3片口服TID，熊去氧胆酸胶囊 250mg口服TID，利可君片 20mg口服TID，双环醇片 25mg口服TID，(2瑞)雷贝拉唑钠肠溶片 10mg口服QD</t>
  </si>
  <si>
    <t>肝性脑病、酒精性肝硬化、酒精性肝硬化伴食管静脉曲张、门脉高压性胃肠病、腹腔积液、低蛋白血症、电解质紊乱、慢性胃炎、胃溃疡</t>
  </si>
  <si>
    <t>利福昔明片0.2 g口服 QID、复方氨基酸胶囊(8-11)2 粒 口服 TID、(国)氯化钾缓释片1 g口服 TID、乳果糖口服溶液15 ml口服 BID</t>
  </si>
  <si>
    <t>赵艳美</t>
  </si>
  <si>
    <t>原发性胆汁型肝硬化、肝硬化伴食管静脉曲张出血、消化道出血、甲状腺功能减退</t>
  </si>
  <si>
    <t>螺内酯片 20mg口服 BID，复方啫酸乳杆菌片1g口服 TID，(波)雷贝拉唑钠肠溶片 10 mg 口服 QD，熊去氧胆酸胶囊 500 mg口服 BID，左甲状腺素钠片 150 ug 口服QD，2甘草酸二铵肠溶胶囊 150 mg 口服 TID，腺苷蛋氨酸肠溶片 1g口服 QD</t>
  </si>
  <si>
    <t>穆默祥</t>
  </si>
  <si>
    <t>肝硬化失代偿、低蛋白血症、腹水、高血压病3级（极高危）、PCI术后、2型糖尿病、糖尿病肾病</t>
  </si>
  <si>
    <t>复方氨基酸胶囊(8-11)2 粒 口服 TID，熊去氧胆酸胶囊 250 mg 口服 TID ，呋塞米 20mg 口服 BID，唑吡坦片 10mg 口服QD、(南) 地奧司明片 0.9g口服 QD</t>
  </si>
  <si>
    <t>曹蕊</t>
  </si>
  <si>
    <t>肝硬化伴食管胃底静脉曲张、消化道出血、贫血、白细胞异常、白细胞异常、腹水、脾大、胸腔积液、甲状腺功能减退、高血压病2级（高危）、2型糖尿病、单纯性肾囊肿</t>
  </si>
  <si>
    <t>(2瑞)雷贝拉唑钠肠溶片 10 mg口服 QD、2米曲菌胰酶片 48 mg口服 TID、康复新液 10 ml口服 TID、复方啫酸乳杆菌片 1g口服 TID、螺内酯片20mg 口服 QD</t>
  </si>
  <si>
    <t>周玉琴</t>
  </si>
  <si>
    <t>乙型肝炎后肝硬化失代偿期、肝硬化伴食管胃底静脉曲张、肝占位性病变（良性增生？）、脾功能亢进、腹水、血小板减少、子宫内膜非典型增生、脾动脉栓塞术后、高血压病3级（极高危）、低钾血症</t>
  </si>
  <si>
    <t>(苏)恩替卡韦分散片 0.5mg口服 QD，硝苯地平控释片 30mg 口服 QD，(波)雷贝拉唑钠肠溶片 10 mg口服QD，康复新液 10ml 口服 TID，氯化钾口服液 10ml口服 Tid</t>
  </si>
  <si>
    <t>刘文河</t>
  </si>
  <si>
    <t>黑便、酒精性肝硬化伴食管胃底静脉曲张、门脉高压性胃肠病、营养性贫血、高血压病3级（极高危）</t>
  </si>
  <si>
    <t>乳果糖口服溶液15 ml口服 BID、康复新液10 ml口服 TID、(大)双歧杆菌三联活菌肠溶胶囊0.42g口服 BID、利福昔明片0.2g口服 QID、2蒲地蓝消炎口服液10ml口服 TID、(2瑞)雷贝拉唑钠肠溶片10 mg口服 QD、叶酸片(自备)</t>
  </si>
  <si>
    <t>韩金保</t>
  </si>
  <si>
    <t>食管胃底静脉曲张破裂出血、肝硬化失代偿期、低蛋白血症、腹腔积液、脾功能亢进、酒精性肝病、药物性肝炎、胆囊结石、胰管结石、十二指肠憩室、腹主动脉瘤，未提及破裂、肾功能异常、肾术后、下肢静脉血栓形成、支气管炎、肺气肿</t>
  </si>
  <si>
    <t>(波)雷贝拉唑钠肠溶片 10 mg 口服 QD，2瑞巴派特片 0.1g口服 TID，螺内酯片 20 mg口服 BID，呋塞米片 20mg 口服 Qd</t>
  </si>
  <si>
    <t>肝硬化伴食管胃底静脉曲张破裂出血、乙型肝炎后肝硬化失代偿期、脾功能亢进、低蛋白血症、门脉高压性胃肠病、慢性胃炎、十二指肠球炎、胃息肉、低钾血症、单纯性肾囊肿、多发性肝囊肿</t>
  </si>
  <si>
    <t>(波)雷贝拉唑钠肠溶片 10 mg 口服 QD、多烯磷脂酰胆碱胶囊 456mg口服 TID、丙酚替诺福韦片 25 mg 口服 QD(自备)</t>
  </si>
  <si>
    <t>李德江</t>
  </si>
  <si>
    <t>肝硬化失代偿期、肝硬化伴食管胃底静脉曲张、脾功能亢进、胃术后、低蛋白血症、缺铁性贫血、心功能不全、心律失常、心房颤动、胆囊切除术后状态</t>
  </si>
  <si>
    <t>(国)盐酸曲美他嗪缓释片 35 mg 口服 BID，门冬氨酸钾镁片 0.298 g口服 TID，熊去氧胆酸胶囊 250 mg口服 BID，(可力)地高辛片 0.125 mg 口服 QD，(顺)胰酶肠溶胶囊 0.3g口服 TID，生血宁片 0.5g口服 BID，伊托必利片 50 mg 口服 TID，琥珀酸美托洛尔缓释片 23.75 mg口服 BID，利可君片 20 mg 口服 TID，复方氨基酸胶囊(8-11)2 粒 口服 TID，螺內酯片 20 mg 口服 BID，兰索拉唑口崩片 30 mg 口服 QD</t>
  </si>
  <si>
    <t>肝硬化失代偿期、肝硬化伴食管胃底静脉曲张、门静脉血栓形成、低蛋白血症、腹腔积液、脾功能亢进、原发性胆汁型肝硬化、自身免疫性肝炎、肿瘤标记物升高、胆囊息肉、肺动脉高压、肾上腺肿物</t>
  </si>
  <si>
    <t>熊去氧胆酸胶囊500 mg口服 BID，乳果糖口服溶液 15 ml口服 BID，螺内酯片 80 mg 口服QD，(波)雷贝拉唑钠肠溶片10 mg 口服QD ，(罗)骨化三醇胶丸 0.25 ug 口服 QD，多烯磷脂酰胆碱胶囊 456 mg 口服 TID，复方氨基酸胶囊(8-11)2 粒 口服 TID，钙尔奇D1片 口服 QD(备)，呋塞米 20mg口服 Bid(自备)</t>
  </si>
  <si>
    <t>张会芬</t>
  </si>
  <si>
    <t>肝硬化伴食管静脉曲张破裂出血、肝硬化失代偿期、胃底静脉曲张、门静脉高压、脾功能亢进、低蛋白血症、胆囊炎、脾动脉栓塞、腹腔积液、混合性结缔组织病、高尿酸血症、髋关节置换术后</t>
  </si>
  <si>
    <t>兰索拉唑口崩片 30 mg 口服 QD，螺内酯片 20 mg 口服 BID，复方氨基酸胶囊(8-11)2 粒口服 TID，利可君片 20 mg口服 TID，2甘草酸二铵肠溶胶囊 150 mg口服 TID，呋塞米 20mg 口服 Qd(自备)，熊去氧胆酸 250mg 口服Bid</t>
  </si>
  <si>
    <t>张学贵</t>
  </si>
  <si>
    <t>肝硬化失代偿期、肝硬化伴食管胃底静脉曲张、门脉高压性胃病、脾功能亢进、胆石症、消化道出血、酒精性肝病、胆囊炎、支气管炎、缺铁性贫血、高血压病2级（高危）、银屑病</t>
  </si>
  <si>
    <t>康复新液 10 ml口服TID，(波)雷贝拉唑钠肠溶片10mg口服QD，2瑞巴派特片 0.1g口服 TID，螺内酯片 20 mg 口服BID，熊去氧胆酸胶囊 250 mg 口服 BID，麦滋林 1袋 口服 tid(自备)</t>
  </si>
  <si>
    <t>消化道出血、门脉高压性胃肠病、酒精性肝硬化、肝硬化伴食管静脉曲张、腹腔积液、低蛋白血症、肝功能异常、缺铁性贫血、2型糖尿病</t>
  </si>
  <si>
    <t>(2瑞)雷贝拉唑钠肠溶片 10 mg 口服 QD，2瑞巴派特片 0.1 g口服 TID，康复新液 10 ml口服 TID，熊去氧胆酸胶囊250 mg口服 TID，复方氨基酸胶囊(8-11)1 粒 口服 TID，螺内酯片20 mg口服TID</t>
  </si>
  <si>
    <t>马增顺</t>
  </si>
  <si>
    <t>肝硬化伴胃底静脉曲张破裂出血、肝硬化失代偿期、门静脉高压、肝硬化伴食管静脉曲张、低蛋白血症、腹腔积液、酒精性肝病、原发性胆汁型肝硬化、贫血、胆囊结石、前列腺钙化灶、脾术后</t>
  </si>
  <si>
    <t>熊去氧胆酸胶囊 250 mg口服 TID，(波)雷贝拉唑钠肠溶片 10 mg口服 QD，2瑞巴派特片 0.1 g口服TID，2甘草酸二铵肠溶胶囊 150 mg口服 TID，复方氨基酸胶囊(8-11)2粒 口服 TID，螺内酯片 20 mg口服 BID，乳果糖口服溶液15ml口服 BID，呋塞米20mgg口服QD</t>
  </si>
  <si>
    <t>周惠</t>
  </si>
  <si>
    <t>乙型肝炎后肝硬化失代偿期、肝硬化伴食管胃底静脉曲张、腹水、脾大、门脉高压性胃肠病、胃溃疡、十二指肠球部溃疡、肺诊断性影像异常、子宫肿物、单纯性肾囊肿</t>
  </si>
  <si>
    <t>(波)雷贝拉唑钠肠溶片 10 mg 口服 QD ，2瑞巴派特片 0.1g口服 TID ，复方氨基酸胶囊(8-11)2 粒 口服 TID ，螺内酯片 20 mg口服 BID ，硫普罗宁肠溶片 0.2g口服 TID ，利可君片 20 mg口服 TID，自备药：替诺福韦1片QD，氯化钾缓释片1片 TID</t>
  </si>
  <si>
    <t>肝硬化伴食管胃底静脉曲张破裂出血、丙型肝炎后肝硬化失代偿期、胃溃疡、贫血、血小板减少、白细胞减少、脾大、脾功能亢进</t>
  </si>
  <si>
    <t>王代春</t>
  </si>
  <si>
    <t>食管胃底静脉曲张破裂出血、循环衰竭、消化道出血、肝硬化失代偿期、腹水、脾大、血小板减少、低蛋白血症、凝血功能异常、心包积液、2型糖尿病</t>
  </si>
  <si>
    <t>酒精性肝硬化、肝硬化失代偿期、下肢水肿、门静脉高压、腹腔积液、2型糖尿病、静脉曲张术后、胆囊结石、丹毒</t>
  </si>
  <si>
    <t>螺内酯片40 mg 口服 BID、复方氨基酸胶囊(8-11)2 粒 口服 TID、熊去氧胆酸胶囊250 mg 口服 TID、乳果糖口服溶液15 ml口服 TID、康复新液 10 ml口服 TID、阿卡波糖片50mg口服 TID、迈之灵片0.3g口服 BID、利福昔明片0.2g口服 QID、(大)双歧杆菌三联活菌肠溶胶囊0.42g口服 BID、托拉塞米片20mg口服BID(自备)</t>
  </si>
  <si>
    <t>邢恩成</t>
  </si>
  <si>
    <t>肝硬化、门静脉高压、腹水、急性肺栓塞、静脉血栓栓塞症、凝血功能异常、低蛋白血症、血小板减少、高血压病2级（极高危）、2型糖尿病、脑梗死个人史</t>
  </si>
  <si>
    <t>苷蛋氨酸肠溶片 1g口服BID、硫普罗宁肠溶片0.2g口服TID、复方氨基酸胶囊(8-11)2粒口服 TID、(2瑞)雷贝拉唑钠肠溶片10 mg口服 QD、乳果糖口服溶液30ml口服 TID、利福昔明片0.2 g口服QID、呋塞米20mg口服BID、螺内酯片40mg口服 BID、(大)利伐沙班片10 mg口服QD、短肽型肠内营养剂125g口服TID</t>
  </si>
  <si>
    <t>酒精性肝硬化、腹腔积液、酒精性肝硬化伴食管静脉曲张、门脉高压性胃肠病、慢性胃炎、房性期前收缩、电解质代谢紊乱、低蛋白血症、肿瘤标记物升高</t>
  </si>
  <si>
    <t>螺内酯片40mg口服BID，多烯磷脂酰胆碱胶囊 456mg口服TID，熊去氧胆酸胶囊250mg口服BID，呋塞米片20mg口服QD(自备)</t>
  </si>
  <si>
    <t>张家恭</t>
  </si>
  <si>
    <t>腹腔积液、肝硬化、自身免疫性肝炎、肝囊肿、慢性肾衰竭、肾萎缩伴高血压、食管裂孔疝、陈旧性脑梗死</t>
  </si>
  <si>
    <t>络)苯磺酸氨氯地平片 5mg 口服 BID ；(国)富马酸比索洛尔片 2.5mg 口服 QD；熊去氧胆酸胶囊 250mg 口服 TID；多烯磷脂酰胆碱胶囊 456mg 口服TID；(进)阿司匹林肠溶片 100mg 口服 QD；(大)脂必泰胶囊 0.24g口服 BID；(波) 雷贝拉唑钠肠溶片 10mg 口服QD</t>
  </si>
  <si>
    <t>王志娟</t>
  </si>
  <si>
    <t>肝硬化，肝静脉梗阻症</t>
  </si>
  <si>
    <t>腺苷蛋氨酸肠溶片 0.5g 口服BID，左甲状腺素钠片 12.5ug口服 QD ，康复新液 10 ml口服 TID ，硒酵母片 50ug 口服 BID ，(2瑞) 雷贝拉唑钠肠溶片 10 mg 口服 QN ，螺内酯片 20 mg 口服 BID</t>
  </si>
  <si>
    <t>杜起英</t>
  </si>
  <si>
    <t>肝硬化伴食管底筋脉曲张破裂出血，丙型肝炎肝硬化</t>
  </si>
  <si>
    <t xml:space="preserve">波)雷贝拉唑钠肠溶片 10 mg 口服 QD ，包醛氧淀粉胶囊 2.5g口服 BID ，盐酸莫西沙星片 0.4g口服 QD ，曲马多胶囊50mg口服，复方氨基酸胶囊(8-11)1 粒 口服 TID ，螺内酯片 40 mg口服 BID </t>
  </si>
  <si>
    <t>高玉萍</t>
  </si>
  <si>
    <t>肝性脑病，肝硬化失代偿期</t>
  </si>
  <si>
    <t>(国)头孢呋辛酯片 0.25g口服 BID，螺内酯片 80 mg口服 BID，呋塞米40mg口服 BID，利福昔明片 0.2g口服 QID，(波)雷贝拉唑钠肠溶片 10 mg口服QD，乳果糖口服溶液 30 ml口服 TID，多烯磷脂酰胆碱胶囊 456 mg 口服 TID，氯化钾口服溶液 10 ml口服 TID</t>
  </si>
  <si>
    <t>食管胃底静脉曲张出血，乙型肝硬化失代尝期</t>
  </si>
  <si>
    <t>兰索拉唑口崩片 30mg口服 QD，康复新液 10ml口服 TID，2瑞巴派特片 0.1g口服 TID，2甲钴胺片 0.5mg口服 QD，叶酸片5g口服TID(自备)</t>
  </si>
  <si>
    <t>安仲良</t>
  </si>
  <si>
    <t>肝硬化失代偿期，肝硬化伴食管胃底静脉曲张</t>
  </si>
  <si>
    <t>复方氨基酸胶囊(8-11)2 粒 口服 TID，熊去氧胆酸胶囊 250 mg 口服 TID，2甘草酸二铵肠溶胶囊 150 mg 口服 TID，螺内酯片 20 mg口服 TID，(波)雷贝拉唑钠肠溶片 10 mg 口服 QD;呋塞米 20mg口服QD(自备)</t>
  </si>
  <si>
    <t>李玉芹</t>
  </si>
  <si>
    <t>董德恒</t>
  </si>
  <si>
    <t>肝硬化失代偿期、自身免疫性肝炎？肝性脑病、腹水、低蛋白血症、电解质代谢紊乱、胆囊结石、高尿酸血症、甲状旁腺功能亢进症？、贫血、高血压病3级（极高危）、冠状动脉心脏病</t>
  </si>
  <si>
    <t>1？</t>
  </si>
  <si>
    <t>熊去氧胆酸胶囊 250 mg口服 TID，2米曲菌胰酶片 48 mg 口服 TID，乳果糖口服溶液 15 ml口服 TID；(波)雷贝拉唑钠肠溶片10 mg 口服 QD，硫普罗宁肠溶片 0.2g 口服 TID，螺内酯片 40 mg 口服 BID</t>
  </si>
  <si>
    <t>靳秀英</t>
  </si>
  <si>
    <t>隐源性肝硬化、脾大、门静脉高压、低蛋白血症、肝硬化伴食管静脉曲张、痔静脉曲张、肝功能异常、2型糖尿病、高血压病3级（极高危）、冠状动脉粥样硬化性心脏病</t>
  </si>
  <si>
    <t>(金)卡维地洛片7.5g口服 QD，螺内酯片 20 mg 口服 TID，复方氨基酸胶囊(8-11)2粒口服TID，施) 苯磺酸左氨氯地平片5mg口服 QD，多烯磷脂酰胆碱胶囊 456 mg口服 TID，2瑞)雷贝拉唑钠肠溶片10mg口服QD</t>
  </si>
  <si>
    <t>肝硬化失代偿期、胸腔积液、腹腔积液、肝功能异常、脾大、脾功能亢进、门静脉血栓形成、全血细胞减少、贫血、血小板减少、白细胞减少、食管胃底静脉曲张术后、肿瘤标记物升高、白内障术后、支气管哮喘、心脏瓣膜病、泌尿道感染</t>
  </si>
  <si>
    <t>螺内酯片 40mg 口服 BID 、茶碱缓释片 0.1 g口服 BID、(华中)艾司唑仑片 1 mg 口服 QN 、多烯磷脂酰胆碱胶囊456 mg口服 TID 、复方氨基酸胶囊(8-11)2 粒 口服 TID 、兰索拉唑口崩片 30mg口服 QD 、利可君片 20 mg 口服 TID 、2米曲菌胰酶片 24 mg口服 TID 、门冬氨酸钾镁片 0.596 g口服 TID 、氯化钾口服溶液 20 ml口服 TID 、(国)头孢地尼胶囊 0.1g口服 TID 、呋塞米 20mg 口服 BID(自备)</t>
  </si>
  <si>
    <t>桂学荣</t>
  </si>
  <si>
    <t>原发性胆汁性肝硬化伴食管胃底静脉曲张破裂出血、慢性胃炎、门脉高压性胃肠病、慢性胆囊炎、雷诺综合征、下肢静脉曲张、下肢静脉血栓形成、右锁骨下动脉斑块、脾大、肠系膜上静脉血栓形成、慢性肺动脉栓塞？左侧少量胸腔积液、多发淋巴结增大、动脉硬化</t>
  </si>
  <si>
    <t>利可君片 20mg 口服 TID，雷贝拉唑钠肠溶片 10mg 囗服 QD，康复新液 10ml口服 TID，熊去氧胆酸胶囊250mg 口服QD，生血宁片 0.5g口服 BID</t>
  </si>
  <si>
    <t>许晓女</t>
  </si>
  <si>
    <t>消化道出血、乙型肝炎肝硬化失代偿期、肝硬化伴食管胃底静脉曲张破裂出血？、肝性脑病、肝功能异常、凝血功能异常、脾功能亢进、低蛋白血症、腹水、电解质代谢紊乱、高血压病3级（极高危）、2型糖尿病、脑出血个人史、胆囊结石、抗磷脂综合征？</t>
  </si>
  <si>
    <t>乙型肝炎后肝硬化失代偿期、肝硬化伴食管静脉曲张、门脉高压性胃肠病、慢性活动型乙型病毒性肝炎、多发性胃息肉、单纯性肾囊肿（双侧）</t>
  </si>
  <si>
    <t>(2瑞)雷贝拉唑钠肠溶片 10mg口服 QD ，康复新液 10 ml口服 TID</t>
  </si>
  <si>
    <t>肝硬化失代偿期、胸腔积液、腹腔积液、肝功能异常、脾大、脾功能亢进、食管胃底静脉曲张术后、肿瘤标记物升高、低钾血症、支气管哮喘、白内障术后</t>
  </si>
  <si>
    <t>兰索拉唑口崩片 30 mg 含服 QD ，复方氨基酸胶囊(8-11)2 粒 口服 TID，熊去氧胆酸胶囊 250 mg 口服 TID、氯化钾口服溶液 20 ml口服 TID (自备)、呋塞米 20mg 口服 BID(自备) 、螺内酯片 40mg 口服 BID(自备)、艾司唑仑片 1 mg 口服 QN</t>
  </si>
  <si>
    <t>李明如</t>
  </si>
  <si>
    <t>低蛋白血症、蛋白丢失性胃肠病？腹水、肝功能异常、肠道菌群失调、慢性胃炎、结肠息肉、内痔、高血压1级、2型糖尿病、2型糖尿病性周围血管病变、2型糖尿病性周围神经病、贫血、单纯肾囊肿、前列腺钙化灶、肿瘤标记物升高</t>
  </si>
  <si>
    <t>多烯磷脂酰胆碱胶囊 456 mg口服 TID(自备)，熊去氧胆酸胶囊250 mg口服TID，腺苷蛋氨酸肠溶片0.5g口服BID，(2瑞)雷贝拉唑钠肠溶片10 mg口服QD，枯草杆菌二联活菌肠溶胶囊500mg口服TID，复方氨基酸胶囊(8-11)2粒口服TID，曲美布汀片0.1g口服TID，螺内酯片60mg口服BID，呋塞米60mg口服QD，西格列汀片 100 mg 口服 QD(自备)，琥珀酸美托洛尔缓释片 47.5 mg 口服 QD(自备)，生血宁片 0.5gg口服 BID(自备)，甲钴胺片 0.5 mg口服 TID(自备)</t>
  </si>
  <si>
    <t>酒精性肝硬化失代偿期、腹腔积液、酒精性肝硬化伴食管静脉曲张、门脉高压性胃肠病、慢性胃炎、胃溃疡、房性期前收缩、电解质代谢紊乱</t>
  </si>
  <si>
    <t>熊去氧胆酸胶囊250 mg 口服 BID ，螺内酯片 40 mg口服 BID ，生血宁片 0.5g口服 BID ，乳果糖口服溶液 15 ml口服 BID ，康复新液 10 ml 口服 TID ，复方氨基酸胶囊(8-11)2 粒 口服 BID ，硫普罗宁肠溶片 0.2g 口服 TID ,(波) 雷贝拉唑钠肠溶片 10 mg 口服 QD</t>
  </si>
  <si>
    <t>王作林</t>
  </si>
  <si>
    <t>胃溃疡伴出血、酒精性肝硬化失代偿期、低蛋白血症、血小板减少、冠状动脉粥样硬化性心脏病、不稳定型心绞痛、脑术后、</t>
  </si>
  <si>
    <t>螺内酯片 40 mg口服BID，呋塞米片20mg口服QD，(波)雷贝拉唑钠肠溶片 10 mg 口服BID，多烯磷脂酰胆碱胶囊 456 mg 口服TID，利可君片 20 mg 口服TID，(欣)单硝酸异山梨酯片 20 mg 口服 ，瑞舒伐他汀10mg口服QN，泰嘉75mg口服QD</t>
  </si>
  <si>
    <t>王秋滨</t>
  </si>
  <si>
    <t>亚急性肝衰竭、肝硬化失代偿期、肝肺综合征、肝肾综合征、凝血功能障碍、低蛋白血症、腹腔积液、消化道出血、1型呼吸衰竭、肾衰竭、肺炎、电解质代谢紊乱、酒精性肝硬化？肺栓塞？下肢静脉血栓形成</t>
  </si>
  <si>
    <t>孙琦</t>
  </si>
  <si>
    <t>门静脉高压、肝硬化？脾大、胃息肉、慢性胃炎、十二指肠溃疡、结肠息肉（低级别上皮内瘤变）、自身免疫性肝炎？银屑病性关节炎、高血压病3级、血小板减少、白细胞减少、盆腔积液、肺诊断性影像异常、内痔</t>
  </si>
  <si>
    <t>熊去氧胆酸胶囊500 mg口服 BID，硝苯地平控释片 30mg 口服QD ，利可君片 20 mg 口服 TID，(2瑞)雷贝拉唑钠肠溶片10 mg 口服QD，康复新液 10 ml口服TID</t>
  </si>
  <si>
    <t>李钟萍</t>
  </si>
  <si>
    <t>食管胃底静脉曲张破裂出血、肝硬化失代偿期、门静脉高压、脾大、腹腔积液、自身免疫性肝炎、再生障碍性贫血、高血压病3级（极高危）、2型糖尿病、多发性肝囊肿、胸膜肥厚、甲状腺结节</t>
  </si>
  <si>
    <t>(波)雷贝拉唑钠肠溶片 10 mg 口服 QD，2瑞巴派特片 0.1g口服 TID，螺內酯片 20 mg 口服 QD，2甘草酸二铵肠溶胶囊 150 mg 口服 TID，熊去氧胆酸胶囊 500 mg 口服 TID，羧甲司坦口服溶液 10ml口服 TID</t>
  </si>
  <si>
    <t>薛正义</t>
  </si>
  <si>
    <t>肝硬化失代偿期、药物性肝损害？腹腔积液、低蛋白血症、电解质代谢紊乱、贫血、肝占位性病变待查、冠状动脉性心脏病、陈旧性心梗、冠脉支架植入术后状态、陈旧性脑梗、银屑病</t>
  </si>
  <si>
    <t>2甘草酸二铵肠溶胶囊 150 mg 口服 TID，螺内酯片 20 mg 口服 TID，复方氨基酸胶囊(8-11)2粒 口服 TID，熊去氧胆酸胶囊 250 mg 口服 TID，(欣) 单硝酸异山梨酯片 20 mg 口服 BID，(浙)瑞舒伐他汀钙片 5 mg 口服 QN</t>
  </si>
  <si>
    <t>王春年</t>
  </si>
  <si>
    <t>食管胃底静脉曲张破裂出血、肝硬化失代偿期、低蛋白血症、原发性胆汁性肝硬化、自身免疫性肝硬化？肝功能异常、冠状动脉心脏病、</t>
  </si>
  <si>
    <t>(波)雷贝拉唑钠肠溶片 10 mg口服 QD ，2甘草酸二铵肠溶胶囊 150 mg 口服 TID，乳果糖口服溶液 15 ml口服 BID，2瑞巴派特片 0.1g口服 TID</t>
  </si>
  <si>
    <t>杨扬</t>
  </si>
  <si>
    <t>自身免疫性肝炎、肝硬化伴食管静脉曲张（轻度）、肝功能异常、系统性红斑狼疮、多囊卵巢囊肿、高脂血症、骨病变、结缔组织病、血小板减少、低钾血症、重度骨质疏松、肿瘤标记物升高、轻度贫血</t>
  </si>
  <si>
    <t>(国)氯化钾缓释片1g口服 BID、硫酸羟氯喹片 0.2g口服 QD、熊去氧胆酸胶囊 250 mg口服 TID、甲泼尼龙片 14 mg口服QD</t>
  </si>
  <si>
    <t>贾桂荣</t>
  </si>
  <si>
    <t>肝功能异常、药物性肝炎？低蛋白血症、脂肪肝、胆囊结石、慢性胃炎、肿瘤标记物升高、右后腹壁疝、左下肢静脉肌间血栓形成、高血压病3级、冠状动脉性心脏病、陈旧性心梗、心功能2级、2型糖尿病、缺血性脑血管病、脑萎缩、甲状腺结节</t>
  </si>
  <si>
    <t>(2瑞)雷贝拉唑钠肠溶片 10 mg口服 QD；熊去氧胆酸胶囊 250 mg 口服 TID；2甘草酸二铵肠溶胶囊150 mg 口服 TID；2米曲菌胰酶片 48 mg口服 TID；(大)利伐沙班片 20 mg口服 QD；舍曲林片 50 mg口服 QD；(欣)单硝酸异山梨酯片 20 mg 口服 QD；(罗)骨化三醇胶丸 0.25 ug口服QD；2甲磺酸倍他司汀片12mg口服 TID</t>
  </si>
  <si>
    <t>王维臣</t>
  </si>
  <si>
    <t>肝硬化伴食管胃底静脉曲张、肝硬化失代偿期、脾功能亢进、垂体柄阻断综合征、垂体功能低下、营养性贫血</t>
  </si>
  <si>
    <t>螺内酯片20mg口服QD ，呋塞米片20mg口服QD，2甲钴胺片0.5mg口服TID，(国)氯化钾缓释片1g口服TID，左甲状腺素钠片25ug口服QD，(波)雷贝拉唑钠肠溶片10mg口服QD，复方氨基酸胶囊(8-11)1 粒 口服 TID，多烯磷脂酰胆碱胶囊 456 mg 口服 TID，利可君片 20mg口服 TID，氢化可的松 10mg 口服 QD(自备)</t>
  </si>
  <si>
    <t>吴崇云</t>
  </si>
  <si>
    <t>自身免疫性肝炎后肝硬化失代偿期、肝硬化伴食管胃底静脉曲张破裂出血、门脉高压性胃病、轻度贫血、间质性肺炎</t>
  </si>
  <si>
    <t xml:space="preserve">(2瑞)雷贝拉唑钠肠溶片10mg口服 QD、康复新液10 ml口服TID 、卡维地洛片5mg口服 QD </t>
  </si>
  <si>
    <t>魏淑琴</t>
  </si>
  <si>
    <t>肝性脑病、自身免疫性肝硬化、脾功能亢进、自发性腹膜炎、低蛋白血症、腹水、凝血功能异常、高血压病3级（极高危）、2型糖尿病</t>
  </si>
  <si>
    <t>(2瑞)雷贝拉唑钠肠溶片10mg口服QD ，熊去氧胆酸胶囊 250mg口服 TID，托拉塞米片 10mg口服QD ，螺内酯片40 mg口服 BID ，乳果糖口服溶液 15ml口服 BID，德谷胰岛素 12单位QN皮下注射(自备)，谷赖胰岛素6iu早餐前 皮下注射(自备)，谷赖胰岛素6iu 午餐前 皮下注射(自备)，谷赖胰岛素6单位 晚餐前 皮下注射(自备)</t>
  </si>
  <si>
    <t>孙殿章</t>
  </si>
  <si>
    <t>肝硬化伴食管静脉曲张破裂出血、乙型肝炎肝硬化、脾大、门静脉血栓形成、门静脉高压、腹腔积液、贫血、白细胞减少、血小板减少、高血压病2级（极高危）、多发性肝囊肿、单纯性肾囊肿</t>
  </si>
  <si>
    <t>利福昔明片 0.2g口服 QD，乳果糖口服溶液 15 ml口服 BID，(苏)恩替卡韦分散片 0.5 mg 口服 QD，利可君片20mg口服TID，雷贝拉唑钠肠溶片10mg口服QD(自备）螺内酯片 20mg口服QD，呋塞米片20mg口服QD</t>
  </si>
  <si>
    <t>李德祥</t>
  </si>
  <si>
    <t>肝硬化伴食管胃底静脉曲张、门脉高压性胃病、脾功能亢进、营养性巨幼细胞贫血、血小板减少、白细胞减少</t>
  </si>
  <si>
    <t>(波)雷贝拉唑钠肠溶片10mg口服QD，复方氨基酸胶囊(8-11)2粒口服BID，利可君片20mg口服TID</t>
  </si>
  <si>
    <t>薛从新</t>
  </si>
  <si>
    <t>肝性脑病、肝硬化失代偿期、酒精性肝病、慢性迁延性乙型病毒性肝炎？门静脉血栓形成、肝功能不全、低蛋白血症、高脂血症、凝血功能异常、腹水、单纯肾囊肿、十二指肠憩室、肺部阴影、气管憩室、肿瘤标记物升高、轻度贫血、胃术后</t>
  </si>
  <si>
    <t xml:space="preserve">乳果糖口服溶液15ml口服BID，复方嗜酸乳杆菌片1g口服 TID，熊去氧胆酸胶囊250mg口服TID，(大)利伐沙班片20mg口服 QD </t>
  </si>
  <si>
    <t>史庭琪</t>
  </si>
  <si>
    <t>肝硬化（代偿期， AIH＋PBC重叠综合征？）结缔组织病 类风湿关节炎、系统性红斑狼疮？抗心磷脂抗体综合征？肝功能不全、门静脉高压、脾大、全血细胞减少、高血压病3级、单纯性肾囊肿、白内障、青光眼、甲状腺结节</t>
  </si>
  <si>
    <t>(波)雷贝拉唑钠肠溶片10mg 口服QD，熊去氧胆酸胶囊250mg口服 TID，甲泼尼龙片12mg口服QD(自备)，白芍总苷胶囊 0.6g口服 TID，(罗)骨化三醇胶丸0.25ug口服QD，(国)氯化钾缓释片1g口服TID，钙尔奇D 600mg口服QD(自备)，(絡)苯横酸氨氯地平片 5mg口服QD，替米沙坦片80mg口服QD，利可君片40mg口服TID，生血宁片0.5g口服 TID，(华中)艾司唑仑片 1mg 口服 QN</t>
  </si>
  <si>
    <t>米威</t>
  </si>
  <si>
    <t>食管胃底静脉曲张破裂出血、门静脉血栓形成、脾功能亢进、肝硬化失代偿期？脾大、慢性胃炎、胆囊结石、</t>
  </si>
  <si>
    <t>乳果糖口服溶液15ml口服BID、(2瑞)雷贝拉唑钠肠溶片10mg口服QD</t>
  </si>
  <si>
    <t>张顺强</t>
  </si>
  <si>
    <t>乙型肝炎肝硬化、腹水、自发性腹膜炎、低蛋白血症、慢性肾衰竭、尿毒症、轻度贫血、白细胞减少、血小板减少、肝血管瘤？高血压病3级、2型糖尿病、脾大、单纯性肾囊肿、肿瘤标记物升高</t>
  </si>
  <si>
    <t>复方氨基酸胶囊(8-11)2粒口服TID，利可君片20mg口服TID，(苏)恩替卡韦分散片 0.5 mg口服QD，曲美布汀片 0.1g口服 TID，生血宁片 0.5g口服TID，(波)雷贝拉唑钠肠溶片10mg口服QD</t>
  </si>
  <si>
    <t>马金旺</t>
  </si>
  <si>
    <t>食管胃底静脉曲张破裂出血、肝硬化失代偿期、脾功能亢进、低蛋白血症、缺铁性贫血、肝功能不全、高血压病2级、</t>
  </si>
  <si>
    <t>复方氨基酸胶囊(8-11)2 粒口服TID，(金)卡维地洛片10mg口服QD，(波)雷贝拉唑钠肠溶片10mg口服QD，生血宁片 0.5 g口服TID</t>
  </si>
  <si>
    <t>酒精性肝硬化失代偿期、食管胃底静脉曲张破裂出血、肝性脑病、脾功能亢进、门静脉血栓形成、混合痔、肾功能不全、高血压病2级、2型糖尿病、肿瘤标记物升高、脑基底节出血史、胆囊切除术后状态</t>
  </si>
  <si>
    <t>熊去氧胆酸胶囊250mg口服 TID，螺内酯片40mg口服 BID，呋塞米20mg口服QD，乳果糖口服溶液15ml口服TID，(大)利伐沙班片20mg口服QD，(国)氯化钾缓释片1g口服 TID，(波)雷贝拉唑钠肠溶片10mg 口服QD，太宁栓1粒 肛内 QN(自备，睡前)，九华膏1g外涂 BID(自备)</t>
  </si>
  <si>
    <t>肝硬化失代偿期、消化道出血、肝硬化伴食管静脉曲张、胃底静脉曲张组织胶治疗后改变、门脉高压性胃病、自身免疫性肝炎？贫血、低钾血症、凝血功能异常、低蛋白血症、干燥综合征、CA125升高</t>
  </si>
  <si>
    <t>康复新液 10 ml 口服 TID ；(波)雷贝拉唑钠肠溶片 20 mg 口服 BID ；熊去氧胆酸胶囊 250 mg 口服 TID；利可君片 20mg口服 TID ；矛头注射用矛头蝮蛇血凝酶 1iu 口服 TID(自备)；白芍总苷2粒口服TID；甘草酸二铵肠溶胶囊 2粒 口服 TID(自备)</t>
  </si>
  <si>
    <t>消化道出血、贫血、肝硬化失代偿期、肝功能不全、黄疸、脾大、腹水、血小板减少、凝血功能异常、低蛋白血症、低钙血症、低钠血症、心功能不全、窦性心动过缓、骨质疏松、胆囊切除术后状态</t>
  </si>
  <si>
    <t>螺内酯片40mg口服QD，乳果糖口服溶液15ml口服TID ，(波)雷贝拉唑钠肠溶片10mg口服QD ，复方氨基酸胶囊(8-11)2 粒口服 TID，腺苷蛋氨酸肠溶片 0.5g口服 BID，复方甘草酸苷片 2 片 口服TID，熊去氧胆酸胶囊 250 mg 口服 TID，呋塞米20mg口服 QD</t>
  </si>
  <si>
    <t>贺少忠</t>
  </si>
  <si>
    <t>肝硬化伴食管静脉曲张破裂出血、乙肝后肝硬化、全血细胞减少、血色病？门静脉高压、脾大、单纯性肾囊肿（双肾多发复杂囊肿）、脂肪肝、肝囊肿</t>
  </si>
  <si>
    <t>(金)卡维地洛片5mg口服QD，乳果糖口服溶液15ml口服BID，恩替卡韦片0.5mg口服QD，(波)雷贝拉唑钠肠溶片10mg口服QD，康复新液10ml口服 TID</t>
  </si>
  <si>
    <t>高雪玉</t>
  </si>
  <si>
    <t>胃底静脉曲张破裂出血、原发性胆汁型肝硬化、门脉高压性胃病、门静脉高压伴侧枝循环形成、食管静脉曲张（中度）、结缔组织病、脾大、腹腔积液、胸腔积液、重度贫血、低蛋白血症、肝囊肿</t>
  </si>
  <si>
    <t>熊去氧胆酸胶囊250mg口服TID，白芍总苷胶囊0.6g口服BID，(波)雷贝拉唑钠肠溶片10mg口服BID，生血宁片0.5g口服BID，螺内酯片20mg口服BID，利可君片20mg口服TID，康复新液10ml口服TID(自备)，易善复456mg口服TID(自备）</t>
  </si>
  <si>
    <t>高柏象</t>
  </si>
  <si>
    <t>酒精性肝硬化、脾大、食管静脉曲张轻度、胃溃疡、十二指肠溃疡、多发性结肠息肉（管状腺瘤）、高血压病2级、肿瘤标记物升高、肝囊肿、单纯性肾囊肿</t>
  </si>
  <si>
    <t>2瑞巴派特片0.1g口服 TID；(波)雷贝拉唑钠肠溶片10 mg口服QD；2甘草酸二铵肠溶胶囊 150 mg 口服 TID</t>
  </si>
  <si>
    <t>吴凤魁</t>
  </si>
  <si>
    <t>肝硬化失代偿期、消化道出血、小肠出血？手术后肠吻合口出血？食管静脉曲张、胃底静脉曲张、门脉高压性胃病、脾大、腹腔积液、结肠息肉、内痔、中度贫血、缺铁性贫血、肝囊肿、胆囊切除术后状态、前列腺肿物、左侧输尿管梗阻</t>
  </si>
  <si>
    <t>(大)双歧杆菌三联活菌肠溶胶囊0.42g口服TID，曲美布汀片0.1g口服TID，(波)雷贝拉唑钠肠溶片10 mg口服BID，熊去氧胆酸胶囊250mg口服TID，复方氨基酸胶囊(8-11)2粒口服TID，康复新液10ml口服TID，螺内酯片40mg口服BID，呋塞米片20mg口服BID(自备)，凝血酶冻干粉1000IU ST（黑便时）</t>
  </si>
  <si>
    <t>肝硬化伴食管静脉曲张破裂出血、腹水、门静脉高压、脾大、肝功能不全、高血压病2级、低蛋白血症、贫血</t>
  </si>
  <si>
    <t>复方氨基酸胶囊(8-11)2粒口服 TID，熊去氧胆酸胶囊250mg口服 TID，(金)卡维地洛片10mg口服 QD，(波)雷贝拉唑钠肠溶片10mg口服QD，生血宁片0.5g口服 TID</t>
  </si>
  <si>
    <t>肝硬化失代偿期、食管静脉曲张、门静脉血栓形成、脾功能亢进、血小板减少、贫血、脾大、慢性胃炎、胆囊结石</t>
  </si>
  <si>
    <t>肝硬化失代偿期、脾大、腹水、脐疝、肝硬化伴食管胃底静脉曲张、自身免疫性肝硬化？低蛋白血症、凝血功能异常、贫血（轻度）、肿瘤标记物升高、心房颤动、冠状动脉心脏病、陈旧性心肌梗死、冠状动脉支架植入术后状态、冠状动脉搭桥术后状态、心功能III级、高血压病3级（极高危）</t>
  </si>
  <si>
    <t>复方甘草酸苷片2片口服TID；(国)氯化钾缓释片1g口服 BID；螺内酯片40mg口服BID；生血宁片0.5g口服BID；托拉塞米20mg口服BID(自备)；钙尔奇1片口服QD(自备)；唑吡坦半片口服QN</t>
  </si>
  <si>
    <t>周正</t>
  </si>
  <si>
    <t>腹腔积液、肝硬化、心源性肝硬化？心力衰竭、心房颤动、肝功能不全、肾功能不全、高尿酸血症、高血压病3级（极高危）、低钾血症</t>
  </si>
  <si>
    <t>(大)利伐沙班片20mg口服QD，琥珀酸美托洛尔缓释片23.75mg口服QD，呋塞米20mg口服BID，螺内酯片20mg口服BID ，熊去氧胆酸胶囊250mg口服TID ，(国)氯化钾缓释片1g口服TID ，复方氨基酸胶囊(8-11)2 粒口服BID，(可力)地高辛片 0.125mg口服QD，沙库巴曲缬沙坦50mg口服QD，包醛氧淀粉胶囊5gTID口服</t>
  </si>
  <si>
    <t>礼文忠</t>
  </si>
  <si>
    <t>肝硬化失代偿期、结肠息肉、腹水、肝硬化伴食管静脉曲张、自发性腹膜炎、门脉高压性胃病、酒精性肝硬化、脾大、白细胞减少、血小板减少、贫血、肝功能不全</t>
  </si>
  <si>
    <t>螺内酯片60 mg口服QD ，熊去氧胆酸胶囊250mg口服TID ，多烯磷脂酰胆碱胶囊456mg口服TID，利可君片20mg口服TID ，乳果糖口服溶液 15ml口服BID ，复方氨基酸胶囊(8-11)2粒口服TID，可乐)左氧氟沙星片 0.5g口服QD</t>
  </si>
  <si>
    <t>杨乃军</t>
  </si>
  <si>
    <t>肝硬化、腹水、食管静脉曲张（轻度）、门脉高压性胃病、凝血功能异常、低钾血症、肺占位性病变、2型糖尿病、高血压病3级（极高危）、心脏搭桥术后</t>
  </si>
  <si>
    <t>螺内酯片40mg口服BID，托拉塞米片20mg口服 BID(自备)，(国)氯化钾缓释片 1.5g口服 BID，乳果糖口服溶液15ml口服 BID</t>
  </si>
  <si>
    <t>陈洪喜</t>
  </si>
  <si>
    <t>食管静脉曲张、胃底静脉曲张？肝硬化、门静脉高压、下腔静脉狭窄、布加综合征（肝后型门静脉高压）、脾功能亢进、肝功能不全、凝血功能异常、中度贫血、低蛋白血症、慢性胃炎、十二指肠球炎</t>
  </si>
  <si>
    <t>肝硬化失代偿期、慢性迁延型乙型病毒性肝炎、酒精性肝病、低蛋白血症、脾功能亢进、食管静脉曲张（中度）、胃底静脉曲张（轻度）、慢性胃炎、内痔、糖耐量受损</t>
  </si>
  <si>
    <t>乳果糖口服溶液15ml口服BID</t>
  </si>
  <si>
    <t>盖秋玲</t>
  </si>
  <si>
    <t>原发性胆汁性肝硬化-自身免疫性肝炎重叠综合征、肝硬化、肝功能不全、门静脉高压、多发性肝囊肿、肺部阴影（肺结节）、低钾血症、低蛋白血症、高血压病3级（极高危）</t>
  </si>
  <si>
    <t>熊去氧胆酸胶囊 250 mg口服 TID，多烯磷脂酰胆碱胶囊 456 mg口服 TID</t>
  </si>
  <si>
    <t>肝硬化伴食管胃底静脉曲张破裂出血、消化道出血、乙型肝炎后肝硬化失代偿期、门脉高压性胃肠病、高氨血症、贫血、低钠血症、胆囊结石、垂体术后、甲状腺术后</t>
  </si>
  <si>
    <t>(波)雷贝拉唑钠肠溶片10g口服 BID，康复新液10ml口服 TID，恩替卡韦片 0.5mg口服QD ，左甲状腺素钠片 75ug 口服QD，乳果糖口服溶液 15ml口服 BID，呋塞米片 20 mg口服QD(自备)，食盐胶囊2粒口服TID(自备)</t>
  </si>
  <si>
    <t>肝硬化失代偿期、酒精性肝硬化、自身免疫性肝炎？食管静脉曲张（重度）、门脉高压性胃病、脾功能亢进、腹腔积液（少量）、低蛋白血症、凝血功能异常、高胆红素血症</t>
  </si>
  <si>
    <t>魏彩明</t>
  </si>
  <si>
    <t>AIH-PBC重叠综合征，其他的、肝功能不全、肝硬化食管静脉曲张、低蛋白血症、脾功能亢进、血小板减少、贫血（轻度）、肿瘤标记物升高、肝囊肿、干燥综合征、风湿性心脏病、心房颤动、肾上腺无功能腺瘤</t>
  </si>
  <si>
    <t xml:space="preserve">熊去氧胆酸胶囊 250 mg口服 TID，(罗)骨化三醇胶丸0.25ug 口服QD，2米曲菌胰酶片48mg口服TID，乳果糖口服溶液15ml口服 BID，(2瑞)雷贝拉唑钠肠溶片10 mg口服QD，甲泼尼龙片32 mg 口服QD，白芍总苷胶囊 0.6g口服 TID，利可君片 40 mg 口服 TID，复方甘草酸苷片2片口服TID </t>
  </si>
  <si>
    <t>杜力</t>
  </si>
  <si>
    <t>胃息肉、消化道出血、丙肝型肝硬化？慢性胃炎、持续性心房颤动、二尖瓣机械置换状态、主动脉瓣机械置换状态、前列腺钙化灶、盆腔积液、单纯性肾囊肿</t>
  </si>
  <si>
    <t xml:space="preserve">螺内酯片20mg口服 QD ，(波)雷贝拉唑钠肠溶片10mg口服 QD </t>
  </si>
  <si>
    <t>迟广孝</t>
  </si>
  <si>
    <t>肝硬化伴食管胃底静脉曲张破裂出血、门静脉血栓形成（门静脉闭塞？）、腹腔积液、低蛋白血症、脾大、腹水、下腔静脉狭窄（肝内段）、胸壁良性肿瘤（梭形细胞软组织肿瘤）、胆管动态未定肿瘤（肝内外胆管多段狭窄）、胆管炎、慢性胃炎、慢性胰腺炎、2型糖尿病、高血压病3级（极高危）、肝左外叶海绵状血管瘤、多发性肾囊肿、单纯性肾囊肿</t>
  </si>
  <si>
    <t>康复新液10ml口服 TID，熊去氧胆酸胶囊 250mg 口服 TID，双环醇片 25 mg 口服 TID，(国)氯化钾缓释片1g口服BID，2米曲菌胰酶片24mg口服 TID，呋塞米20mg口服BID，螺内酯片20mg口服 BID，(波)雷贝拉唑钠肠溶片 10 mg口服 QD，乳果糖口服溶液15ml口服 QD，腺苷蛋氨酸肠溶片 1.5g口服 BID</t>
  </si>
  <si>
    <t>李永珍</t>
  </si>
  <si>
    <t>肝硬化失代偿期、腹水、脾大、陈旧性脑梗死、2型糖尿病伴多个并发症、高血压病3级（极高危）、缺铁性贫血、慢性关节炎</t>
  </si>
  <si>
    <t>复方氨基酸胶囊(8-11)2粒 口服 TID 三餐后，硒酵母片 100ug口服 TID三餐后，多糖铁复合物胶囊 0.15g口服 QD早餐后，(国)缬沙坦氨氯地平片(I)85 mg 口服QD 早餐前，2米曲菌胰酶片 48 mg口服 TID 随餐，(大)双歧杆菌三联活菌肠溶胶囊 0.42g口服 TID 三餐后，螺内酯片 100mg口服 QD 餐前，(国)艾司奧美拉唑镁肠溶胶囊 20mg口服 BID 餐前，枸橼酸莫沙必利片 5mg口服 TID 餐后，熊去氧胆酸胶囊 250 mg 口服 TID 餐后</t>
  </si>
  <si>
    <t>丁焕武</t>
  </si>
  <si>
    <t>酒精性肝硬化失代偿期、腹水、食管静脉曲张、低蛋白血症、脾大、肝结节？高凝状态、白细胞减少、血小板减少、轻度贫血、低钾血症、肝囊肿（多发）、单纯性肾囊肿（左侧）、单侧腹股沟疝术后（左侧）</t>
  </si>
  <si>
    <t>螺内酯片40 mg口服QD(早8点)，螺内酯片20mg口服QD(16点)，呋塞米片20mg 口服 BID。</t>
  </si>
  <si>
    <t>肝硬化失代偿期、酒精性肝硬化、脾大、脾功能亢进、腹水、双下肢水肿、低蛋白血症、胆囊结石、2型糖尿病、高血压病2级（极高危）</t>
  </si>
  <si>
    <t>乳果口服溶液15ml口服 BID、阿卡波糖片 50 mg口服 TID、螺内酯片40 mg口服QD、伊托必利片50 mg口服TID、(国)氯化钾缓释片 1g口服 TID、复方氨基酸胶囊(8-11)2粒 口服 TID、(国)头孢地尼胶囊0.1g口服 TID、多烯磷脂酰胆碱胶囊 456 mg 口服 TID</t>
  </si>
  <si>
    <t>李隆丰</t>
  </si>
  <si>
    <t>肝硬化、肝糖原贮积症、肝功能不全、脾功能亢进、贫血（轻度）、血小板减少、慢性胃炎、甲状腺功能减退症、垂体柄阻断综合征、尿崩症</t>
  </si>
  <si>
    <t>左甲状腺素钠片25ug口服QD，熊去氧胆酸胶囊250mg口服TID，复方甘草酸苷片2片服TID，腺苷蛋氨酸肠溶片0.5g服BID</t>
  </si>
  <si>
    <t>胡香菊</t>
  </si>
  <si>
    <t>自身免疫性肝硬化、原发性胆汁性肝硬化、肝囊肿、甲状腺功能减退</t>
  </si>
  <si>
    <t>熊去氧胆酸胶囊250mg服TID，左甲状腺素钠片25ug服QD，(2瑞)雷贝拉唑钠肠溶片10mg口服QD</t>
  </si>
  <si>
    <t>肝硬化伴食管胃底静脉曲张、贫血、白细胞减少、甲状腺功能减退、高血压病2级（高危）、2型糖尿病、银屑病、单纯性肾囊肿（左肾）、</t>
  </si>
  <si>
    <t>刘长书</t>
  </si>
  <si>
    <t>乙型肝炎后肝硬化失代偿期、慢性乙型病毒型肝炎、肝功能检查的异常结果、十二指肠憩室、结肠憩室、肺部阴影、2型糖尿病、子宫切除术后状态</t>
  </si>
  <si>
    <t>多烯磷脂酰胆碱胶囊456mg口服TID，恩替卡片0.5mg口服QD</t>
  </si>
  <si>
    <t>贾建萍</t>
  </si>
  <si>
    <t>食管静脉曲张伴出血、自身免疫性肝硬化、门静脉高压、门脉高压性胃病、脾功能亢进、腹水、肝功能不全、低蛋白血症、高凝状态、多发高密度肝结节</t>
  </si>
  <si>
    <t>呋塞米片20mg服QD(自备)、螺内酯片40mg服QD、(2瑞)雷贝拉唑钠肠溶片10mg口服QD、康复新液10ml口服TID、2瑞巴派特片0.1g服TID、复方氨基酸胶囊(8-11)2粒口服TID、冬泽力乳清蛋白2袋口服TID</t>
  </si>
  <si>
    <t>陈学江</t>
  </si>
  <si>
    <t>食管静脉曲张伴出血、肝硬化失代偿期、自身免疫性肝硬化？胃底静脉曲张、门脉高压性胃病、脾功能亢进、脾大、腹水、肿瘤标记物升高、心肌梗死、心功能II级、高血压病3级发（极高危）、前列腺增生</t>
  </si>
  <si>
    <t>乳果糖口服溶液15ml口服BID、(泰)氢氯吡格雷片50mg服QD、阿托伐他汀钙片20mg口服QN、(2瑞)雷贝拉唑钠肠溶片10mg口服QD、(依)单硝酸异山梨酯缓释片60mg服QD、2瑞巴派特片0.1g口服TID、2米曲菌胰酶片48mg口服TID、琥珀酸美托洛尔缓释片47.5mg口服QD</t>
  </si>
  <si>
    <t>腹腔积液、肝硬化、原发性胆汁型肝硬化？慢性肾衰竭、肾萎缩伴高血压、肾性贫血、慢性胃炎、食管裂孔疝、肝囊肿、支气管扩张症、卵巢肿瘤术后、脑梗死恢复期、</t>
  </si>
  <si>
    <t>熊去氧胆酸胶囊250mg口服TID，康复新液10ml口服TID，(波)雷贝拉唑钠肠溶片10mg口服QD，瑞巴派特片0.1g服TID，(络)苯酸氨氯地平片5mg服BID，(国)富马酸比索洛尔片2.5mg口服QD，(大)脂必泰胶囊0.24g服BID</t>
  </si>
  <si>
    <t>马金铎</t>
  </si>
  <si>
    <t>食管静脉曲张、胃底静脉曲张、消化道出血、乙肝后肝硬化（失代偿期）、门脉高压性胃病、脾功能亢进、低蛋白血症、胆囊结石（多发）、肾结石、结肠憩室、支气管炎、2型糖尿病</t>
  </si>
  <si>
    <t>康复新液10ml口服TID，兰索拉唑口崩片30mg口服QD，利可君片20mg口服TID，生血宁片0.5g服TID</t>
  </si>
  <si>
    <t>付桂兰</t>
  </si>
  <si>
    <t>上消化道出血、肝硬化食管静脉曲张、贫血、脾大、胃息肉？慢性胃炎、高血压病3级、2型糖尿病、高尿酸血症、神经衰弱</t>
  </si>
  <si>
    <t>厄贝沙坦片75mg口服QD，螺内酯片40mg口服QD，乳果糖口服溶液15ml口服BID，(波)雷贝拉唑钠肠溶片10mg口服QD</t>
  </si>
  <si>
    <t>田桂珍</t>
  </si>
  <si>
    <t>多发性结肠息肉、结肠毛细血管扩张症、静脉曲张，其它部位特指的（痔）、食管静脉曲张、胃潴留、肝硬化失代偿期、自身免疫性肝炎、肝功能不全、腹水、结缔组织病、脾术后、单纯性肾囊肿、高脂血症、轻度贫血、肿瘤标记物升高、陈旧性肺结核</t>
  </si>
  <si>
    <t>熊去氧胆酸胶囊250 mg口服TID，双环醇片25mg口服BID，复方氨基酸胶囊(8-11)2粒口服TID，2米曲菌胰酶片24mg口服TID，(波)雷贝拉唑钠肠溶片10mg口服QD</t>
  </si>
  <si>
    <t>杨景海</t>
  </si>
  <si>
    <t>原发性胆汁性肝硬化、自身免疫性肝炎-原发性肝硬化重叠综合征？布加综合征、腹水、低蛋白血症、电解质代谢紊乱</t>
  </si>
  <si>
    <t>原发性胆汁性肝硬化、肝硬化失代偿期、自身免疫性肝炎、肝硬化伴食管胃底静脉曲张套扎术后、门静脉血栓形成、低蛋白血症、腹腔积液、脾功能亢进、肿瘤标记物升高、胆囊息肉、肺动脉高压、肾上腺肿物（左肾上腺分歧部结节）</t>
  </si>
  <si>
    <t>熊去氧胆酸胶囊250mg口服TID、复方氨基酸胶囊(8-11)2粒口服TID、螺内酯片100mg口服QD、康复新液10ml口服TID、(波)雷贝拉唑钠肠溶片10mg口服QD、(罗)骨化三醇胶丸0.25ug口服QD、(大)双歧杆菌三联活菌肠溶胶囊0.42g口服TID、乳果糖口服溶液15ml口服TID、(TPF-T)肠内营养乳剂200ml口服QD、(天)醋酸泼尼松片25mg口服QD，多烯磷脂酰胆碱胶囊456mg口服TID、钙尔奇D1片QD</t>
  </si>
  <si>
    <t>高永</t>
  </si>
  <si>
    <t>食管胃底静脉曲张破裂出血、酒精性肝硬化失代偿期、脾大、脾功能亢进、肝功能不全、全血细胞减少、乙型肝炎大三阳、酒精性肝病、高血压病2级（中危）、2型糖尿病、胆囊结石、单纯性肾囊肿</t>
  </si>
  <si>
    <t>(波)雷贝拉唑钠肠溶片10mg口服QD，(苏)恩替卡分散片0.5mg口服QD，2甘草酸二铵肠溶胶囊150mg服TID，熊去氧胆酸胶囊250mg口服TID</t>
  </si>
  <si>
    <t>赵万利</t>
  </si>
  <si>
    <t>食管胃底静脉曲张破裂出血、肝硬化失代偿期、门静脉高压、低蛋白血症、脾大、脾功能亢进、轻度贫血、慢性迁延性病毒性肝炎？肝占位性病变（囊肿？）、肾功能不全、2型糖尿病、肝结节、单纯性肾囊肿（左侧）、肿瘤标记物升高、高尿酸血症</t>
  </si>
  <si>
    <t>复方氨基酸胶囊(8-11)2粒口服TID，(波)雷贝拉唑钠肠溶片10mg口服QD</t>
  </si>
  <si>
    <t>肝性脑病、消化道出血？肝硬化失代偿期、血小板减少、低蛋白血症、贫血（中度）、脾功能亢进、胆囊结石、冠心病、PTCA支架术后</t>
  </si>
  <si>
    <t>复方氨基酸胶囊(8-11)2粒口服TID，(波)雷贝拉唑钠肠溶片10mg口服QD，利福昔明片0.2g口服QID，(国)氯化钾缓释片1g口服BID，呋塞米片20mg口服QD，螺内酯片20mg口服QD，乳果糖口服液30ml口服QD</t>
  </si>
  <si>
    <t>食管胃底静脉曲张破裂出血、肝硬化失代偿期、自身免疫性肝炎、门静脉高压、脾大、腹水、肝性脑病、再生障碍性贫血、2型糖尿病</t>
  </si>
  <si>
    <t>(波)雷贝拉唑钠肠溶片10mg口服QD，熊去氧胆酸胶囊250mg口服TID，乳果糖口服溶液15ml口服BID，螺内酯片20mg口服QD</t>
  </si>
  <si>
    <t>肝硬化失代偿期、原发性胆汁性肝硬化伴食管静脉曲张、脾大、腹水、低蛋白血症、自身免疫性肝炎？胃溃疡、慢性胃炎、胆囊结石、慢性胆囊炎、子宫平滑肌瘤？</t>
  </si>
  <si>
    <t>熊去氧胆酸胶囊250mg口服TID、2瑞巴派特片0.1g口服TID、熊去氧胆酸胶囊250mg口服TID、2瑞巴派特片0.1g口服TID</t>
  </si>
  <si>
    <t>李川</t>
  </si>
  <si>
    <t>酒精性肝硬化、肝硬化失代偿期、肝功能不全、脾大、重度脂肪肝、高脂血症、左侧胸腔积液（微量）、支气管炎、轻度贫血、右肾结石、盆腔积液（少量）</t>
  </si>
  <si>
    <t>2甘草酸二铵肠溶胶囊150mg口服TID，熊去氧胆酸胶囊250mg口服TID，腺苷蛋氨酸肠溶片0.5g口服TID，(2瑞)雷贝拉唑钠肠溶片10mg口服QD(餐前)</t>
  </si>
  <si>
    <t>张贻绵</t>
  </si>
  <si>
    <t>肝硬化失代偿期、食管静脉曲张（重度）、胃底静脉曲张、脾功能亢进、低蛋白血症、腹水、胸腔积液、药物性肝硬化？、肝占位性病变性质待定、胆囊结石、单纯性肾囊肿（左肾）、支气管炎、下肢静脉血栓形成(右侧肌间静脉)、下肢动脉粥样硬化、中度贫血、缺铁性贫血、肿瘤标记物升高</t>
  </si>
  <si>
    <t>(国)氯化钾缓释片1g口服TID，(可)兰索拉唑肠溶片30mg口服QD，乳果糖口服溶液15ml口服BID，利可君片20mg口服TID，(金)卡维地洛片5mg口服QD，2米曲菌胰酶片48mg口服TID，呋塞米片20mg口服QD，螺内酯片20mg口服BID</t>
  </si>
  <si>
    <t>张贵熙</t>
  </si>
  <si>
    <t>肝硬化失代偿期、消化道出血、门脉高压性胃肠病、腹腔积液、低蛋白血症、电解质紊乱、凝血功能障碍、脾功能亢进、中度贫血、肝功能不全、胆囊内胆汁淤积、急性胰腺炎、胃溃疡、慢性萎缩性胃炎、肝囊肿、胆囊结石、结肠良性肿瘤</t>
  </si>
  <si>
    <t>熊去氧胆酸胶囊250mg口服BID，腺苷蛋氨酸肠溶片0.5g口服TID，螺内酯片20mg口服BID，康复新液10ml口服TID，呋塞米片20mg口服QD，瑞巴派特片0.1g口服TID，甘草酸二铵肠溶胶囊150mg口服TID</t>
  </si>
  <si>
    <t>肝硬化失代偿期、酒精性肝病、自身免疫性肝硬化？门静脉高压、腹腔积液？心力衰竭？急性喉炎？脾功能亢进、低蛋白血症、食管静脉曲张不伴有出血、黄疸</t>
  </si>
  <si>
    <t>熊去氧胆酸胶囊250mg口服TID，雷贝拉唑钠肠溶片10mg口服QD，酷酸泼尼松片10mg口服QD，富马酸比索洛尔片5mg口服QD，乳果糖口服溶液15ml口服BID，米曲菌胰酶片48mg口服TID，复方氨基酸胶囊(8-11)2粒口服TID，双歧杆菌三联活菌肠溶胶囊0.42g口服TID，螺内酯片40mg口服BID，曲美布汀片0.1g口服TID，头孢地尼胶囊0.1g服TID</t>
  </si>
  <si>
    <t>贾希会</t>
  </si>
  <si>
    <t>肝硬化伴食管静脉曲张（轻度）、消化道出血？胆囊结石、慢性胃炎、肿瘤标记物升高、贫血（轻度）、冠状动脉性心脏病、高血压病3级（极高危）、2型糖尿病</t>
  </si>
  <si>
    <t>雷贝拉唑钠肠溶片10mg口服QD，康复新液10ml口服TID，多烯磷脂酰胆碱胶囊456mg口服TID，硝苯地平控释片30mg口服QD，熊去氧胆酸胶囊250mg口服TID</t>
  </si>
  <si>
    <t>金玉山</t>
  </si>
  <si>
    <t>食管胃底静脉曲张破裂出血、肝硬化失代偿期、隐源性肝硬化？门静脉高压、肠系膜上静脉血栓形成、腹水、脾大、中度贫血、低蛋白血症、缺血性肠病？2型糖尿病、高血压病3级（极高危）、高脂血症、胆囊炎、陈旧性脑梗死</t>
  </si>
  <si>
    <t>(波)雷贝拉唑钠肠溶片10mg口服QD(餐前)，2瑞巴派特片 0.1g口服TID(餐前)，复方氨基酸胶囊(8-11)2粒服TID，利格列汀片5mg口服QD(早餐前)，伊托必利片50mg口服TID(餐前)，乳果糖口服溶液15ml口服BID</t>
  </si>
  <si>
    <t>马启站</t>
  </si>
  <si>
    <t>乙型肝炎肝硬化、肝硬化伴食管胃底静脉曲张、门脉高压性胃病、胆囊切除术后状态、脾术后、腹水、贫血、低蛋白血症、低钾血症</t>
  </si>
  <si>
    <t>(大)双歧杆菌三联活菌肠溶胶囊0.42g口服BID，2米曲菌胰酶片48mg口服TID，康复新液10ml口服TID，螺内酯片20mg口服QD(自备)，托拉塞米片20mg口服BID(自备)，富马酸替诺福韦二吡呋酯片300mg口服QD(自备)</t>
  </si>
  <si>
    <t>肝硬化失代偿期、肺炎克雷伯杆菌感染、肠系膜上静脉血栓形成、食管胃底静脉区长破裂出血术后、门脉高压性胃病、腹水、脾大、中度贫血、低蛋白血症、缺血性肠病？2型糖尿病、高血压病3级（极高危）、高脂血症、胆囊炎、陈旧性脑梗死</t>
  </si>
  <si>
    <t>盐酸莫西沙星片0.4g服QD，(波)雷贝拉唑钠肠溶片10mg服QD，2瑞巴派特片0.1g服TID，(国)氯化钾缓释片1g口服TID，麻仁软胶囊0.6g口服BID，布拉氏酵母菌散0.5g口服BID(自备)，谷赖/胰岛素三餐前6-8-10iu皮下(自备),甘精胰岛素睡前14iu皮下(自备)</t>
  </si>
  <si>
    <t>王国英</t>
  </si>
  <si>
    <t>肝硬化伴食管胃底静脉曲张、胃溃疡（多发）、肝硬化失代偿期、脾亢、门静脉高压伴脾肾分流、门脉高压性胃炎、肝囊肿、肝结节（性质待定）、胆囊结石、缺铁性贫血、重度贫血、2型糖尿病、高血压病1级（中危）、便秘、低T3综合征</t>
  </si>
  <si>
    <t>王爱山</t>
  </si>
  <si>
    <t>肝硬化失代偿期、低蛋白血症、肝功能不全、黄疸、腹水、肝结节</t>
  </si>
  <si>
    <t>呋塞米20mg口服BID，螺内酯片20mg口服BID，兰索拉唑肠溶片30mg口服BID，熊去氧胆酸胶囊250mg口服QD，头孢地尼胶囊0.1g口服TID</t>
  </si>
  <si>
    <t>食管胃底静脉曲张破裂出血、乙肝后肝硬化失代偿期、白细胞减少、脾大、低蛋白血症、凝血功能障碍、门静脉血栓形成、中度贫血、缺铁性贫血、TIPSS肝内支架狭窄</t>
  </si>
  <si>
    <t>(苏)恩替卡分散片0.5mg口服QD，康复新液10ml口服TID，(金)卡维地洛片10mg口服QD，磷酸铝凝胶20g口服TID，熊去氧胆酸胶囊250mg口服TID，兰索拉唑口崩片30mg口服QD</t>
  </si>
  <si>
    <t>上消化道出血、慢性肝衰竭、食管胃底静脉曲张破裂出血、胃溃疡、胃肠道毛细血管扩张症、门脉高压性胃病、肝硬化失代偿期、酒精性肝硬化、双下肢水肿、肝性脑病、低蛋白血症、脾大、脾功能亢进、胆囊结石、2型糖尿病、高血压病2级（极高危）、重度贫血</t>
  </si>
  <si>
    <t>多烯磷脂酰胆碱胶囊456mg口服TID，螺内酯片40mg口服TID，托拉塞米片20mg口服QD(自备)，康复新液10ml口服TID，磷酸铝凝胶20g口服TID，兰索拉唑口崩片30mg含服QD，阿卡波糖片50mg口服TID(自备)，乳果糖口服溶液15ml口服TID，利福昔明片0.2g口服QID</t>
  </si>
  <si>
    <t>肝硬化失代偿期、原发性胆汁性肝硬化、自身免疫性肝炎、腹腔积液、低蛋白血症、电解质紊乱、肝硬化伴食管静脉曲张、肝硬化伴食管静脉曲张套扎术后、门静脉血栓形成、脾功能亢进、肺动脉高压、肿瘤标记物升高、胆囊息肉、肾上腺肿物（左肾上腺分歧部结节）</t>
  </si>
  <si>
    <t>熊去氧胆酸胶囊250mg口服TID，多烯磷脂酰胆碱胶囊456mg口服TID，醋酸泼尼松片15mg口服QD，乳果糖口服溶液15ml口服BID，骨化三醇胶丸0.25ug口服QD，曲美布汀片0.1g口服TID，2米曲菌胰酶片24mg口服TID，(波)雷贝拉唑钠肠溶片10mg口服QD，呋塞米片20mg口服BID，螺内酯片50mg口服BID</t>
  </si>
  <si>
    <t>慢性肝衰竭、肝硬化失代偿期、胸腔积液、腹腔积液、低蛋白血症、脾大、脐疝、凝血功能异常、肝肾综合征？肝硬化伴食管胃底静脉曲张、自身免疫性肝硬化？原发性胆汁性肝硬化？门静脉血栓形成、肠系膜上静脉血栓形成、肿瘤标记物升高</t>
  </si>
  <si>
    <t>熊去氧胆酸胶囊250mg口服TID，2米曲菌胰酶片24mg口服TID，螺内酯片40mg口服BID，(可)兰索拉唑肠溶片30mg口服QD，复方氨基酸胶囊(8-11)2粒口服TID，呋塞米20mg口服QD，氯吡格雷50mgQD(自备)，(可力)地高辛片0.125mg口服QD(自备)，琥珀酸美托洛尔缓释片47.5mg口服QD(自备)，(欣)单硝酸异山梨酯片20mg口服BID(自备)</t>
  </si>
  <si>
    <t>张泽文</t>
  </si>
  <si>
    <t>消化道出血、食管静脉曲张破裂出血、肝硬化失代偿期、门静脉血栓形成、肝功能不全、低蛋白血症、门脉高压性胃病、脾大、腹水、中度贫血</t>
  </si>
  <si>
    <t>利伐沙班片20mg口服QD，康复新液10ml口服TID，兰索拉唑钠肠溶片30mg口服bid，(大)双歧杆菌三联活菌肠溶胶囊0.42g口服TID，2强肝胶囊2g口服BID</t>
  </si>
  <si>
    <t>李蕾</t>
  </si>
  <si>
    <t>消化道出血、胃毛细血管扩张症、肝硬化失代偿期、自身免疫性肝硬化？肝硬化伴食管胃底静脉曲张、门脉高压性胃肠病</t>
  </si>
  <si>
    <t>(TPF能)肠内营养混悬液500ml口服QD，磷酸铝凝胶20g口服TID，沙利度胺片100mg口服QD，瑞巴派特片0.1g口服TID，康复新液10ml口服TID，多烯磷脂酰胆碱胶囊456mg口服TID，(波)雷贝拉唑钠肠溶片10mg口服QD</t>
  </si>
  <si>
    <t>蔡青梅</t>
  </si>
  <si>
    <t>食管静脉曲张破裂出血、消化道出血、胃底静脉曲张破裂出血、肝硬化失代偿期、门脉高压性胃病、门静脉血栓形成、腹水、白细胞减少、血小板减少、中度贫血、胃息肉、高血压病1级（高危）</t>
  </si>
  <si>
    <t>熊去氧胆酸胶囊250mg口服TID，2米曲菌胰酶片48mg口服TID，复方氨基酸胶囊(8-11)2粒口服TID，(波)雷贝拉唑钠肠溶片10mg口服QD，康复新液10ml口服TID，利可君片20mg口服TID</t>
  </si>
  <si>
    <t>李光义</t>
  </si>
  <si>
    <t>胃底静脉曲张（重度）、食管静脉曲张（中度）、消化道出血、乙型肝炎后肝硬化失代偿期、脾大、白细胞减少、血小板减少、门脉高压性胃病、慢性胃炎、十二指肠溃疡、单纯性肾囊肿、前列腺增生</t>
  </si>
  <si>
    <t>雷贝拉唑钠肠溶片10mg口服QD，康复新液10ml口服TID</t>
  </si>
  <si>
    <t>刘国英</t>
  </si>
  <si>
    <r>
      <rPr>
        <sz val="11"/>
        <color rgb="FF000000"/>
        <rFont val="等线"/>
        <charset val="134"/>
      </rPr>
      <t>肝硬化、自身免疫性肝硬化</t>
    </r>
    <r>
      <rPr>
        <sz val="11"/>
        <color rgb="FF000000"/>
        <rFont val="汉仪书宋二KW"/>
        <charset val="134"/>
      </rPr>
      <t>？</t>
    </r>
    <r>
      <rPr>
        <sz val="11"/>
        <color rgb="FF000000"/>
        <rFont val="等线"/>
        <charset val="134"/>
      </rPr>
      <t>、自发性腹膜炎</t>
    </r>
    <r>
      <rPr>
        <sz val="11"/>
        <color rgb="FF000000"/>
        <rFont val="汉仪书宋二KW"/>
        <charset val="134"/>
      </rPr>
      <t>？</t>
    </r>
    <r>
      <rPr>
        <sz val="11"/>
        <color rgb="FF000000"/>
        <rFont val="等线"/>
        <charset val="134"/>
      </rPr>
      <t>、腹水、重度贫血、低钾血症、低蛋白血症、血小板减少、白细胞减少、肝硬化伴食管胃底静脉曲张、直肠静脉曲张、脾大、高血压病3级</t>
    </r>
    <r>
      <rPr>
        <sz val="11"/>
        <color rgb="FF000000"/>
        <rFont val="汉仪书宋二KW"/>
        <charset val="134"/>
      </rPr>
      <t>（</t>
    </r>
    <r>
      <rPr>
        <sz val="11"/>
        <color rgb="FF000000"/>
        <rFont val="等线"/>
        <charset val="134"/>
      </rPr>
      <t>极高危</t>
    </r>
    <r>
      <rPr>
        <sz val="11"/>
        <color rgb="FF000000"/>
        <rFont val="汉仪书宋二KW"/>
        <charset val="134"/>
      </rPr>
      <t>）</t>
    </r>
    <r>
      <rPr>
        <sz val="11"/>
        <color rgb="FF000000"/>
        <rFont val="等线"/>
        <charset val="134"/>
      </rPr>
      <t>、胆囊结石、单纯性肾囊肿</t>
    </r>
  </si>
  <si>
    <t>硫普罗宁肠溶片0.2g口服TID，螺内酯片20mg口服BID，呋塞米1片口服BID，生血宁片0.5g口服TID，多糖铁复合物胶囊0.3g口服QD，复方氨基酸胶囊(8-11)2粒口服TID</t>
  </si>
  <si>
    <t>杨密芬</t>
  </si>
  <si>
    <t>食管胃底静脉曲张破裂出血、肝硬化失代偿期、自身免疫性肝炎？脾大、中度贫血、白细胞减少、血小板减少、腹水、骨髓增生异常综合征？三尖瓣疾病</t>
  </si>
  <si>
    <t>熊去氧胆酸胶囊250mg口服TID，(波)雷贝拉唑钠肠溶片10mg口服QD，瑞巴派特片0.1g口服TID，复方氨基酸胶囊2粒口服TID</t>
  </si>
  <si>
    <t>马秀敏</t>
  </si>
  <si>
    <t>自身免疫性肝硬化（失代偿期）、自身免疫性肝炎、肝功能不全、低蛋白血症、全血细胞减少、凝血功能异常、门静脉高压、脾大、脾亢、肿瘤标记物升高、慢性心力衰竭、肺部感染、胸腔积液、心包积液、腰椎骨折</t>
  </si>
  <si>
    <t>利福昔明片0.2g口服QID，乳果糖口服溶液15 ml口服TID，熊去氧胆酸胶囊250mg口服TID，复方氨基酸胶囊(8-11)2粒口服TID，(2瑞)雷贝拉唑钠肠溶片10mg口服QD，利可君片20mg口服TID，(大)双歧杆菌三联活菌肠溶胶囊0.21g静滴TID，呋塞米20mg口服QD，螺内酯20mg口服QD，止咳合剂10ml口服TID</t>
  </si>
  <si>
    <t>潘俊兰</t>
  </si>
  <si>
    <t>食管胃底静脉曲张破裂出血、肝硬化失代偿期、腹水、脾亢、低蛋白血症、凝血功能障碍、门静脉血栓、电解质紊乱、脐疝、重度贫血、多发性肝囊肿（肝顶多发）、单纯性肾囊肿（左肾）、胆囊结石、结缔组织病？自身免疫性肝硬化？</t>
  </si>
  <si>
    <t>(波)雷贝拉唑钠肠溶片10mg口服QD，康复新液10ml口服TID，复方氨基酸胶囊(8-11)2粒口服TID，熊去氧胆酸胶囊250mg口服TID，利可君片20mg口服TID，螺内酯片20mg口服QD，呋塞米片20mg口服QD</t>
  </si>
  <si>
    <t>王金梅</t>
  </si>
  <si>
    <t>肝硬化、肝硬化伴食管胃底静脉曲张、胃息肉、肝门静脉闭塞、肠系膜上静脉血栓形成、脾静脉栓塞、高胆固醇血症</t>
  </si>
  <si>
    <t>复方氨基酸胶囊(8-11)1粒口服TID，兰索拉唑肠溶片30mg口服QD，多烯磷脂酰胆碱胶囊456mg口服TID</t>
  </si>
  <si>
    <t>张云祥</t>
  </si>
  <si>
    <t>肝硬化失代偿期、乙肝后肝硬化、消化道出血、胃溃疡伴出血、肝硬化伴食管胃底静脉曲张、脾大、腹腔积液、血小板减少、中度贫血、慢性乙型病毒性肝炎、肿瘤标记物升高、2型糖尿病、慢性胃炎、低蛋白血症、肝功能不全、电解质代谢紊乱、低钙血症</t>
  </si>
  <si>
    <t>磷酸铝凝胶20g口服TID，康复新液10 ml口服TID，乳果糖口服溶液15ml口服BID，(苏)恩替卡韦分散片0.5mg口服QD，(可)兰索拉唑肠溶片30mg口服QD，多烯磷脂酰胆碱胶囊456 mg口服TID，艾托格列净片5mg口服QN(自备)，诺和锐6IU皮下TID</t>
  </si>
  <si>
    <t>张印祥</t>
  </si>
  <si>
    <t>肝硬化伴食管静脉曲张破裂、肝硬化失代偿期、酒精性肝硬化、肠系膜上静脉血栓形成、门静脉血栓形成、低蛋白血症、低钾血症、腹腔积液、冠状动脉性心脏病、陈旧性心肌梗死、心力衰竭、心功能3级、高血压、2型糖尿病、支气管炎、胸腔积液</t>
  </si>
  <si>
    <t>雷贝拉唑钠肠溶片10mg口服QD，复方氨基酸胶囊(8-11)2粒口服TID，生血宁片0.5g口服TID，螺内酯片20mg服BID，呋塞米片20mg口服QD，(依)单硝酸异山梨酯缓释片60mg口服QD</t>
  </si>
  <si>
    <t>肝硬化失代偿期、消化道出血、肝硬化伴食管静脉曲张、胃底静脉曲张组织胶治疗后、门脉高压性胃病、自身免疫性肝炎？失血性休克、贫血（重度）、血小板减少、白细胞减少、低钾血症、凝血功能异常、低蛋白血症、干燥综合征、肺肿物性质待定</t>
  </si>
  <si>
    <t>氯化钾缓释片1g口服BID，熊去氧胆酸胶囊250mg口服 TID，2甘草酸二铵肠溶胶囊100mg口服TID，磷酸铝凝胶20g口服TID，(波)雷贝拉唑钠肠溶片10mg口服QD</t>
  </si>
  <si>
    <t>杜建萍</t>
  </si>
  <si>
    <t>肝硬化伴食管静脉曲张破裂、门静脉高压、胆囊结石伴胆囊炎、肝囊肿？肺部阴影（肺结节）、凝血功能异常、中度贫血、高脂血症、低蛋白血症、低钾血症、2型糖尿病</t>
  </si>
  <si>
    <t>雷贝拉唑钠肠溶片10mg口服QD，磷酸铝凝胶20g口服BID，康复新液10ml口服TID</t>
  </si>
  <si>
    <t>唐丽萍</t>
  </si>
  <si>
    <t>肝功能不全、肝硬化失代偿期、乙型肝炎肝硬化、门静脉高压、脾功能亢进、肝结节、肝囊肿、子宫切除术后状态、剖宫产个人史</t>
  </si>
  <si>
    <t>熊去氧胆酸胶囊250mg口服TID，利可君片20mg口服TID，呋塞米片20mg口服QD，螺内酯片20mg口服QD，替诺福韦300mg口服QD</t>
  </si>
  <si>
    <t>姜晓东</t>
  </si>
  <si>
    <t>食管静脉曲张破裂出血、肝硬化失代偿期、酒精性肝硬化、门脉高压性胃病、中度贫血、白细胞减少、血小板减少、低蛋白血症、缺铁性贫血、肝功能不全、肝结节、盲肠憩室、脾大、腹水、心包积液（少量）、双侧胸腔积液、心功能不全</t>
  </si>
  <si>
    <t>(波)雷贝拉唑钠肠溶片10mg口服QD(餐前)，多烯磷脂酰胆碱胶囊456mg口服TID，复方氨基酸胶囊(8-11)2粒口服TID，螺内酯片20mg口服QD，呋塞米20mg口服QD</t>
  </si>
  <si>
    <t>马兆花</t>
  </si>
  <si>
    <t>肝功能不全 自身免疫性肝炎？</t>
  </si>
  <si>
    <t>双环醇片50mg口服TID，熊去氧胆酸胶囊250mg口服TID</t>
  </si>
  <si>
    <t>孔令俊</t>
  </si>
  <si>
    <t>原发性胆汁型肝硬化（自身免疫性肝炎重叠综合征）、肝硬化失代偿期、门静脉高压、腹水、脾大、肝硬化伴食管静脉曲张、胰腺肿大性质待明、自身免疫性胰腺炎？肠系膜炎（免疫性？）、胆囊结石、胆囊炎、腹腔淋巴结肿大、肝出血术后</t>
  </si>
  <si>
    <t>熊去氧胆酸胶囊250mg口服TID，(大)双歧杆菌三联活菌肠溶胶囊0.42g口服TID，(2瑞)雷贝拉唑钠肠溶片10mg口服QD，(金)卡维地洛片10mg口服QD，复方氨基酸胶囊(8-11)2粒口服TID，螺内酯片20mg口服QD</t>
  </si>
  <si>
    <t>李伴观</t>
  </si>
  <si>
    <t>原发性胆汁性肝硬化伴食管静脉曲张、自身免疫性肝炎后肝硬化失代偿期、食管静脉曲张破裂出血、慢加急性肝衰竭、门脉高压性胃病、胃底静脉曲张、胃溃疡、自发性腹膜炎、肝性脑病、低蛋白血症、腹水、脾大、重度贫血、凝血功能障碍、电解质紊乱、心律失常、室性期前收缩</t>
  </si>
  <si>
    <t>复方氨基酸胶囊(8-11)2粒口服TID，螺内酯片 40mg口服BID，雷贝拉唑钠肠溶片10mg口服QD，熊去氧胆酸胶囊250 mg口服TID，多烯磷脂酰胆碱胶囊456mg口服TID，(国)氯化钾缓释片1g口服QID，呋塞米片40mg口服QD，腺苷蛋氨酸肠溶片1g口服BID</t>
  </si>
  <si>
    <t>刘玉丽</t>
  </si>
  <si>
    <t>肝硬化伴食管胃底静脉曲张破裂出血、肝硬化失代偿期、门脉高压性胃病、门静脉血栓形成、脾亢、腹水、低蛋白血症、凝血功能异常、肝结节（性质待定）、贫血、电解质代谢紊乱、低钙血症、低钾血症、失血性休克、单纯性肾囊肿</t>
  </si>
  <si>
    <t>2(TPF-D)肠内营养乳剂500ml口服QD，氯化钾口服溶液10ml口服TID，螺内酯片20mg口服QD，复方氨基酸胶囊(8-11)2粒口服TID，(可)兰索拉唑肠溶片30mg口服QD，(国)氯化钾缓释片1g口服TID，呋塞米1片口服QD</t>
  </si>
  <si>
    <t>付洪汉</t>
  </si>
  <si>
    <t>肝硬化伴食管静脉曲张破裂、肝硬化失代偿期、肝硬化伴胃底静脉曲张、门脉高压性胃病、结肠良性肿瘤、缺铁性贫血、永久性心房颤动、2型糖尿病、高血压2级、阑尾术后、门静脉血栓形成、脾大、胆总管结石、单纯性肾囊肿</t>
  </si>
  <si>
    <t>康复新液10ml口服TID，利福昔明片0.2g口服QID，(大)双歧杆菌三联活菌肠溶胶囊0.42g口服TID</t>
  </si>
  <si>
    <t>王屹</t>
  </si>
  <si>
    <t>肝硬化失代偿期、肝性脑病、自身免疫性肝炎？胆囊炎、垂体瘤术后、继发性甲状腺功能减退、腺垂体功能减退</t>
  </si>
  <si>
    <t>螺内酯片20mg口服QD，复方甲氧那明胶囊93mg口服TID，利可君片20mg服TID，乳果糖口服溶液15ml口服QD，熊去氧胆酸胶囊250mg口服TID，(波)雷贝拉唑钠肠溶片10mg口服QD，利福昔明片0.4g口服TID，2甘草酸二铵肠溶胶囊150mg口服TID</t>
  </si>
  <si>
    <t>肝硬化失代偿期、酒精性肝病、自身免疫性肝硬化？门静脉高压、腹腔积液？心力衰竭？、脾功能亢进、低蛋白血症、食管静脉曲张不伴有出血</t>
  </si>
  <si>
    <t>硫普罗宁肠溶片0.2g口服TID、熊去氧胆酸胶囊250mg口服TID、乳果糖口服溶液15ml口服BID、雷贝拉唑钠肠溶片10mg口服QD、醋酸泼尼松片10mg口服QD、富马酸比索洛尔片5mg口服QD、螺内酯片20mg口服QD</t>
  </si>
  <si>
    <t>肝硬化失代偿期、腹腔积液、脾亢、肝功能不全、门脉高压性胃肠病、胃溃疡、慢性萎缩性胃炎、肝囊肿、胆囊结石、胆囊内胆汁淤积、结肠良性肿瘤、末端性回肠炎（回肠粘膜病变性质待定）、气管炎、肺气肿、肺大泡</t>
  </si>
  <si>
    <t>复方氨基酸胶囊(8-11)2粒口服TID、熊去氧胆酸胶囊250mg口服BID、2瑞巴派特片0.1g口服TID、乳果糖口服溶液15ml口服TID、利福昔明片0.2g口服QID、雷贝拉唑钠肠溶片10mg口服QD、螺内酯片20mg口服BID、双环醇片25mg口服TID</t>
  </si>
  <si>
    <t>刘毓珍</t>
  </si>
  <si>
    <t>肝硬化伴食管胃底静脉曲张破裂出血、丙型肝炎后肝硬化失代偿期、门脉高压性胃病、低蛋白血症、门静脉血栓形成、肠系膜静脉血栓形成、胆囊结石、单纯性肾囊肿、凝血功能异常、上呼吸道感染、中度贫血</t>
  </si>
  <si>
    <t>(大)双歧杆菌三联活菌肠溶胶囊0.42g口服BID、2瑞巴派特片0.1g口服TID、(波)雷贝拉唑钠肠溶片10mg口服QD、头孢地尼胶囊0.1g口服TID、康复新液10ml口服TID</t>
  </si>
  <si>
    <t>陈月秋</t>
  </si>
  <si>
    <t>肺部感染、慢性肝衰竭、肝硬化失代偿期、肝性脑病、腹水、低蛋白血症、肝功能不全、冠心病、心功能不全、高血压3级、肿瘤标记物升高、消化道出血</t>
  </si>
  <si>
    <t>乳果糖口服溶液15ml口服BID，兰索拉唑口崩片30mg口服QD，复方氨基酸胶囊(8-11)2粒口服TID，2甘草酸二铵肠溶胶囊150mg口服TID，螺内酯片40mg口服TID，呋塞米片20mg口服tid</t>
  </si>
  <si>
    <t>肝硬化失代偿期、腹水（大量）、药物性肝硬化？低蛋白血症、冠心病、冠状动脉支架植入术后状态、陈旧性脑梗死、银屑病、肝囊肿、蛋白尿</t>
  </si>
  <si>
    <t>乳果糖口服溶液15ml口服BID，螺内酯片40mg口服BID，呋塞米40mg口服BID，复方氨基酸胶囊(8-11)2粒口服TID，黄葵2.15g口服TID</t>
  </si>
  <si>
    <t>高宝兰</t>
  </si>
  <si>
    <t>胃溃疡伴出血、原发性胆汁型肝硬化伴食管胃底静脉曲张、十二指肠溃疡、门脉高压性胃病、贫血、低钙血症、低蛋白血症、便潜血、肿瘤标记物升高</t>
  </si>
  <si>
    <t>康复新液10ml口服TID，米曲菌胰酶片48mg口服QD，熊去氧胆酸胶囊250mg口服TID，(波)雷贝拉唑钠肠溶片10mg口服QD，瑞巴派特片0.1g口服TID</t>
  </si>
  <si>
    <t>汪颖</t>
  </si>
  <si>
    <t>肝性脑病、酒精性肝硬化、肝硬化失代偿期、低蛋白血症、脾功能亢进、血小板减少、肝硬化伴食管静脉曲张、贫血、细菌性感染、电解质紊乱、低钾血症、低钙血症、凝血功能异常、2型糖尿病、腹腔积液、盆腔积液、肝囊肿</t>
  </si>
  <si>
    <t>螺内酯片20mg口服BID，双环醇片25mg口服TID，熊去氧胆酸胶囊250mg口服TID，复方氨基酸胶囊(8-11)2粒口服TID，(2瑞)雷贝拉唑钠肠溶片10mg口服QD，呋塞米20mg口服QD</t>
  </si>
  <si>
    <t>李铭芳</t>
  </si>
  <si>
    <t>肝硬化伴食管静脉曲张破裂出血、乙肝肝硬化失代偿期、门脉高压性胃肠病、消化道出血、白癜风、腹水、脾大</t>
  </si>
  <si>
    <t>少-中量</t>
  </si>
  <si>
    <t>多烯磷脂酰胆碱胶囊456mg口服TID，熊去氧胆酸胶囊250mg口服BID，恩替卡片0.5mg口服QD，(波)雷贝拉唑钠肠溶片10mg口服QD，2瑞巴派特片0.1g口服TID，康复新液10ml口服TID</t>
  </si>
  <si>
    <t>刘金玲</t>
  </si>
  <si>
    <t>消化道出血、结肠溃疡、局限性腹膜炎、缺血性肠病、乙肝后肝硬化、肝硬化伴食管胃底静脉曲张、脾大、心房血栓、血小板减少、肝功能不全、肾功能不全、胆囊结石、肝囊肿、风湿性心脏病、二尖瓣狭窄（重度）、心房颤动、心功能II级（NYHA分级）</t>
  </si>
  <si>
    <t>康复新液10ml口服TID，恩替卡片0.5mg口服Q72H，(大)双歧杆菌三联活菌肠溶胶囊0.42g口服TID，短肽型肠内营养剂125g口服BID，呋塞米20mg口服QD(自备)，螺内酯20mg口服BID(自备)</t>
  </si>
  <si>
    <t>任小花</t>
  </si>
  <si>
    <t>胃底食管静脉曲张破裂出血、原发性胆汁性肝硬化、门静脉高压、系统性红斑狼疮、脾大、肝血管瘤、中度贫血、低钙血症、白细胞减少、低蛋白血症、血小板减少、子宫切除术后状态、盆腔积液</t>
  </si>
  <si>
    <t>康复新液10ml口服TID，(2瑞)雷贝拉唑钠肠溶片10mg口服QD，利可君片20mg口服TID，(天)醋酸泼尼松片7.5mg口服ST，(罗)骨化三醇胶丸0.5ug服ST，硫酸羟氯喹片0.2g服ST</t>
  </si>
  <si>
    <t>王淑敏</t>
  </si>
  <si>
    <t>203/1/17</t>
  </si>
  <si>
    <t>自身免疫性肝硬化、食管静脉曲张、门脉高压性胃病、脾大、低蛋白血症、血小板减少、干燥综合征（舍格伦）、主动脉瓣狭窄（重度）、低钾血症、心包积液、肺部感染（新冠？）、支气管炎、肝囊肿、盆腔积液</t>
  </si>
  <si>
    <t>氯化钾缓释片1g口服BID，(罗)骨化三醇胶丸0.25ug口服QD，枸橼酸莫沙必利片5mg口服TID，(大)双歧杆菌三联活菌肠溶胶囊0.42g口服TID，双环醇片25mg口服TID，白芍总苷胶囊0.3g口服BID，兰索拉唑口崩片30mg口服QD，复方氨基酸胶囊(8-11)2粒服TID，康复新液10ml漱口TID，甲泼尼龙片4mg口服QD，熊去氧胆酸胶囊250mg口服TID</t>
  </si>
  <si>
    <t>张云合</t>
  </si>
  <si>
    <t>食管静脉曲张破裂出血、肝硬化失代偿期、低蛋白血症、血小板减少、凝血功能异常、乙肝后肝硬化、中度贫血、2型糖尿病、高血压病2级（高危）、电解质紊乱</t>
  </si>
  <si>
    <t>乳果糖口服溶液15ml口服BID、(波)雷贝拉唑钠肠溶片10mg口服QD、替诺福韦1片口服QD</t>
  </si>
  <si>
    <t>李杰</t>
  </si>
  <si>
    <t>肝硬化、慢加急性肝衰竭、肝豆状核变性、脾术后、低蛋白血症</t>
  </si>
  <si>
    <t>1(肝豆病)</t>
  </si>
  <si>
    <t>左氧氟沙星片0.5g口服QD，(2瑞)雷贝拉唑钠肠溶片10mg口服QD，熊去氧胆酸胶囊250mg口服TID，青霉胺250mg口服QID，呋塞米25mg口服BID</t>
  </si>
  <si>
    <t>李耀钰</t>
  </si>
  <si>
    <t>肝硬化失代偿时期、酒精性肝损害、药物性肝损害？、急性肝衰竭、肝性脑病、高胆红素血症、腹腔积液、低蛋白血症、中度贫血、低钙血症、肿瘤标记物升高、EB病毒感染</t>
  </si>
  <si>
    <t>复方氨基酸胶囊(8-11)2粒口服TID，(波)雷贝拉唑钠肠溶片10mg口服QD，熊去氧胆酸胶囊250mg口服TID，硫普罗宁肠溶片0.2g口服TID</t>
  </si>
  <si>
    <t>李杨</t>
  </si>
  <si>
    <t>肝硬化失代偿期、酒精性肝硬化、酒精性肝硬化伴食管胃底静脉曲张、腹水、脾大、脾功能亢进、血小板减少、低蛋白血症</t>
  </si>
  <si>
    <t>复方氨基酸胶囊2粒口服TID，甲泼尼龙4mg口服QD，熊去氧胆酸胶囊250mg口服TID</t>
  </si>
  <si>
    <t>刘亚文</t>
  </si>
  <si>
    <t>食管胃底静脉曲张破裂出血、乙型肝炎后肝硬化失代偿期、脾大、腹水、慢性胃炎、轻度贫血、白细胞减少、血小板减少、电解质紊乱</t>
  </si>
  <si>
    <t>(波)雷贝拉唑钠肠溶片10mg口服QD，生血宁片0.5g口服BID，恩替卡片0.5mg口服QD，硫普罗宁肠溶片0.2g口服TID，2瑞巴派特片0.1g口服TID，康复新液10ml口服TID</t>
  </si>
  <si>
    <t>急性胆管炎、肝内肝外胆管结石、细菌性感染、原发性硬化性胆管炎、消化道出血、脾功能亢进、低蛋白血症、电解质紊乱</t>
  </si>
  <si>
    <t>(2瑞)雷贝拉唑钠肠溶片10mg口服QD，乳果糖口服溶液15ml口服TID、双环醇片25mg口服TID、熊去氧胆酸胶囊250mg口服TID、(大)双歧杆菌三联活菌肠溶胶囊0.42g口服BID、可乐)左氧氟沙星片0.5g口服QD、多糖铁复合物胶囊0.3g口服QD</t>
  </si>
  <si>
    <t>陈连瑞</t>
  </si>
  <si>
    <t>肝硬化、腹腔积液、下肢深静脉血栓形成、血小板减少、轻度贫血、低蛋白血症、肝功能不全、肾功能不全、电解质代谢紊乱、高血压病1级（极高危）、2型糖尿病、银屑病、陈旧性脑梗死、副脾、胆囊结石、间质性肺炎？、陈旧性肺结核？</t>
  </si>
  <si>
    <t>螺内酯片20mg口服BID，(大)利伐沙班片15mg口服BID，替米沙坦40mg口服QD</t>
  </si>
  <si>
    <t>国家起</t>
  </si>
  <si>
    <t>消化道出血、酒精性肝硬化、血小板减少、急性心肌梗死、白细胞减少、中度贫血、腹水、门静脉血栓形成、冠状动脉性心脏病、心功能III级（NYHA分级）、腹主动脉瘤、肾功能不全、2型糖尿病</t>
  </si>
  <si>
    <t>瑞巴派特片0.1g口服TID，熊去氧胆酸胶囊250 mg 口服TID，雷贝拉唑钠肠溶片10mg口服QD，(泰)氢氯吡格雷片50mg口服QD，(依)单硝酸异山梨酯缓释片60mg口服QD</t>
  </si>
  <si>
    <t>腹腔积液（大量）、慢性肝衰竭？、酒精性肝硬化、肝硬化失代偿期、肝性脑病、肝功能不全、双下肢水肿、2型糖尿病、胃溃疡、胃肠道毛细血管扩张症、脾大、脾功能亢进、胆囊结石、高血压病2级（极高危）、右侧大隐静脉曲张、右侧下肢深静脉瓣膜功能不全、右侧腘窝囊肿</t>
  </si>
  <si>
    <t>华玉芹</t>
  </si>
  <si>
    <t>食管胃底静脉曲张破裂出血（胃底出血？）、丙型肝炎肝硬化、门静脉高压、脾大、腹水、门脉高压性胃病、肝性脑病、低蛋白血症、心功能不全、黄疸（轻度）、白细胞减少、重度贫血、急性失血性贫血、血小板减少、电解质紊乱、凝血功能异常、甲胎蛋白异常</t>
  </si>
  <si>
    <t>康复新液10ml口服TID、雷贝拉唑钠肠溶片10mg口服QD、利福昔明片0.2g口服QID、乳果糖口服溶液15ml口服TID</t>
  </si>
  <si>
    <t>王昊</t>
  </si>
  <si>
    <t>酒精性肝硬化、腹腔积液、肝性脑病、脾大、低蛋白血症、肝功能不全、阴囊肿大、中度贫血、低钾血症、低钙血症、抑郁性精神病、肿瘤标记物升高</t>
  </si>
  <si>
    <t>肝硬化伴食管静脉曲张破裂出血、肝硬化失代偿期、胃底静脉曲张、酒精性肝硬化？、门静脉高压、脾功能亢进、凝血功能异常、重度贫血</t>
  </si>
  <si>
    <t>磷酸铝凝胶20g口服TID、(2瑞)雷贝拉唑钠肠溶片10mg口服QD</t>
  </si>
  <si>
    <t>李继荣</t>
  </si>
  <si>
    <t>胃底食管静脉曲张破裂出血、门脉高压性胃病、乙型肝炎后肝硬化失代偿期、全血细胞减少、脾大、腹腔积液、盆腔积液、缺血性肠病？、门静脉血栓形成、肠系膜上静脉血栓形成、电解质代谢紊乱、低钾血症、低钙血症、凝血功能异常、肿瘤标记物升高、肝囊肿</t>
  </si>
  <si>
    <t>康复新液10ml口服TID，螺内酯片20mg口服BID，利可君片20mg口服TID，(2瑞)雷贝拉唑钠肠溶片10mg口服QN，(大)利伐沙班片20mg口服QD，呋塞米20mg口服QD，恩替卡韦1片口服QD(自备)</t>
  </si>
  <si>
    <t>自身免疫性肝炎-原发性胆汁性胆管炎重叠综合征、肝硬化失代偿期、肝硬化伴食管胃底静脉曲张、腹水、脾大、胆囊结石、腹腔淋巴结肿大、高血压病2级（高危）、慢性胃炎</t>
  </si>
  <si>
    <t>2米曲菌胰酶片24mg口服TID、(大)双歧杆菌三联活菌肠溶胶囊0.42g口服TID、(波)雷贝拉唑钠肠溶片10mg口服QD、熊去氧胆酸胶囊250mg口服TID、马来酸依那普利片10mg口服QD、(罗)骨化三醇胶丸0.25ug口服QD、螺内酯片20mg口服BID、(天)醋酸泼尼松片15mg口服QD、呋塞米片20mg口服QD(自备)</t>
  </si>
  <si>
    <t>麻贵才</t>
  </si>
  <si>
    <t>肝硬化失代偿期、门静脉高压、脾大、轻度贫血、慢性胃炎、血小板减少、白细胞减少、低蛋白血症、血清免疫学异常所见</t>
  </si>
  <si>
    <t>(金)卡维地洛片5mg口服QD，曲美布汀片0.2g口服TID，2米曲菌胰酶片24mg口服TID，螺内酯片20mg口服QD，呋塞米片20mg口服QD，(2瑞)雷贝拉唑钠肠溶片10mg口服QD，多烯磷脂酰胆碱胶囊456mg口服TID，康复新液10ml口服TID</t>
  </si>
  <si>
    <t>慢性肝衰竭、肝硬化失代偿期、肝硬化伴食管胃底静脉曲张（治疗后）、脾大、腹水、自身免疫性肝硬化？原发性胆汁型肝硬化？高胆红素血症（阴性黄疸）、门静脉血栓形成、胸水、房颤、心力衰竭、冠心病、陈旧性心肌梗死、冠状动脉支架植入后状态、冠状动脉搭桥术后状态</t>
  </si>
  <si>
    <t>止咳合剂10m口l服TID，康复新液10ml口服TID，琥珀酸美托洛尔缓释片47.5mg口服QD，(可力)地高辛片0.125mg口服QD，2米曲菌胰酶片24mg口服TID，(依)单硝酸异山梨酯缓释片60mg口服QD，螺内酯片40mg口服BID，托拉塞米片5mg口服QD，(波)雷贝拉唑钠肠溶片10mg口服QD</t>
  </si>
  <si>
    <t>腹水（大量）、慢性肝衰竭？消化道出血、重度贫血、酒精肝硬化、肝硬化失代偿、肝性脑病、肝功能不全、脾亢、双下肢水肿、2型糖尿病、胃溃疡、胃肠道毛细血管扩张症、胆囊结石、高血压2级（极高危）、右侧大隐静脉曲张</t>
  </si>
  <si>
    <t>(国)氯化钾缓释片2g口服BID，(波)雷贝拉唑钠肠溶片10mg口服QD，熊去氧胆酸胶囊250mg口服TID，利福昔明片0.2g口服QID，多烯磷脂酰胆碱胶囊456mg口服TID，螺内酯片80mg服BID</t>
  </si>
  <si>
    <t>马连茹</t>
  </si>
  <si>
    <t>肝硬化、自身免疫肝炎、肠易激综合征、红斑狼疮？睡眠障碍</t>
  </si>
  <si>
    <t>甲泼尼龙片4mg口服QD，熊去氧胆酸胶囊250mg口服TID，(大)双歧杆菌三联活菌肠溶胶囊0.42g口服BID，(华中)艾司唑仑片1mg口服QN</t>
  </si>
  <si>
    <t>王淑荣</t>
  </si>
  <si>
    <t>消化道出血、食管胃底静脉曲张破裂出血、全血细胞减少、肝功能不全、低蛋白血症、腹水、肝性脑病、呼吸衰竭、低钙血症、冠心病、高血压3级（极高危）、高凝状态</t>
  </si>
  <si>
    <t>米曲菌胰酶片24mg口服TID，生血宁片0.5g口服TID，复方氨基酸胶囊(8-11)2粒口服TID，康复新液10ml口服TID，瑞巴派特片0.1g口服TID，(2瑞)雷贝拉唑钠肠溶片10mg口服QD，短肽型肠内营养剂125g口服QD，螺内酯片40mg口服QD，呋塞米20mg口服QD</t>
  </si>
  <si>
    <t>滕淑华</t>
  </si>
  <si>
    <t>肝硬化、肝硬化伴食管胃底静脉曲张、非酒精性脂肪性肝炎相关性肝硬化？自身免疫性肝硬化？慢性胃炎、子宫切除术后状态</t>
  </si>
  <si>
    <t>熊去氧胆酸胶囊500mg口服BID，螺内酯片20mg口服BID，(大)双歧杆菌三联活菌肠溶胶囊0.63g口服BID</t>
  </si>
  <si>
    <t>肝硬化失代偿期、肝性脑病、腹腔积液、酒精性肝病、自身免疫性肝硬化？、门静脉高压、肝功能不全、心力衰竭？脾亢、食管静脉曲张不伴有出血、黄疸、低蛋白血症、贫血、血小板减少、电解质代谢紊乱、低钠血症、低钾血症</t>
  </si>
  <si>
    <t>熊去氧胆酸胶囊250mg口服TID、乳果糖口服溶液15ml口服QD、雷贝拉唑钠肠溶片10mg口服QD、醋酸泼尼松片10mg口服QD、富马酸比索洛尔片5mg口服QD、螺内酯片80mg口服QD，呋塞米20mg口服BID，利福昔明片0.2g口服QID，多烯磷脂酰胆碱胶囊456 mg口服TID，钙片1片口服QD(自备)</t>
  </si>
  <si>
    <t>李富娟</t>
  </si>
  <si>
    <t>肝硬化失代偿期、腹水、脾大、胃底静脉曲张、自身免疫性肝硬化？、药物性肝损害？、低蛋白血症、低钙血症、肿瘤标记物升高、高血压病2级（中危）、胆囊结石、单纯性肝囊肿</t>
  </si>
  <si>
    <t>2甘草酸二铵肠溶胶囊150mg口服TID，熊去氧胆酸胶囊250mg口服QID，硝苯地平控释片30mg口服QD，螺内酯片20mg口服BID，呋塞米20mg口服QD，聚普瑞锌75mg口服QD，卡维地洛6.25mg口服QD</t>
  </si>
  <si>
    <t>张林</t>
  </si>
  <si>
    <t>溃疡性结肠炎（全结肠型、初发型、重型）、消化道出血、酒精性肝硬化失代偿期、低蛋白血症、脾大、腹水、肝功能不全、慢性萎缩性胃炎、肝囊肿、后天性肾囊肿</t>
  </si>
  <si>
    <t>康复新液10ml口服TID，(波)雷贝拉唑钠肠溶片10mg口服QD，利福昔明片0.2g口服QID，美沙拉嗪颗粒1g口服QID</t>
  </si>
  <si>
    <t>许桂琴</t>
  </si>
  <si>
    <t>食管静脉曲张破裂出血、肝硬化失代偿期、原发性胆汁型肝硬化、十二指肠良性肿瘤、门脉高压性胃病、脾亢、高脂血症、低蛋白血症、电解质紊乱、低钾血症</t>
  </si>
  <si>
    <t>(波)雷贝拉唑钠肠溶片10mg口服QD，熊去氧胆酸胶囊250mg口服TID，(大)双歧杆菌三联活菌肠溶胶囊0.42g口服BID，(金)卡维地洛片5mg口服BID，熊去氧胆酸胶囊250mg口服TID</t>
  </si>
  <si>
    <t>李光</t>
  </si>
  <si>
    <t>食管静脉曲张伴有出血、肝硬化失代偿期、腹水、中度贫血、低蛋白血症、</t>
  </si>
  <si>
    <t>熊去氧胆酸胶囊250mg口服TID，(2瑞)雷贝拉唑钠肠溶片10mg口服QD</t>
  </si>
  <si>
    <t>肝硬化失代偿期、食管静脉曲张（重度）、门脉高压性胃病、脾亢、腹腔积液（中量）、凝血功能异常、酒精性肝硬化、自身免疫性肝硬化？、低蛋白血症、胸腔积液（右）</t>
  </si>
  <si>
    <t>乳果糖口服溶液15ml口服BID，(天)醋酸泼尼松片10mg口服QD，螺内酯片20mg口服BID，2强肝胶囊2g服BID，利福昔明片0.4g服Q8H，呋塞米20mg口服QD，卡维地洛6.25mg口服QD</t>
  </si>
  <si>
    <t>徐健萍</t>
  </si>
  <si>
    <t>肝硬化失代偿期、自身免疫性肝炎？、肝硬化伴食管胃底静脉曲张、焦虑状态、高血压病2级（极高危）、2型糖尿病、类风湿关节炎、高脂血症、脑膜瘤术后</t>
  </si>
  <si>
    <t>(天)醋酸泼尼松片15mg口服QD，(罗)骨化三醇胶丸0.25ug口服BID，施)苯确酸左氨氯地平片5mg口服QD，(大)双歧杆菌三联活菌肠溶胶囊0.42g口服BID，氟哌噻吨美利曲辛片10.5mg口服QD，(欧)奥氮平片5mg口服QN</t>
  </si>
  <si>
    <t>2023.3.4</t>
  </si>
  <si>
    <t>2023.3.11</t>
  </si>
  <si>
    <t>肝硬化失代偿期、腹腔积液、肝功能不全、低蛋白血症、肝性脑病、脾功能亢进、门脉高压性胃肠病、胃溃疡、慢性萎缩性胃炎、肝囊肿、胆囊结石、胆囊内胆汁淤积、结肠良性肿瘤、末端性回肠炎、气管炎、肺大泡、肺气肿</t>
  </si>
  <si>
    <t>熊去氧胆酸胶囊250mg口服BID，乳果糖口服溶液15ml口服TID，利福昔明片0.2g口服QID，螺内酯片40mg口服BID，(国)氯化钾缓释片1g口服TID，呋塞米片20g口服BID</t>
  </si>
  <si>
    <t>胡志红</t>
  </si>
  <si>
    <t>2023.3.8</t>
  </si>
  <si>
    <t>2023.3.16</t>
  </si>
  <si>
    <t>肝硬化、门静脉高压、肝功能不全、肝结节、重度脾大、脾功能亢进、缺铁性贫血、血小板减少、白细胞减少、血清免疫学异常所见</t>
  </si>
  <si>
    <t>马全玲</t>
  </si>
  <si>
    <t>食管静脉曲张破裂出血、肝硬化失代偿期、胃底静脉曲张、脾大、脾功能亢进、血小板减少、白细胞减少、低蛋白血症</t>
  </si>
  <si>
    <t>药物性</t>
  </si>
  <si>
    <t>康复新液10ml口服TID，利福昔明片0.4g口服TID，生血宁片0.25g口服TID，利可君片20mg口服TID，卡维地洛(自备)6.25mg口服QD</t>
  </si>
  <si>
    <t>李素英</t>
  </si>
  <si>
    <t>2023.3.13</t>
  </si>
  <si>
    <t>2023.4.3</t>
  </si>
  <si>
    <t>结肠良性肿瘤、直肠息肉、结肠黑变病、肝硬化失代偿期、门脉高压性胃肠病、胃底静脉曲张、重度贫血、缺铁性贫血、干燥综合征、血脂异常、低蛋白血症、低钾血症、低钙血症、凝血功能异常</t>
  </si>
  <si>
    <t>利可君片20mg口服TID，生血宁片0.5g口服BID，复方氨基酸胶囊(8-11)2粒口服TID，利福昔明片0.2g口服TID，乳果糖口服溶液15ml口服QD，康复新液10ml口服TID，甘草酸二铵肠溶胶囊150mg口服TID</t>
  </si>
  <si>
    <t>甘玉伦</t>
  </si>
  <si>
    <t>2023.3.14</t>
  </si>
  <si>
    <t>2023.3.20</t>
  </si>
  <si>
    <t>消化道出血、食管胃底静脉曲张破裂出血、肝硬化失代偿期、隐源性肝硬化？高血压病3级、中度贫血、血小板减少、凝血功能异常、白内障、眼球摘除术后、低蛋白血症、低钙血症、脾大、腹腔积液</t>
  </si>
  <si>
    <t>(2瑞)雷贝拉唑钠肠溶片10mg口服QD、康复新液10ml口服TID、复方甲氧那明胶囊93mg口服TID、呋塞米20mg口服QD(自备)</t>
  </si>
  <si>
    <t>马庆芬</t>
  </si>
  <si>
    <t>2023.3.15</t>
  </si>
  <si>
    <t>肝硬化伴食管胃底静脉曲张破裂出血、原发性胆汁性胆管炎、上消化道出血、胃底静脉曲张、门静脉高压、脾大、全血细胞减少、腹腔积液、低蛋白血症、结缔组织病、肝囊肿、电解质紊乱、2型糖尿病、高血压病3级</t>
  </si>
  <si>
    <t>康复新液10ml口服TID、阿卡波糖片100mg口服TID、乳果糖口服溶液15ml口服TID、熊去氧胆酸胶囊250mg口服TID、利可君片20mg口服TID</t>
  </si>
  <si>
    <t>孙桂芝</t>
  </si>
  <si>
    <t>2023.3.28</t>
  </si>
  <si>
    <t>肝硬化伴食管静脉曲张破裂出血、自身免疫性肝硬化？肝硬化失代偿期、低蛋白血症、慢性胃炎、十二指肠球炎、电解质紊乱</t>
  </si>
  <si>
    <t>康复新液10ml口服TID，(吉)左氧氟沙星片0.5g口服QD，(2瑞)雷贝拉唑钠肠溶片10mg口服QD，复方氨基酸胶囊(8-11)2粒口服TID，熊去氧胆酸胶囊250mg口服TID</t>
  </si>
  <si>
    <t>周平</t>
  </si>
  <si>
    <t>2023.3.23</t>
  </si>
  <si>
    <t>消化道出血、乙肝肝硬化失代偿期、肝性脑病、2型糖尿病、肝恶性肿瘤术后、低蛋白血症、电解质紊乱、焦虑状态、腰椎间盘突出</t>
  </si>
  <si>
    <t>利福昔明片0.4g口服TID，止咳合剂10ml口服TID，利福昔明0.4g口服tid，聚普瑞锌口服1袋/天，扶正化瘀片口服1.5g口服tid或安络化纤丸6g 口服bid或鳖甲软肝片2g口服tid</t>
  </si>
  <si>
    <t>张金发</t>
  </si>
  <si>
    <t>肝硬化、腹水、脾大、肾功能不全、心功能不全、强直性脊柱炎、结肠炎、盆腔积液、胸腔积液、肾性贫血、高血压2级、甲状腺功能减退症</t>
  </si>
  <si>
    <t>(国)氯化钾缓释片1g口服BID，尿毒清颗粒(无糖型)5g口服QID，左甲状腺素钠片50ug口服QD，金水宝胶囊0.99g口服TID，(罗)骨化三醇胶丸0.25ug口服BID，硝苯地平控释片30mg口服QD，(国)盐酸特拉唑嗪2mg口服QN，琥珀酸美托洛尔缓释片23.75mg口服QD，熊去氧胆酸胶囊 250mg口服TID，施)苯酸左氨氯地平片5mg口服QD</t>
  </si>
  <si>
    <t>张惠英</t>
  </si>
  <si>
    <t>2023.3.17</t>
  </si>
  <si>
    <t>2023.3.29</t>
  </si>
  <si>
    <t>肝硬化伴食管胃底静脉曲张破裂出血、自身免疫性肝硬化、肝硬化失代偿期、门静脉高压、腹水、低蛋白血症、胃息肉、门脉高压性胃病、贫血、电解质紊乱、低钙血症、高胆红素血症、腰椎压缩性骨折</t>
  </si>
  <si>
    <t>熊去氧胆酸胶囊250mg口服TID，复方嗜酸乳杆菌片1g口服TID，(2瑞)雷贝拉唑钠肠溶片10mg口服QD，康复新液10ml口服TID</t>
  </si>
  <si>
    <t>吕会茹</t>
  </si>
  <si>
    <t>2023.3.24</t>
  </si>
  <si>
    <t>肝硬化代偿期 原发性胆汁胆管炎 自身免疫性肝炎 肝硬化伴食管胃底曲张 门脉高压性胃病 全血细胞减少 甲状腺功能减退</t>
  </si>
  <si>
    <t>康复新液10ml口服TID，利可君片20mg口服TID，(金)卡维地洛片5mg口服QD，熊去氧胆酸胶囊250mg口服TID</t>
  </si>
  <si>
    <t>李保影</t>
  </si>
  <si>
    <t>酒精性肝炎 酒精性肝纤维化 酒精性脂肪肝 肝功能不全 2型糖尿病 锁骨骨折术后</t>
  </si>
  <si>
    <t>多烯磷脂酰胆碱胶囊456mg口服TID、腺苷蛋氨酸肠溶片1g口服QD、聚普瑞锌颗粒75mg口服BID(自备)</t>
  </si>
  <si>
    <t>张秀梅</t>
  </si>
  <si>
    <t>2023.3.18</t>
  </si>
  <si>
    <t>2023.4.5</t>
  </si>
  <si>
    <t>肝硬化伴食管胃底静脉曲张破裂出血 低蛋白血症 白细胞减少 血小板减少 心功能不全 缺血性心肌病 冠状动脉性心脏病 2型糖尿病</t>
  </si>
  <si>
    <t>螺内酯片20mg口服BID，利可君片20mg口服TID，生血宁片0.25g口服TID，康复新液10ml口服TID，利福昔明片0.4g口服TID</t>
  </si>
  <si>
    <t>纪红林</t>
  </si>
  <si>
    <t>2023.3.22</t>
  </si>
  <si>
    <t>2023.3.30</t>
  </si>
  <si>
    <t>酒精性肝硬化失代偿 腹腔积液 脾大 血小板减少 轻度贫血 电解质紊乱 低钾血症 低蛋白血症 肝功能异常 便潜血 高血压病3级 2型糖尿病 陈旧性脑梗死 心功能不全</t>
  </si>
  <si>
    <t>腺苷蛋氨酸肠溶片1g口服QD，乳果糖口服溶液15ml口服BID，螺内酯片20mg口服BID，呋塞米20mg口服QD，利福昔明片0.4g口服TID，利格列汀片5mg口服QD，硝苯地平控释片30mg口服QD，唑吡坦5mg口服QN</t>
  </si>
  <si>
    <t>刘凤兰</t>
  </si>
  <si>
    <t>2023.4.12</t>
  </si>
  <si>
    <t>肝硬化失代偿期 肝性脑病 胃底静脉曲张 腹水 胸腔积液 慢性肾病3期 膜性肾病 高血压病3级 甲状腺功能减退症? 心力衰竭 凝血功能异常 肿瘤标记物升高 贫血</t>
  </si>
  <si>
    <t>多烯磷脂酰胆碱胶囊456mg口服TID，利可君片20mg口服TID，(罗)骨化三醇胶丸0.25ug口服QD，乳果糖口服溶液15ml口服BID，沙库巴曲缬沙坦100mg口服BID，(络)苯酸氨氯地平片5mg口服QD，托伐普坦片15mg口服QD，托拉塞米片20mg口服BID，螺内酯片80mg口服BID，生血宁片0.5g口服BID，利福昔明片0.2g口服QID，非布司他片20mg口服QD，罗沙司他胶囊50mg口服w135TIW</t>
  </si>
  <si>
    <t>刘春玲</t>
  </si>
  <si>
    <t>2023.4.7</t>
  </si>
  <si>
    <t>消化道出血 肝硬化 食管胃底静脉曲张 脾大 门静脉血栓 贫血 高血压病2级高危 2型糖尿病 胃炎 胆囊炎 子宫肿物?</t>
  </si>
  <si>
    <t>西格列汀片100mg口服QD，(波)雷贝拉唑钠肠溶片10mg口服QD，康复新液10ml口服TID</t>
  </si>
  <si>
    <t>刘淑明</t>
  </si>
  <si>
    <t>2023.03.29</t>
  </si>
  <si>
    <t>2023.04.07</t>
  </si>
  <si>
    <t>肝硬化，药物性肝损害？肝功能不全，腹腔积液，全血细胞减少，低蛋白血症，电解质紊乱，凝血功能异常，脾大，2型糖尿病，冠状动脉性心脏病，冠状动脉支架植入后状态，甲状腺结节术后，胆囊结石，肿瘤标记物升高。</t>
  </si>
  <si>
    <t>(2瑞)雷贝拉唑钠肠溶片10mg口服QD，多烯磷脂酰胆碱胶囊456mg口服TID</t>
  </si>
  <si>
    <t>任玉霞</t>
  </si>
  <si>
    <t>肝硬化失代偿期，原发性胆汁性胆管炎？肝性脑病，脾功能亢进，血小板减少，白细胞减少，胆汁淤积症，胃底静脉曲张。</t>
  </si>
  <si>
    <t>熊去氧胆酸胶囊250mg口服TID，利福昔明片0.4g口服TID，利可君片20mg口服TID，生血宁片0.25g口服TID，六和氨基酸颗粒1袋口服BID[自备]，安络化纤丸1袋BID[自备]</t>
  </si>
  <si>
    <t>赵桂芬</t>
  </si>
  <si>
    <t>2023.4.6</t>
  </si>
  <si>
    <t>2023.4.13</t>
  </si>
  <si>
    <t>结肠良性肿瘤，肝硬化伴食管静脉曲张，非酒精性脂肪性肝炎？代谢综合征？糖尿病，结肠血管扩张症，内痔，慢性胃炎，血小板减少，高脂血症。</t>
  </si>
  <si>
    <t>多烯磷脂酰胆碱胶囊456mg口服BID，阿昔莫司分散片0.25g口服BID，(金)卡维地洛片5mg口服QD，(2瑞)雷贝拉唑钠肠溶片10mg口服QD，2甘草酸二铵肠溶胶囊150mg口服TID</t>
  </si>
  <si>
    <t>刘杨</t>
  </si>
  <si>
    <t>202.4.18</t>
  </si>
  <si>
    <t>酒精性肝硬化，低蛋白血症，电解质紊乱，贫血，凝血功能异常，高脂血症，心电图异常，冠状动脉缺血？血糖升高，胆囊结石，脂肪肝，脾大，左肾结石。</t>
  </si>
  <si>
    <t>多烯磷脂酰胆碱胶囊456mg口服TID，(依)单硝酸异山梨酯缓释片60mg口服QD，2米曲菌胰酶片24mg口服TID，复方嗜酸乳杆菌片0.5g口服TID，瑞舒伐他汀钙片10mg口服QN，(2瑞)雷贝拉唑钠肠溶片10mg口服QD</t>
  </si>
  <si>
    <t>肝硬化，酒精性肝病，肝性脑病，门静脉高压，肝功能不全，低蛋白血症，黄疸，贫血，血小板减少，脾大</t>
  </si>
  <si>
    <t>利福昔明片0.2g口服QID、乳果糖口服溶液15ml口服TID</t>
  </si>
  <si>
    <t>李勤</t>
  </si>
  <si>
    <t>2023.4.10</t>
  </si>
  <si>
    <t>2023.4.24</t>
  </si>
  <si>
    <t>原因不明的肝硬化，肝硬化伴食管胃底静脉曲张，门脉高压性胃病，消化道出血，重度贫血，脾大，动脉硬化，血糖升高，</t>
  </si>
  <si>
    <t>腺苷蛋氨酸肠溶片1g口服QD，复方氨基酸胶囊(8-11)2粒口服TID，利福昔明片0.4g口服TID，呋塞米(自备)1片口服QD，安络化纤(自备)6g口服BID，氯化钾缓释片(自备)2片口服TID</t>
  </si>
  <si>
    <t>黄亚茹</t>
  </si>
  <si>
    <t>原发性胆汁性肝硬化伴食管静脉曲张，食管胃底静脉曲张破裂出血，门静脉高压性胃病，低蛋白血症，腹腔积液，脾大，全血细胞减少，中度贫血，血小板减少，电解质紊乱，低钾血症，低钙血症，凝血功能异常，肿瘤标记物升高，高血压病2级（极高危)胆囊结石，肝囊肿。</t>
  </si>
  <si>
    <t>熊去氧胆酸胶囊250mg口服TID，琥珀酸美托洛尔缓释片23.75mg口服QD</t>
  </si>
  <si>
    <t>2023.4.15</t>
  </si>
  <si>
    <t>酒精性肝硬化伴食管胃底静脉曲张，消化道出血，肝硬化，低蛋白血症，电解质紊乱，气胸，凝血功能异常，心肌酶谱异常，贫血，血小板减少。</t>
  </si>
  <si>
    <t>康复新液10ml口服TID，(波)雷贝拉唑钠肠溶片10mg口服QD</t>
  </si>
  <si>
    <t>刘俊东</t>
  </si>
  <si>
    <t>2023.4.25</t>
  </si>
  <si>
    <t>肝硬化伴食管静脉曲张破裂出血，乙型肝炎肝硬化失代偿期，门脉高压性胃病，脾大，脾功能亢进，轻度贫血，白细胞减少，血小板减少，低蛋白血症，肺诊断性影像异常，胸腔积液。</t>
  </si>
  <si>
    <t>恩替卡韦片0.5 mg口服QD，康复新液10ml口服TID，螺内酯片40mg口服BID，呋塞米片100mg口服QD(自备)，(2瑞)雷贝拉唑钠肠溶片10mg口服QD，多烯磷脂酰胆碱胶囊456mg口服TID</t>
  </si>
  <si>
    <t>由迎丽</t>
  </si>
  <si>
    <t>自身免疫性肝硬化，胆囊结石，慢性胆囊炎，脾大，心房颤动，右侧人工髋关节</t>
  </si>
  <si>
    <t>腺苷蛋氨酸肠溶片0.5g BID、多烯磷脂酰胆碱胶囊228 mgTID、熊去氧胆酸胶囊250mg口服TID</t>
  </si>
  <si>
    <t>肝硬化，自身免疫性肝炎后肝硬化失代偿期，胸腔积液，腹腔积液，自发性腹膜炎，肾衰竭，肾脏透析状态，心功能不全，高脂血症，低蛋白血症，凝血障碍，电解质紊乱，贫血，2型糖尿病，高血压3级（极高危），子宫切除术后状态。</t>
  </si>
  <si>
    <t>阿托伐他汀钙片20mg口服QN</t>
  </si>
  <si>
    <t>肝硬化，腹水，凝血功能异常，白细胞减少，血小板减少，轻度贫血，低钾血症，低蛋白血症，肿瘤标记物升高，脾大，泌尿道感染，骨质疏松，脐疝。</t>
  </si>
  <si>
    <t>(大)利伐沙班片10mg口服QD、乳果糖口服溶液15ml口服TID、止咳合剂20ml口服TID、腺苷蛋氨酸肠溶片1g口服QD、利福昔明片0.4g口服TID、螺内酯片20mg口服BID、呋塞米20mg口服QD(自备)</t>
  </si>
  <si>
    <t>赵希顺</t>
  </si>
  <si>
    <t>肝硬化伴食管静脉曲张破裂出血，酒精性肝硬化，白细胞减少，脾大，脾功能亢进，中度贫血，高血压病2级（高危），凝血功能异常，门脉高压性胃病，血糖升高。</t>
  </si>
  <si>
    <t>毕淑云</t>
  </si>
  <si>
    <t>/</t>
  </si>
  <si>
    <t>2023//</t>
  </si>
  <si>
    <t>2023.4.22</t>
  </si>
  <si>
    <t>2023.4.28</t>
  </si>
  <si>
    <t>消化道出血，肝硬化失代偿期，原发性胆汁性胆管炎。门脉高压性肠胃病，胃底静脉曲张，慢性胃炎，贫血，心律失常，高血压病2级（极高危),类风湿性关节炎，胆囊结石单纯性肾囊肿，微少量盆腔积液，子宫钙化斑，肝囊肿。</t>
  </si>
  <si>
    <t>乳果糖口服溶液10ml口服TID，(大)双歧杆菌三联活菌肠溶胶囊0.42g口服TID，熊去氧胆酸胶囊250mg口服TID，康复新液10ml口服TID，(2瑞)雷贝拉唑钠肠溶片10mg口服QD</t>
  </si>
  <si>
    <t>刘春海</t>
  </si>
  <si>
    <t>结肠良性肿瘤（管状腺瘤），结肠息肉（锯齿状息肉），酒精性肝病，2型糖尿病，高血压病3级（极高危），冠状动脉性心脏病，高脂血症，低钾血症，慢性胃炎，结肠憩室。</t>
  </si>
  <si>
    <t>康复新液10ml口服TID、氯化钾缓释片1g口服TID、米曲菌胰酶片24mg口服TID、利福昔明片0.4g口服TID、施)苯磺酸左氨氯地平片5mg口服QD、伏格列波糖片0.2mg口服TID、利格列汀片5mg口服QD、多烯磷脂酰胆碱胶囊456mg口服TID、腺苷蛋氨酸肠溶片1g口服QD</t>
  </si>
  <si>
    <t>田雪金</t>
  </si>
  <si>
    <t>肝硬化伴食管胃底静脉曲张（重度），脾大，血小板减少，白细胞减少，高尿酸血症，多发单纯性肾囊肿，铜蓝蛋白降低。</t>
  </si>
  <si>
    <t>王富安</t>
  </si>
  <si>
    <t>2023.04.25</t>
  </si>
  <si>
    <t>2023.4.29</t>
  </si>
  <si>
    <t>慢性胃炎，结肠息肉个人史，乙型肝炎肝硬化，脾大，单纯性肾囊肿，高血压病3级（高危），冠状动脉肌桥。</t>
  </si>
  <si>
    <t>2米曲菌胰酶片24mg口服TID、乳果糖口服溶液15ml口服TID、恩替卡韦片0.5mg口服QD、双环醇片25mg服TID</t>
  </si>
  <si>
    <t>刘俊强</t>
  </si>
  <si>
    <t>肝硬化、食管静脉曲张（重度）、门脉高压性胃病、慢性迁延性病毒性肝炎（乙肝）、血小板减少、中度贫血</t>
  </si>
  <si>
    <t>唑吡坦片5mg口服QN，利福昔明片0.4g口服TID，生血宁片0.5g口服TID，(苏)恩替卡韦分散片0.5mg口服QD，复方氨基酸胶囊(8-11)2粒口服TID，卡维地洛12.5mg口服QD(自备)</t>
  </si>
  <si>
    <t>彭勃</t>
  </si>
  <si>
    <t>酒精性肝硬化伴食管胃底静脉曲张破裂出血、消化道出血、胸水、腹水、脾亢、黄疸、低蛋白血症</t>
  </si>
  <si>
    <t>螺内酯片20mg口服BID、熊去氧胆酸胶囊250mg口服TID、2瑞巴派特片0.1g口服TID、(国)氯化钾缓释片1g口服TID、腺苷蛋氨酸肠溶片0.5g口服QD、2甘草酸二铵肠溶胶囊150mg口服TID、利福昔明片0.4g口服TID、复方氨基酸胶囊(8-11)2粒口服TID</t>
  </si>
  <si>
    <t>李承运</t>
  </si>
  <si>
    <t>酒精性肝硬化伴食管胃底静脉曲张、腹水、肝功能不全、冠状动脉粥样硬化、心律失常、房性早搏、室早、肺动脉高压、过敏性哮喘、痛风、妄想状态、肿瘤标记物升高、心包积液（少量）</t>
  </si>
  <si>
    <t>乙酰半胱氨酸片0.6g口服BID，螺内酯片40mg口服BID，腺苷蛋氨酸肠溶片0.5g口服TID，呋塞米片20mg口服BID</t>
  </si>
  <si>
    <t>原发性胆汁性肝硬化、食管静脉曲张（中度）、胃底静脉曲张、低钾血症、慢性胃炎、胆囊结石、高血压病2级（中危）</t>
  </si>
  <si>
    <t>康复新液10ml口服TID、(罗)骨化三醇胶丸0.25ug口服QN、甲泼尼龙片4mg口服QD、熊去氧胆酸胶囊500mg口服BID、甲磺酸多沙唑嗪缓释片4mg口服QN、硝苯地平控释片30mg口服QD、乳果糖口服溶液15ml口服QD</t>
  </si>
  <si>
    <t>朱佰芳</t>
  </si>
  <si>
    <t>肝硬化失代偿期、肝性脑病、肝硬化食管静脉曲张、酒精性肝硬化、腹水、低蛋白血症、凝血功能异常、电解质代谢紊乱、脾大、胆囊结石</t>
  </si>
  <si>
    <t>邹玉娥</t>
  </si>
  <si>
    <t>结肠良性肿瘤（管状腺瘤）、肝硬化、2型糖尿病、自身免疫性甲状腺炎、甲状腺结节、骨质疏松、高脂血症</t>
  </si>
  <si>
    <t>熊去氧胆酸胶囊250mg口服TID(自备)、优甲乐75ug口服QD(自备)、米曲菌胰酶片24mg口服TID、康复新液10ml口服TID</t>
  </si>
  <si>
    <t>付友春</t>
  </si>
  <si>
    <t>乙型肝炎后肝硬化失代偿期、门脉高压性胃病、肾功能不全、乙型肝炎相关性肾炎？、浆细胞病？冠状动脉粥样硬化性心脏病、低钾血症、低蛋白血症、</t>
  </si>
  <si>
    <t>利福昔明片0.2g口服TID，金水宝胶囊0.99g口服TID，包醛氧淀粉胶囊8g服BID，尿毒清颗粒(无糖型)10g口服TID</t>
  </si>
  <si>
    <t>肝硬化失代偿期、胸腔积液、食管静脉曲张、低蛋白血症、门脉高压性胃病、脾功能亢进、腹腔积液、泌尿道感染、上呼吸道感染、贫血、高尿酸血症、凝血功能异常</t>
  </si>
  <si>
    <t>螺内酯片50mg口服BID、托拉塞米片30mg口服QD(自备)、利福昔明片0.4g口服Q8H、腺苷蛋氨酸肠溶片1g口服QD、螺内酯片40mg口服BID、熊去氧胆酸胶囊250mg口服TID、头孢地尼胶囊0.1g口服TID、复方氨基酸胶囊2粒口服TID</t>
  </si>
  <si>
    <t>自身免疫性肝硬化（失代偿期）、肝性脑病、门静脉高压、低蛋白血症、脾大、脾功能亢进、全血细胞减少、肝囊肿、单纯性肾囊肿、肿瘤标记物升高、慢性心力衰竭</t>
  </si>
  <si>
    <t>利可君片20mg口服TID，水飞蓟宾胶囊35mg口服TID，乳果糖口服溶液30ml口服QD，熊去氧胆酸胶囊250 mg口服TID，(2瑞)雷贝拉唑钠肠溶片10mg口服QD，螺内酯片20mg口服BID，羧甲司坦口服溶液10ml口服TID</t>
  </si>
  <si>
    <t>肝硬化伴食管静脉曲张破裂出血、胃底静脉曲张组织胶后治疗、门脉高压性胃病、慢性胃炎、全血细胞减少、脾功能亢进、低蛋白血症、高血压病2级（极高危）、2型糖尿病</t>
  </si>
  <si>
    <t>(波)雷贝拉唑钠肠溶片10mg口服QD，乳果糖口服溶液15ml口服TID，利福普明片0.2g口服TID，多烯磷脂酰胆碱胶囊456mg口服TID，利可君片20mg口服TID，康复新液10ml口服TID，生血宁片0.5g口服TID</t>
  </si>
  <si>
    <t>缴继稳</t>
  </si>
  <si>
    <t>肝硬化失代偿期、肝功能不全、胆汁淤积型肝炎、腹腔积液、高血压病3级（极高危）、冠状动脉支架植入后状态、子宫切除术后状态、肿瘤标记物升高、电解质代谢紊乱、凝血功能异常、低蛋白血症、血清免疫学异常所见</t>
  </si>
  <si>
    <t>(国)氯化钾缓释片1g口服TID、腺苷蛋氨酸肠溶片0.5g口服BID、熊去氧胆酸胶囊250mg口服TID、多烯磷脂酰胆碱胶囊228mg口服TID</t>
  </si>
  <si>
    <t>李日普</t>
  </si>
  <si>
    <t>肝硬化、肝硬化伴食管胃底静脉曲张、脾大、肺炎、低钾血症、低蛋白血症、轻度贫血、高血压病2级（极高危）、挠出血个人史、下肢静脉血栓形成、右侧股骨颈骨折术后</t>
  </si>
  <si>
    <t>复方氨基酸胶囊(8-11)2粒口服TID、生血宁片0.5g口服TID、腺苷蛋氨酸肠溶片1g口服QD、止咳合剂10ml口服TID、复方甲氧那明胶囊93mg口服TID</t>
  </si>
  <si>
    <t>孙树芝</t>
  </si>
  <si>
    <t>自身免疫性肝炎后肝硬化失代偿、食管胃底静脉曲张破裂出血、脾功能亢进，腹水</t>
  </si>
  <si>
    <t>(大)利伐沙班片10mg口服QN，复方氨基酸胶囊(8-11)2粒口服TID，复方嗜酸乳杆菌片1g口服TID，螺内酯片80mg口服QD，2米曲菌胰酶片48mg口服TID，(国)氯化钾缓释片0.5g口服TID，(波)雷贝拉唑钠肠溶片10mg口服QD，熊去氧胆酸胶囊250mg口服TID，利可君片20mg口服TID</t>
  </si>
  <si>
    <t>李旭</t>
  </si>
  <si>
    <t>自身免疫性肝炎后肝硬化、2型糖尿病，PCT术后，食管静脉曲张，凝血功能异常</t>
  </si>
  <si>
    <t>熊去氧胆酸胶囊250mg口服TID、甘草酸二铵肠溶胶囊150mg口服TID、螺内酯片40mg口服TID、呋塞米片20mg口服QD(自备)、氯化钾缓释片1g口服TID、雷贝拉唑钠肠溶片10mg口服QD、乳果糖口服溶液15ml口服BID、米曲菌胰酶片48mg口服TID、盐酸二甲双胍片0.5g口服BID(自备)、达格列净片10mg口服QD(自备)</t>
  </si>
  <si>
    <t>乙型肝炎后肝硬化肝硬化，乙型肝炎大三阳，贫血，肝硬化伴食管胃底静脉曲张，脾大，十二指肠溃疡</t>
  </si>
  <si>
    <t>瑞巴派特片0.1g口服TID，乳果糖口服溶液15ml口服TID，恩替卡韦片0.5mg口服QN，康复新液10ml口服TID，(波)雷贝拉唑钠肠溶片10mg口服BID</t>
  </si>
  <si>
    <t>门闯</t>
  </si>
  <si>
    <t>丙型肝炎后肝硬化，消化道出血，食管胃底静脉曲张，低蛋白血症，低钙血症</t>
  </si>
  <si>
    <t>乳果糖口服溶液15ml口服QD，多烯磷脂酰胆碱胶囊456mg口服TID，2瑞巴派特片0.1g口服TID，康复新液10ml口服TID</t>
  </si>
  <si>
    <t>莫惠萍</t>
  </si>
  <si>
    <t>2023.6.16</t>
  </si>
  <si>
    <t>肝硬化 腹水 胆囊炎 2型糖尿病 高脂血症 肿瘤标志物升高 血小板减少 d2聚体升高</t>
  </si>
  <si>
    <t>(大)双歧杆菌三联活菌肠溶胶囊0.42g口服BID，熊去氧胆酸胶囊500mg口服BID，复方甘草酸苷片2片口服TID，硒酵母片100ug口服BID，利可君片20mg口服TID</t>
  </si>
  <si>
    <t>刘计划</t>
  </si>
  <si>
    <t>2023.6.25</t>
  </si>
  <si>
    <t>肝硬化失代偿期 乙肝后肝硬化 门静脉高压 腹水 重度贫血 低蛋白血症 脾大 凝血功能异常 血脂异常 子宫平滑肌瘤</t>
  </si>
  <si>
    <t>复方氨基酸胶囊(8-11)2粒口服TID，利可君片40mg口服TID，(2瑞)雷贝拉唑钠肠溶片10mg口服QD，生血宁片0.5g口服TID，螺内酯片60mg口服QD，恩替卡韦片0.5mg口服QD</t>
  </si>
  <si>
    <t>邬小娇</t>
  </si>
  <si>
    <t>2023.6.22</t>
  </si>
  <si>
    <t>非肝硬化性门脉高压 脾大 慢性胃炎 食管胃底静脉曲张 全血细胞减少 缺铁性贫血 心包积液</t>
  </si>
  <si>
    <t>生血宁片 0.5g口服TID，(博)甲钴胺片0.5mg口服TID，康复新液10ml口服TID，多烯磷脂酰胆碱胶囊456mg口服TID，生血宁片0.5g口服TID</t>
  </si>
  <si>
    <t>马岩</t>
  </si>
  <si>
    <t>2023.7.7</t>
  </si>
  <si>
    <t>肝硬化伴食管静脉曲张 消化道出血 门静脉高压 脾功能亢进 低蛋白血症 胆囊息肉 肝结节 肺动脉高压 系统性红斑狼疮</t>
  </si>
  <si>
    <t>(金)卡维地洛片5mg口服QD，生血宁片0.5g口服TID，(力)多糖铁复合物胶囊0.3g口服QD，复方氨基酸胶囊(8-11)2粒口服BID，康复新液10ml口服TID，复方嗜酸乳杆菌片1g口服TID，(波)雷贝拉唑钠肠溶片10mg口服BID，熊去氧胆酸胶囊250mg口服TID</t>
  </si>
  <si>
    <t>孟兆胜</t>
  </si>
  <si>
    <t>2023.6.26</t>
  </si>
  <si>
    <t>肝硬化失代偿期 酒精性肝硬化 门脉高压性胃肠病 食管静脉曲张 胃溃疡 慢性胃炎 十二指肠炎 冠心病 2型糖尿病高血压病3级</t>
  </si>
  <si>
    <t>头孢地尼胶囊0.1g口服TID(7天疗程)、雷贝拉唑钠肠溶片10mg口服BID、螺内酯片40mg口服BID、米曲菌胰酶片48mg口服TID、瑞巴派特片0.1g口服TID、康复新液10ml口服TID、呋塞米20mg口服QD(自备)、卡维地洛10mg口服QD(自备)(降糖、抗血小板等药物自备)</t>
  </si>
  <si>
    <t>溃疡性结肠炎 酒精性肝硬化失代偿 中度贫血 低蛋白血症 脾大 慢性胃炎 肝囊肿 胆囊结石</t>
  </si>
  <si>
    <t>(罗)骨化三醇胶丸0.25ug口服QD，(力)醋酸泼尼松片25mg口服BID，复方氨基酸胶囊(8-11)2粒口服TID，(国)氯化钾缓释片1g口服TID，(2瑞)雷贝拉唑钠肠溶片10mg口服QD，3美沙拉秦缓释颗粒1g口服QID，(大)双歧杆菌三联活菌肠溶胶囊0.84g口服BID</t>
  </si>
  <si>
    <t>2023.7.3</t>
  </si>
  <si>
    <t>肝硬化失代偿期 腹水 2型糖尿病 高血压病3级 心脏搭桥术后</t>
  </si>
  <si>
    <t>复方氨基酸胶囊(8-11)2粒口服TID，利可君片20mg口服TID，螺内酯片100mg口服QD，呋塞米片20mg口服QD(自备)</t>
  </si>
  <si>
    <t>安坤英</t>
  </si>
  <si>
    <t>肝硬化伴胃底静脉曲张破裂出血 门脉高压性胃病 自身免疫性肝硬化 子宫切除术后</t>
  </si>
  <si>
    <t>康复新液10ml口服TID、止咳合剂10ml口服TID、(2瑞)雷贝拉唑钠肠溶片10mg口服QD、2瑞巴派特片0.1g口服TID</t>
  </si>
  <si>
    <t>朱津平</t>
  </si>
  <si>
    <t>2023.7.5</t>
  </si>
  <si>
    <t>消化道出血 十二指肠球部溃疡 食管炎 慢性胃炎 肝硬化 低蛋白血症 凝血功能异常 门静脉高压 腹水 肝功能不全</t>
  </si>
  <si>
    <t>多烯磷脂酰胆碱胶囊456mg口服TID，(2瑞)雷贝拉唑钠肠溶片10 mg口服BID，康复新液10ml口服TID，复方氨基酸胶囊(8-11)2粒口服TID，螺内酯片40mg口服QD</t>
  </si>
  <si>
    <t>李少朋</t>
  </si>
  <si>
    <t>肝硬化失代偿期、食管静脉曲张（中重度）、胃底静脉曲张、门静脉高压、胆汁淤积症、中度贫血、缺铁性贫血、低蛋白血症、过敏性紫癜性肾炎、肾结石、单纯性肾囊肿、腹腔淋巴结肿大、纵膈淋巴结肿大</t>
  </si>
  <si>
    <t>腺苷蛋氨酸肠溶片0.5g口服BID、熊去氧胆酸胶囊250mg口服TID、雷贝拉唑钠肠溶片10mg口服QD、卡维地洛片5mg口服QD、生血宁片0.5g口服TID、康复新液10ml口服TID</t>
  </si>
  <si>
    <t>郭胜国</t>
  </si>
  <si>
    <t>铁沉着病、肝硬化、腹水、肝功能不全、脾梗死？、高胆固醇血症、急性心力衰竭、低蛋白血症、贫血、电解质代谢紊乱、自发性腹膜炎、凝血功能异常、肝囊肿、高脂血症</t>
  </si>
  <si>
    <t>复方氨基酸胶囊(8-11)1粒服TID，多烯磷脂酰胆碱胶囊456mg口服TID，腺苷蛋氨酸肠溶片0.5g口服BID，熊去氧胆酸胶囊250mg口服TID，(可力)地高辛片0.125mg口服QD，螺内酯片40mg口服QD，(波)雷贝拉唑钠肠溶片10mg口服QD，(希)头孢克洛缓释片0.375g口服BID</t>
  </si>
  <si>
    <t>韩兰英</t>
  </si>
  <si>
    <t>2023.7.03</t>
  </si>
  <si>
    <t>2023.7.10</t>
  </si>
  <si>
    <t>消化道出血 原发性胆汁型肝硬化伴食管胃底静脉曲张破裂出血 贫血 脾大 十二指肠球部溃疡 慢行浅表性胃炎 肝功能检查的异常结果 全血细胞减少 腹泻 轻度肺动脉高压</t>
  </si>
  <si>
    <t>(华中)艾司唑仑片1mg口服QN，复方氨基酸胶囊(8-11)2粒口服TID，多烯磷脂酰胆碱胶囊456mg口服TID，利可君片20mg口服TID，康复新液10ml口服TID，(波)雷贝拉唑钠肠溶片10mg口服QD，熊去氧胆酸胶囊500mg口服BID</t>
  </si>
  <si>
    <t>2023.7.04</t>
  </si>
  <si>
    <t>2023.7.11</t>
  </si>
  <si>
    <t>肝硬化失代偿期 门脉高压性胃肠病 食管静脉曲张 慢性迁延型乙型病毒性肝炎 门静脉血栓形成 脾大 白细胞减少 血小板减少 低蛋白血症 凝血功能异常 贫血 胆囊切除术后状态 心房颤动</t>
  </si>
  <si>
    <t>(2瑞)雷贝拉唑钠肠溶片10mg口服QD，熊去氧胆酸胶囊250mg口服TID，(苏)恩替卡韦分散片0.5mg口服QD，琥珀酸美托洛尔缓释片23.75mg口服QD，利可君片20mg口服TID，生血宁片0.5g口服TID，螺内酯片80mg口服QD，(大)双歧杆菌三联活菌肠溶胶囊0.42g口服BID</t>
  </si>
  <si>
    <t>王双菊</t>
  </si>
  <si>
    <t>2023.7.17</t>
  </si>
  <si>
    <t>消化道出血 肝硬化伴食管静脉曲张 胃底静脉曲张 慢性胃炎 十二指肠球部溃疡（瘢痕期） 低蛋白血症 焦虑状态</t>
  </si>
  <si>
    <t>康复新液10ml口服TID、2瑞巴派特片0.1g服TID、(2瑞)雷贝拉唑钠肠溶片10mg口服QD</t>
  </si>
  <si>
    <t>方玉臣</t>
  </si>
  <si>
    <t>2023.7.24</t>
  </si>
  <si>
    <t xml:space="preserve">消化道出血 乙肝后肝硬化 腹腔积液 胸腔积液 脾大 凝血功能异常 </t>
  </si>
  <si>
    <t>利可君片20mg口服TID、螺内酯片60mg口服QD、恩替卡韦片0.5mg口服QD，自备药:呋塞米片20mg口服QD</t>
  </si>
  <si>
    <t>王永信</t>
  </si>
  <si>
    <t>2023.7.19</t>
  </si>
  <si>
    <t>2023.8.03</t>
  </si>
  <si>
    <t>食管静脉曲张破裂出血 胃底静脉曲张 肝硬化 酒精性肝硬化？ 肝豆状核变性？ 肝功能不全 脾大 2型糖尿病</t>
  </si>
  <si>
    <t>(波)雷贝拉唑钠肠溶片10mg口服QD、康复新液10ml口服TID、2瑞巴派特片0.1g口服TID</t>
  </si>
  <si>
    <t>于文霞</t>
  </si>
  <si>
    <t>2023.7.21</t>
  </si>
  <si>
    <t>2023.7.28</t>
  </si>
  <si>
    <t>肝性脑病 肝硬化 脾大 全血细胞减少 低蛋白血症 肝功能不全 电解质紊乱 凝血功能异常 单纯性肾囊肿 胆囊结石 肝囊肿</t>
  </si>
  <si>
    <t>腺苷蛋氨酸肠溶片1g口服BID，利福昔明片0.4g口服TID，(波)雷贝拉唑钠肠溶片10mg口服QD，熊去氧胆酸胶囊250mg口服TID，乳果糖口服溶液15ml口服TID，螺内酯片20mg口服BID(自备)，托拉塞米片5mg口服QD(自备)</t>
  </si>
  <si>
    <t>段秀芬</t>
  </si>
  <si>
    <t>2023.7.22</t>
  </si>
  <si>
    <t>2023.7.31</t>
  </si>
  <si>
    <t>肝硬化 腹腔积液 食管静脉曲张 脾大 胃溃疡 慢性胃炎 胃良性肿瘤 低钾血症 凝血功能异常 肿瘤标记物升高 高血压1级（中危）</t>
  </si>
  <si>
    <t>(吉)左氧氟沙星片0.5g口服QD、(波)雷贝拉唑钠肠溶片10mg口服QD、复方氨基酸胶囊(8-11)2粒口服TID、熊去氧胆酸胶囊250mg口服TID、复方甘草酸苷片2片口服TID、双环醇片50mg口服TID、呋塞米片20mg口服BID(自备)、托拉塞米片5mg口服BID(自备)</t>
  </si>
  <si>
    <t>时景森</t>
  </si>
  <si>
    <t>2023.7.23</t>
  </si>
  <si>
    <t xml:space="preserve">消化道出血 胃溃疡 酒精性肝硬化伴食管胃底静脉曲张 肝硬化失代偿期 高血压2级（高危） 白癜风 凝血功能异常 肝功能不全 低蛋白血症 </t>
  </si>
  <si>
    <t>2瑞巴派特片0.1g口服TID，(波)雷贝拉唑钠肠溶片10mg口服BID，康复新液10ml口服TID</t>
  </si>
  <si>
    <t>2023.7.25</t>
  </si>
  <si>
    <t>2023.8.07</t>
  </si>
  <si>
    <t>肝硬化伴食管静脉曲张 胃底静脉曲张 门静脉血栓形成 腹水 低蛋白血症 慢性胃炎 十二指肠球部溃疡（瘢痕期） 焦虑状态</t>
  </si>
  <si>
    <t>(2瑞)雷贝拉唑钠肠溶片10mg口服QD、(国)氯化钾缓释片0.5g口服TID、(大)利伐沙班片10mg口服QD、螺内酯片60mg口服QD、熊去氧胆酸胶囊250mg口服TID、利可君片20mg口服TID、(大)双歧杆菌三联活菌肠溶胶囊0.42g口服TID、2米曲菌胰酶片24mg口服TID、呋塞米片20mg口服QD(自备)</t>
  </si>
  <si>
    <t>王凯</t>
  </si>
  <si>
    <t>2023.8.02</t>
  </si>
  <si>
    <t>肝硬化 丙型肝炎肝硬化？ 酒精性肝炎肝硬化？ 门静脉高压 脾大 慢性丙型病毒性肝炎 消化道出血 十二指肠出血 肝静脉血栓形成 中度贫血 血小板减少 低钙血症 低钾血症 血清免疫学异常所见 肠道菌群失调</t>
  </si>
  <si>
    <t>(波)雷贝拉唑钠肠溶片10mg口服QD，康复新液10ml口服TID，磷酸铝凝胶20g口服BID，复方嗜酸乳杆菌片1g口服TID，(国)坎地沙坦酯片4mg口服QD，(依)单硝酸异山梨酯缓释片60mg口服QD，(国)氯化钾缓释片1g口服BID，达格列净片10mg口服QD，多烯磷脂酰胆碱胶囊456mg口服TID，腺苷蛋氨酸肠溶片0.5g口服BID</t>
  </si>
  <si>
    <t>肝硬化失代偿期、原发性胆汁型肝硬化、血小板减少、脾大、脾功能亢进、白细胞减少、腹膜炎？、低蛋白血症、慢性胃炎、食管炎、凝血功能异常、低钾血症、肠道菌群失调、胆囊结石、心功能不全、系统性硬化症、类风湿关节炎</t>
  </si>
  <si>
    <t>马来酸阿伐曲泊帕片40mg口服QD，利福昔明片0.4g口服BID，复方氨基酸胶囊(8-11)2粒口服TID，(大)双歧杆菌三联活菌肠溶胶囊0.42g口服TID，乳果糖口服溶液15ml口服BID，止咳合剂10ml口服TID，康复新液10ml口服TID，熊去氧胆酸胶囊250mg口服TID</t>
  </si>
  <si>
    <t>苏学红</t>
  </si>
  <si>
    <t>肝硬化失代偿期、低蛋白血症、脾大、全血细胞减少、腹腔积液、心功能不全、冠心病、高血压病3级（极高危）、2型糖尿病、慢阻肺、低钾血症、高脂血症、胸腔积液、蛋白尿、胰腺良性肿瘤、陈旧性肺结核、肿瘤标记物升高</t>
  </si>
  <si>
    <t>复方甲氧那明胶囊93mg口服TID，(波)雷贝拉唑钠肠溶片10mg口服QD，利格列汀片5mg口服QD，复方氨基酸胶囊(8-11)2粒口服TID，硝苯地平控释片30mg口服QD，熊去氧胆酸胶囊250mg口服TID，乳果糖口服溶液15ml口服TID，2米曲菌胰酶片48mg口服TID，甲磺酸多沙唑嗪缓释片4mg口服QD，盐酸阿罗洛尔片10mg口服BID，利可君片20mg口服TID，螺内酯片40mg口服QD，生血宁片0.5g口服TID，3黄葵胶囊2.15g口服TID</t>
  </si>
  <si>
    <t>张利娜</t>
  </si>
  <si>
    <t>乙肝后肝硬化、脾大、血小板减少、贫血、白细胞减少、肝结节、食管静脉曲张、门脉高压性胃病</t>
  </si>
  <si>
    <t>韩金环</t>
  </si>
  <si>
    <t>原发性胆汁型肝硬化伴胃底静脉曲张、自身免疫性肝炎？、脾大、低蛋白血症、凝血功能异常、贫血、血小板减少、肿瘤标志物升高、胰胆管合流异常？、单纯性肾囊肿、腰椎压缩性骨折</t>
  </si>
  <si>
    <t>螺内酯片40mg口服QD，乳果糖口服溶液15ml口服BID，腺苷蛋氨酸肠溶片1g口服QD，复方氨基酸胶囊(8-11)2粒口服TID，熊去氧胆酸胶囊500mg口服BID，2甘草酸二铵肠溶胶囊150mg口服TID，(力)呋塞米片40mg口服QD(自备)</t>
  </si>
  <si>
    <t>张建清</t>
  </si>
  <si>
    <t>肝硬化失代偿期、肝功能不全、肝性脑病、腹水、低蛋白血症、电解质紊乱、低钠血症、白细胞减少、肠道菌群失调、窦性心动过速、抑郁状态？</t>
  </si>
  <si>
    <t>(大)双歧杆菌三联活菌肠溶胶囊0.42g口服TID、复方氨基酸胶囊(8-11)2粒口服TID、双环醇片25mg口服TID、多烯磷脂酰胆碱胶囊456mg口服TID，自备药:(苏)奥氮平片2.5mg口服QN、舍曲林片25mg口服QD、琥珀酸美托洛尔缓释片23.75mg口服QD、托伐普坦片30mg口服QD、食盐胶囊2粒口服TID</t>
  </si>
  <si>
    <t>2023.8.5</t>
  </si>
  <si>
    <t>2023.8.19</t>
  </si>
  <si>
    <t>肝硬化、自身免疫性肝炎、肝性脑病、脾大、全血细胞减少、低蛋白血症、慢性胆囊炎、胆囊结石、电解质紊乱、肠道菌群失调、冠心病</t>
  </si>
  <si>
    <t>(吉)左氧氟沙星片0.5g口服QD、熊去氧胆酸胶囊250mg口服TID、匹维溴铵片50mg口服TID、铝碳酸镁咀嚼片0.5g口服TID、利可君片20mg口服TID、(大)双歧杆菌三联活菌肠溶胶囊0.42g口服BID、乳果糖口服溶液15ml口服QD、复方氨基酸胶囊(8-11)1粒口服TID</t>
  </si>
  <si>
    <t>2023.8.9</t>
  </si>
  <si>
    <t>2023.8.16</t>
  </si>
  <si>
    <t>肝硬化失代偿期、自身免疫性肝硬化？、原发性胆汁型肝硬化？、腹水、胸腔积液（右侧）、肝性脑病、脾大、全血细胞减少、缺铁性贫血、低蛋白血症、电解质紊乱、肠道菌群失调、房颤、心衰、冠心病</t>
  </si>
  <si>
    <t>熊去氧胆酸胶囊250mg口服TID、螺内酯片20mg口服BID、(力)多糖铁复合物胶囊0.3g口服QD、乳果糖口服溶液15ml口服QD、(国)氯化钾缓释片1g口服TID、(大)双歧杆菌三联活菌肠溶胶囊0.42g口服TID、(波)雷贝拉唑钠肠溶片10mg口服QD，自备药:食盐胶囊1粒口服TID(1周后停用)、(齐)阿托伐他汀钙片20mg口服QN、(可力)地高辛片0.125mg口服QD、(欣)单硝酸异山梨酯片20mg口服BID、琥珀酸美托洛尔缓释片47.5mg口服QD、托拉塞米片20mg口服QD、氯吡格雷50mgQD</t>
  </si>
  <si>
    <t>张秀华</t>
  </si>
  <si>
    <t>2023.8.10</t>
  </si>
  <si>
    <t>2023.8.20</t>
  </si>
  <si>
    <t>肝硬化失代偿期、原发性胆汁型肝硬化？、肝硬化伴食管胃底静脉曲张、门脉高压性胃病、肠系膜静脉血栓形成、肝结节、脾大、贫血、肝功不全</t>
  </si>
  <si>
    <t>(力)多糖铁复合物胶囊0.3g口服QD、(波)雷贝拉唑钠肠溶片10mg口服QD、熊去氧胆酸胶囊250mg口服TID、(大)利伐沙班片10mg口服QD、瑞巴派特片0.1g口服TID</t>
  </si>
  <si>
    <t>夏庆增</t>
  </si>
  <si>
    <t>2023.8.11</t>
  </si>
  <si>
    <t>2023.8.17</t>
  </si>
  <si>
    <t>肝硬化、食管静脉曲张、良性结肠肿瘤、食管炎（LA-D）、十二指肠糜烂、2型糖尿病</t>
  </si>
  <si>
    <t>(2瑞)雷贝拉唑钠肠溶片10mg口服QD，利格列汀片5mg口服QD，(大)双歧杆菌三联活菌肠溶胶囊0.42g口服TID,康复新液10ml口服TID</t>
  </si>
  <si>
    <t>赵瑞华</t>
  </si>
  <si>
    <t>2023.8.12</t>
  </si>
  <si>
    <t>2023.8.22</t>
  </si>
  <si>
    <t>肝硬化失代偿期、肝性脑病、自身免疫性肝炎？、门脉高压性胃病、低蛋白血症、脾梗死？、脾大、肺部感染、血小板减少、2型糖尿病</t>
  </si>
  <si>
    <t>(国)氯化钾缓释片1g口服BID，(2瑞)雷贝拉唑钠肠溶片10mg口服QD，复方氨基酸胶囊(8-11)2粒口服BID，螺内酯片40mg口服BID，利可君片20mg口服TID，利福昔明片0.2g口服QID，乳果糖口服溶液15ml口服BID</t>
  </si>
  <si>
    <t>2023.8.28</t>
  </si>
  <si>
    <t>消化道出血、肝硬化伴食管胃底静脉曲张破裂出血、肝硬化失代偿期、原发性胆汁性胆管炎、自身免疫性肝炎？、脾大、腹水、门脉高压性胃病、全血细胞减少、凝血功能异常、低蛋白血症、电解质紊乱、肠道菌群失调、肺部感染？、胆囊结石、肿标升高、高血压病2级（极高危）</t>
  </si>
  <si>
    <t>(大)双歧杆菌三联活菌肠溶胶囊0.42g口服TID，乳果糖口服溶液15ml口服BID，(波)雷贝拉唑钠肠溶片10mg口服QD，康复新液10ml口服TID，螺内酯片20mg口服BID，呋塞米片20mg口服QD(自备)，琥珀酸美托洛尔片23.75mg口服QD(自备)</t>
  </si>
  <si>
    <t>2023.9.4</t>
  </si>
  <si>
    <t>消化道出血、肝硬化伴食管胃底静脉曲张破裂出血、原发性胆汁型肝硬化、自身免疫性肝炎？、门静脉血栓形成、肠系膜静脉血栓形成、低蛋白血症、脾大、腹水、电解质紊乱、再生障碍性贫血、肠道菌群失调、心房扑动</t>
  </si>
  <si>
    <t>中-大量</t>
  </si>
  <si>
    <t>(可)盐酸胺碘酮片0.2g口服TID、康复新液10ml 口服TID、(大)利伐沙班片10mg口服QD、(大)双歧杆菌三联活菌肠溶胶囊0.42g口服BID、(2瑞)雷贝拉唑钠肠溶片20mg口服QD、利可君片2片TID口服(自备)、环抱素1片TID服&lt;自备)</t>
  </si>
  <si>
    <t>于行波</t>
  </si>
  <si>
    <t>2023.8.18</t>
  </si>
  <si>
    <t>2023.8.27</t>
  </si>
  <si>
    <t>胃底静脉曲张伴出血 酒精性肝硬化 慢性胃炎 轻度贫血</t>
  </si>
  <si>
    <t>腺苷蛋氨酸肠溶片0.5g口服BID，康复新液10ml口服TID，(波)雷贝拉唑钠肠溶片10mg口服QD，磷酸铝凝胶20g口服BID，利可君片20mg口服TID</t>
  </si>
  <si>
    <t>牛宝红</t>
  </si>
  <si>
    <t>2023.8.25</t>
  </si>
  <si>
    <t>2023.9.1</t>
  </si>
  <si>
    <t>慢性肝衰竭 肝硬化失代偿期 酒精性肝硬化失代偿期 丙型肝炎后肝硬化失代偿期 低蛋白血症 贫血 凝血功能异常</t>
  </si>
  <si>
    <t>阎锦程</t>
  </si>
  <si>
    <t>肝硬化失代偿期 免疫相关肝损伤 脾功能亢进 脾大 血小板减少 水肿 贫血 干燥综合征 心肌供血不足</t>
  </si>
  <si>
    <t>利可君片20mg口服TID、复方氨基酸胶囊(8-11)2粒口服TID、白芍总苷胶囊0.6g口服BID、熊去氧胆酸胶囊250mg口服TID、硫酸羟氯喹片0.2g口服BID、(国)氯化钾缓释片1g口服TID、甲泼尼龙片4mg口服QD、螺内酯片20mg口服QD、乳果糖口服溶液15ml口服BID、呋塞米片20mg口服QD(自备)</t>
  </si>
  <si>
    <t>2023.9.8</t>
  </si>
  <si>
    <t>酒精性肝硬化失代偿期 自发性腹膜炎 肝性脑病 腹水 感染性休克 肝硬化伴食管静脉曲张套扎术后 门脉高压性胃病 十二指肠肿物 心力衰竭 贫血 低钾血症 凝血功能异常 肿瘤标志物升高 双侧腹股沟疝 高血压病2级高危</t>
  </si>
  <si>
    <t>生血宁片0.5g口服TID、(波)雷贝拉唑钠肠溶片10mg口服QD、康复新液10ml口服TID、(国)头孢地尼胶囊0.1g口服TID、乳果糖口服溶液15ml口服BID、复方氨基酸胶囊(8-11)2粒口服TID</t>
  </si>
  <si>
    <t>夏慈芹</t>
  </si>
  <si>
    <t>2023.8.30</t>
  </si>
  <si>
    <t>2023.9.6</t>
  </si>
  <si>
    <t>肝硬化失代偿期 腹腔积液 低钾血症 低蛋白血症 脾大 白细胞减少 轻度贫血 高血压病3级极高危 后天性肾囊肿</t>
  </si>
  <si>
    <t>乳果糖口服溶液15ml口服BID，(国)氯化钾缓释片1g口服BID，2米曲菌胰酶片24mg口服TID，螺内酯片20mg口服QD</t>
  </si>
  <si>
    <t>杨慧敏</t>
  </si>
  <si>
    <t>2023.9.2</t>
  </si>
  <si>
    <t>2023.9.11</t>
  </si>
  <si>
    <t>自身免疫性肝硬化 原发性胆汁性肝硬化 肝硬化失代偿期 肾功能不全 贫血 血尿 白细胞减少 低钾血症 低钠血症 高血压病3级极高危 胆囊结石</t>
  </si>
  <si>
    <t>(大)肾炎康复片2.4g口服TID，包醛氧淀粉胶囊5g口服TID，多烯磷脂酰胆碱胶囊456mg口服TID，硝苯地平控释片30mg口服QD，(国)坎地沙坦酯片8mg口服QD，康复新液10ml口服TID，(波)雷贝拉唑钠肠溶片10mg口服QD，生血宁片0.5g口服TID，利可君片20mg口服TID，乳果糖口服溶液15ml口服BID，螺内酯片40mg口服BID，熊去氧胆酸胶囊250mg口服TID，琥珀酸美托洛尔缓释片23.75mg口服QD，呋塞米20mg口服qd(自备)</t>
  </si>
  <si>
    <t>2023.9.16</t>
  </si>
  <si>
    <t>2023.9.19</t>
  </si>
  <si>
    <t>肝硬化 门静脉高压 脾大 腹水 右侧胸腔积液 多发性肝囊肿 中性粒细胞减少症 贫血 低蛋白血症 低钾血症 凝血功能异常 肾功能不全</t>
  </si>
  <si>
    <t>复方氨基酸胶囊(8-11)2粒口服TID，生血宁片0.5g口服BID、利可君片20mg口服TID、腺苷蛋氨酸肠溶片1g口服QD、(大)肾炎康复片2.4g口服TID、(国)氯化钾缓释片1g口服BID、(大)双歧杆菌三联活菌肠溶胶囊0.42g口服BID、多烯磷脂酰胆碱胶囊456mg口服TID、(波)雷贝拉唑钠肠溶片10mg口服QD、康复新液10ml口服TID、2米曲菌胰酶片48mg口服TID</t>
  </si>
  <si>
    <t>肝硬化失代偿期 脾功能亢进 低蛋白血症 腹水 肾功能不全 高血压病3级极高危 白细胞减少 中度贫血 血小板减少 胆囊结石 甲状旁腺激素升高 细菌性感染</t>
  </si>
  <si>
    <t>利可君片20mg口服TID，尿毒清颗粒(无糖型)5g口服TID，熊去氧胆酸胶囊250mg口服TID，氯雷他定片10mg口服QD，(大)双歧杆菌三联活菌肠溶胶囊0.42g口服TID，复方氨基酸胶囊(8-11)1粒口服TID，(2瑞)雷贝拉唑钠肠溶片10mg口服QD，呋塞米20mg口服QD</t>
  </si>
  <si>
    <t>尹永利</t>
  </si>
  <si>
    <t>2023.9.14</t>
  </si>
  <si>
    <t xml:space="preserve">肝硬化失代偿期、消化道出血、酒精性肝炎、慢性迁延性乙型病毒性肝炎、腹水、贫血、高血压病2级（极高危） </t>
  </si>
  <si>
    <t>腺苷蛋氨酸肠溶片1g口服QD，2强肝胶囊2g口服BID，(波)雷贝拉唑钠肠溶片10 mg口服QD，熊去氧胆酸胶囊250 mg口服TID，恩替卡韦片0.5mg口服QD</t>
  </si>
  <si>
    <t>张玓</t>
  </si>
  <si>
    <t>2023.9.9</t>
  </si>
  <si>
    <t>消化道出血 肝硬化伴食管胃底静脉曲张 慢性胃炎 肝功能不全 低蛋白血症 门静脉高压 脾术后 高脂血症 肿瘤标志物升高</t>
  </si>
  <si>
    <t>康复新液10ml口服TID、(2瑞)雷贝拉唑钠肠溶片10mg口服QD</t>
  </si>
  <si>
    <t>赵以惠</t>
  </si>
  <si>
    <t>肝性脑病 肝硬化失代偿期 肝硬化伴食管静脉曲张 门脉高压性胃肠病 脾大 结肠憩室 高血压病2级极高危 肾功能不全 泌尿道感染 肝损害 黄疸 自身免疫性肝炎?</t>
  </si>
  <si>
    <t>乳果糖口服溶液15ml口服TID，(吉)左氧氟沙星片0.25g口服QD，利福昔明片0.4g口服BID</t>
  </si>
  <si>
    <t>2023.9.17</t>
  </si>
  <si>
    <t>消化道出血 肝硬化伴食管静脉曲张 自身免疫性肝硬化 脾大 门脉高压性胃病 全血细胞减少 低蛋白血症 电解质紊乱 肝囊肿</t>
  </si>
  <si>
    <t>熊去氧胆酸胶囊500mg口服BID，康复新液10ml口服TID，(2瑞)雷贝拉唑钠肠溶片10mg口服QD，利可君片20mg口服TID</t>
  </si>
  <si>
    <t>2023.9.18</t>
  </si>
  <si>
    <t>2023.9.27</t>
  </si>
  <si>
    <t>自身免疫性肝炎后肝硬化失代偿期 食管静脉曲张 脾功能亢进 腹水 胸腔积液 门静脉血栓形成 胆囊结石</t>
  </si>
  <si>
    <t>氯化钾缓释片1g口服TID，2米曲菌胰酶片24mg口服TID，(拜)盐酸莫沙星片0.4g口服QD，复方氨基酸胶囊(8-11)2粒口服BID，利可君片20mg口服TID，熊去氧胆酸胶囊250mg口服BID</t>
  </si>
  <si>
    <t>刘东锐</t>
  </si>
  <si>
    <t>2023.9.20</t>
  </si>
  <si>
    <t>2023.9.28</t>
  </si>
  <si>
    <t>肝硬化，腹水，自身免疫性肝炎？消化道出血，门脉高压，门静脉血栓形成，脾大，低蛋白血症，低钾血症，D二聚体升高，胆囊结石，血小板减少，结缔组织病，支气管炎，阑尾术后</t>
  </si>
  <si>
    <t>康复新液10ml口服TID，2瑞巴派特片0.1g口服TID，双环醇片50mg口服TID，(波)雷贝拉唑钠肠溶片10mg口服QD，熊去氧胆酸胶囊500mg口服BID，呋塞米片20mg口服QD(自备)，螺内酯片20mg口服QD，(国)氯化钾缓释片1g口服TID</t>
  </si>
  <si>
    <t>王志元</t>
  </si>
  <si>
    <t>消化道出血，肝硬化，食管静脉曲张，门静脉高压，脾大，肝功能不全，血小板减少，低蛋白血症，低钙血症，高尿酸血症。</t>
  </si>
  <si>
    <t>(2瑞)雷贝拉唑钠肠溶片10mg口服QD，康复新液10ml口服TID，2甘草酸二铵肠溶胶囊150mg口服TID</t>
  </si>
  <si>
    <t>2023.9.21</t>
  </si>
  <si>
    <t>酒精性肝硬化伴食管胃底静脉曲张，肝硬化失代偿期，脾大，胃溃疡，，脾功能亢进，肝功能不全，贫血，血小板减少，白细胞减少，高血压病2级（高危），白癜风，门脉高压性胃病，痘疹样胃炎，高氨血症。</t>
  </si>
  <si>
    <t>(波)雷贝拉唑钠肠溶片10mg口服QD，多烯磷脂酰胆碱胶囊456mg口服TID，双环醇片25mg口服TID，复方氨基酸胶囊(8-11)2粒口服TID，2瑞巴派特片0.1g口服TID，康复新液10ml口服TID</t>
  </si>
  <si>
    <t>张学莲</t>
  </si>
  <si>
    <t>2023.9.22</t>
  </si>
  <si>
    <t>消化道出血，肝硬化伴食管胃底静脉曲张，贫血，肝功能不全，腹水，低蛋白血症，电解质紊乱，胸腔积液，肺部感染，凝血功能异常，肠道感染？2型糖尿病。</t>
  </si>
  <si>
    <t>康复新液10ml口服TID、铝碳酸镁咀嚼片1g口服TID、熊去氧胆酸胶囊250mg口服TID、多烯磷脂酰胆碱胶囊456mg口服TID、(2瑞)雷贝拉唑钠肠溶片10mg口服QD</t>
  </si>
  <si>
    <t>刘桂兰</t>
  </si>
  <si>
    <t>2023.9.26</t>
  </si>
  <si>
    <t>血小板减少，脾功能亢进。脾大肝硬化自身免疫性肝炎？黄疸，腹腔积液，结缔组织病？2型糖尿病，肿瘤标记物升高，低氧血症。</t>
  </si>
  <si>
    <t>(诺)瑞格列奈片0.5mg口服TID，利可君片20mg口服TID</t>
  </si>
  <si>
    <t>李金荣</t>
  </si>
  <si>
    <t>2023.9.29</t>
  </si>
  <si>
    <t>原发性胆汁性肝硬化，低蛋白血症，脾大，胃肠道毛细血管扩张症，肠良性肿瘤，慢性阻塞性肺病，阵发性心房颤动，室性期前收缩，肠道菌群失调，电解质紊乱，心功能不全。</t>
  </si>
  <si>
    <t>康复新液10ml口服TID、熊去氧胆酸胶囊250mg口服TID、复方嗜酸乳杆菌片0.5g口服TID、利可君片20mg口服TID、生血宁片0.5g口服TID、2瑞巴派特片0.1g口服TID、复方氨基酸胶囊(8-11)2粒口服TID、螺内酯片20mg口服QD、(波)雷贝拉唑钠肠溶片10mg口服QD、(国)氯化缓释片1g口服BID</t>
  </si>
  <si>
    <t>刘锋</t>
  </si>
  <si>
    <t>2023.10.5</t>
  </si>
  <si>
    <t>乙型肝炎后肝硬化失代偿期，腹水，肝性脑，病严重营养不良，低蛋白血症，胆囊结石，十二指肠憩室，2型糖尿病，贫血，血小板减少，心功能不全，肺动脉高压，肺部感染，胸腔积液，支气管炎，肿瘤标记物升高。</t>
  </si>
  <si>
    <t>螺内酯片瓶40mg口服QD，乳果糖口服溶液15ml口服QD</t>
  </si>
  <si>
    <t>2023.9.23</t>
  </si>
  <si>
    <t>2023.10.8</t>
  </si>
  <si>
    <t>酒精性肝硬化伴食管静脉曲张破裂出血，门脉高压性胃肠病，肝性脑病肝功能不全，慢性胃炎，凝血功能异常，贫血，血小板减少，肺部阴影，低蛋白血症，2型糖尿病，胆囊结石。</t>
  </si>
  <si>
    <t>熊去氧胆酸胶囊250mg口服TID、复方氨基酸胶囊(8-11)2粒口服BID、螺内酯片40mg口服QD、康复新液10ml口服TID、双环醇片25mg口服TID、(2瑞)雷贝拉唑钠肠溶片10mg口服QD、呋塞米20mg口服QD</t>
  </si>
  <si>
    <t>张士勇</t>
  </si>
  <si>
    <t>肝硬化，腹水，脾大，血小板减少，食管胃底静脉曲张，消化道出血，陈旧性脑梗死，eb病毒感染</t>
  </si>
  <si>
    <t>熊去氧胆酸胶囊250mg口服TID，(波)雷贝拉唑钠肠溶片10mg口服QD，康复新液10ml口服TID，2瑞巴派特片0.1g口服TID，螺内酯片20mg口服QD</t>
  </si>
  <si>
    <t>霍明起</t>
  </si>
  <si>
    <t>2023.10.1</t>
  </si>
  <si>
    <t>2023.10.17</t>
  </si>
  <si>
    <t>肝硬化伴食管静脉曲张破裂出血，消化道出血，肝硬化失代偿期，乙肝后肝硬化，高血压病2级（极高危），凝血功能异常，低蛋白血症贫血。</t>
  </si>
  <si>
    <t>康复新液10ml口服TID、(波)雷贝拉唑钠肠溶片10mg口服QD、瑞巴派特片0.1g口服TID、利可君片20mg口服TID</t>
  </si>
  <si>
    <t>尹红</t>
  </si>
  <si>
    <t>2023.9.30</t>
  </si>
  <si>
    <t>3032.10.19</t>
  </si>
  <si>
    <t>肝硬化伴食管静脉曲张破裂出血，消化道出血，肝硬化失代偿期，冠状动脉粥样硬化性心脏病，冠状动脉支架植入后状态，甲状腺功能减退，甲状腺结节，抑郁状态，凝血功异常，肺部阴影。</t>
  </si>
  <si>
    <t>(进)富马酸比索洛尔片10 mg口服QD、左甲状腺素钠片75ug口服QD、康复新液10ml口服TID、(波)雷贝拉唑钠肠溶片10mg口服QD、2瑞巴派特片0.1g口服TID</t>
  </si>
  <si>
    <t>张素梅</t>
  </si>
  <si>
    <t>2023.10.9</t>
  </si>
  <si>
    <t>肝硬化，自身免疫性肝炎？胆囊结石，嗜酸性粒细胞增多，支气管哮喘，慢性胃炎。</t>
  </si>
  <si>
    <t>2甘草酸二铵肠溶胶囊150mg口服TID，熊去氧胆酸胶囊250mg口服TID，(力)醋酸泼尼松片25mg口服BID，(国)氯化钾缓释片1g口服TID，(罗)骨化三醇胶丸0.25ug口服BID，(2瑞)雷贝拉唑钠肠溶片20mg口服QD</t>
  </si>
  <si>
    <t>2023.10.10</t>
  </si>
  <si>
    <t>肝硬化食管静脉曲张破裂出血，乙肝肝硬化失代偿期，门脉高压性胃病，脾大，白癜风，血糖升高，消化道出血，腹水，凝血功能异常。</t>
  </si>
  <si>
    <t>利可君片20mg口服TID，恩替卡韦片0.5mg口服QD，康复新液10ml口服TID，复方氨基酸胶囊(8-11)1粒口服TID，2瑞巴派特片 0.1g口服TID，(2瑞)雷贝拉唑钠肠溶片10mg口服QD</t>
  </si>
  <si>
    <t>刘俊芳</t>
  </si>
  <si>
    <t>2023.5.10</t>
  </si>
  <si>
    <t>2023.5.26</t>
  </si>
  <si>
    <t>自身免疫性肝炎后肝硬化失代偿期，食管胃底静脉曲张破裂出血，门脉高压性胃病，缺铁性贫血，血小板减少，腹水，低蛋白血症，2型糖尿病，冠状动脉性心脏病，心脏搭桥术后，甲状腺功能减退，肺气肿，肺大疱。</t>
  </si>
  <si>
    <t>复方氨基酸胶囊(8-11)1粒口服TID，熊去氧胆酸胶囊250mg口服TID，雷贝拉唑钠肠溶片10mg口服QD，康复新液10ml口服TID，乳果糖口服溶液15ml口服BID，左甲状腺素钠片87.5ug口服QD，瑞舒伐他汀10mgQN口服(自备)，单硝酸异山梨酯片20mg口服QD(自备)，倍他乐克47.5mgQD(自备)，甘精胰岛素14iu皮下注射(自备)</t>
  </si>
  <si>
    <t>2023.10.2</t>
  </si>
  <si>
    <t>消化道出血，自身免疫性肝硬化，脾大，门静脉高压，胆囊炎，全血细胞减少，低蛋白血症，肝功能不全，球蛋白异常，食管静脉曲张术后，子宫切除后状态。</t>
  </si>
  <si>
    <t>2甘草酸二铵肠溶胶囊150mg口服TID、利可君片20mg口服TID、复方氨基酸胶囊(8-11)2粒口服TID、(2瑞)雷贝拉唑钠肠溶片10mg口服QD、熊去氧胆酸胶囊250mg口服TID、康复新液10ml口服TID</t>
  </si>
  <si>
    <t>2023.10.6</t>
  </si>
  <si>
    <t>肝硬化，肝性脑病，门静脉高压，脾大，腹水，右侧胸腔积液，多发性肝囊肿，中性粒细胞减少症，贫血，低蛋白血症，低钾血症，凝血功能异常，肾功能不全。</t>
  </si>
  <si>
    <t>(国)氯化钾缓释片1g口服BID、(波)雷贝拉唑钠肠溶片10mg口服QD、腺苷蛋氨酸肠溶片0.5g口服BID、熊去氧胆酸胶囊250mg口服TID、2米曲菌胰酶片24mg口服TID、(大)双歧杆菌三联活菌肠溶胶囊0.42g口服TID、利可君片20mg口服TID、生血宁片0.5g口服TID、利福昔明片0.4g口服TID、(大)肾炎康复片2.4g口服TID、康复新液10ml口服TID、乳果糖口服溶液15ml口服BID</t>
  </si>
  <si>
    <t>结肠息肉，酒精性肝硬化失代偿期，肝硬化伴食管胃底静脉曲张，门静脉高压，脾大，高血压病3级（极高危），慢性胃炎，高脂血症，2型糖尿病，陈旧性脑梗死</t>
  </si>
  <si>
    <t>硝苯地平控释片30mg口服QD，熊去氧胆酸胶囊250mg口服TID</t>
  </si>
  <si>
    <t>2023.6.12</t>
  </si>
  <si>
    <t>肝硬化，腹水，胆囊炎，2型糖尿病，高脂血症，肿瘤标记物升高，白细胞减少，血小板减少，D-二聚体升高。</t>
  </si>
  <si>
    <t>2023.10.21</t>
  </si>
  <si>
    <t>自身免疫性肝炎后肝硬化失代偿期，消化道出血，中度贫血，肝硬化伴食管静脉曲张，静脉曲术后，门脉高压性胃病，低蛋白血症，2型糖尿病，甲状腺功能减退症，白细胞减少，血小板减少。</t>
  </si>
  <si>
    <t>多烯磷脂酰胆碱胶囊456mg口服TID，熊去氧胆酸胶囊250mg口服TID，复方嗜酸乳杆菌片1g口服TID，利可君片20mg口服TID，螺内酯片40mg口服QD，(国)孟鲁司特钠片10mg口服QN，止咳合剂10ml口服TID，磷酸铝凝胶20g口服TID，按柠蒎肠溶胶囊0.3g口服TID，米曲菌胰酶片24mg口服TID，雷贝拉唑钠肠溶片10mg口服QD</t>
  </si>
  <si>
    <t>李永申</t>
  </si>
  <si>
    <t>2023.10.13</t>
  </si>
  <si>
    <t>消化道出血，门脉高压性胃病，酒精性肝硬化伴食管胃底静脉曲张，肝硬化失代偿期，脾功能亢进，脾大，高血压病2级（高危），2型糖尿病，贫血，白细胞减少，血小板减少。</t>
  </si>
  <si>
    <t>生血宁片0.5g口服BID，(力)多糖铁复合物胶囊0.15g口服QD，利可君片20mg口服TID，(波)雷贝拉唑钠肠溶片10mg口服BID，2瑞巴派特片0.1g口服TID，康复新液10ml口服TID</t>
  </si>
  <si>
    <t>吕玉军</t>
  </si>
  <si>
    <t>2023.10.11</t>
  </si>
  <si>
    <t>2023.10.18</t>
  </si>
  <si>
    <t>肝硬化，酒精性病，高血压3级，2型糖尿病，冠状动脉支架植入后状态。</t>
  </si>
  <si>
    <t>(波)雷贝拉唑钠肠溶片10mg口服QD，2瑞巴派特片0.1g口服TID，康复新液10ml口服TID，多烯磷脂酰胆碱胶囊228mg口服TID</t>
  </si>
  <si>
    <t>2023.10.16</t>
  </si>
  <si>
    <t>消化道出血，肝硬化，肝硬化伴食管我静脉曲张，门静脉海绵样变，原发性骨髓纤维化，贫血，脾大。</t>
  </si>
  <si>
    <t>熊去氧胆酸胶囊250mg口服TID，2瑞巴派特片0.1g口服TID，康复新液10ml口服TID，利可君片20mg口服TID，(波)雷贝拉唑钠肠溶片10mg口服BID</t>
  </si>
  <si>
    <t>吴全德</t>
  </si>
  <si>
    <t>肝硬化，消化道出血，小肠粘膜糜烂，慢性胃炎，食管炎，重度贫血，脾大，腹水，甲状腺功能减退症，电解质紊乱，脑出血后遗症，凝血功能异常，肝囊肿。</t>
  </si>
  <si>
    <t>康复新液10ml口服TID，2瑞巴派特片0.1g口服TID，(波)雷贝拉唑钠肠溶片10mg口服QD</t>
  </si>
  <si>
    <t>2023.10.23</t>
  </si>
  <si>
    <t>丙型肝炎肝硬化，腹水，2型糖尿病，银屑病。</t>
  </si>
  <si>
    <t>2米曲菌胰酶片48mg口服TID，伊托必利片50mg口服TID，乳果糖口服溶液15ml口服QD，康复新液10ml口服TID，熊去氧胆酸胶囊250mg口服TID，利福昔明片0.2g口服QID，羧甲司坦口服溶液10ml口服TID，(波)雷贝拉唑钠肠溶片10mg口服QD，(国)氯化钾缓释片1g口服TID，复方氨基酸胶囊(8-11)2粒口服TID，螺内酯片40mg口服QD</t>
  </si>
  <si>
    <t>2023.9.08</t>
  </si>
  <si>
    <t>酒精性肝硬化失代偿期 自发性腹膜炎 肝性脑病 腹水 感染性休克 肝硬化伴食管静脉曲张套扎术后 门脉高压性胃病 十二指肠肿物 心力衰竭 贫血 低钾血症 凝血功能异常 肿瘤标记物升高 下肢静脉曲张术后（左下肢） 双侧腹股沟疝 高血压病2级（高危）</t>
  </si>
  <si>
    <t>生血宁片0.5g口服TID、(波)雷贝拉唑钠肠溶片10mg口服QD、康复新液10ml口服TID、(国)头孢地尼胶囊0.1g口服TID、乳果糖口服溶液15ml服BID、复方氨基酸胶囊(8-11)2粒口服TID</t>
  </si>
  <si>
    <t>孟令松</t>
  </si>
  <si>
    <t>门脉高压性胃病 食管胃底静脉曲张 肝硬化？ 脾大 脾功能亢进 血小板减少 慢性胃炎 肠系膜动脉狭窄 胆红素代谢紊乱</t>
  </si>
  <si>
    <t>(国)铝碳酸镁咀嚼片0.5g口服TID、兰索拉唑口崩片30mg口服QD、康复新液10ml口服TID</t>
  </si>
  <si>
    <t>张树奎</t>
  </si>
  <si>
    <t>2023.10.24</t>
  </si>
  <si>
    <t>2023.11.3</t>
  </si>
  <si>
    <t>肝硬化伴食管静脉曲张破裂出血、消化道出血、肝硬化失代偿期、门脉高压性胃病、贫血、肝血管瘤、肝囊肿、胆囊炎、单纯性肾囊肿</t>
  </si>
  <si>
    <t>双歧杆菌三联活菌肠溶胶囊0.42g口服TID，乳果糖口服溶液15ml口服BID，(波)雷贝拉唑钠肠溶片10mg口服QD，康复新液10ml口服TID，螺内酯片20mg口服BID，呋塞米片20mg口服QD(自备)，琥珀酸美托洛尔片23.75mg口服QD(自备)</t>
  </si>
  <si>
    <t>姜玉忠</t>
  </si>
  <si>
    <t>2023.10.25</t>
  </si>
  <si>
    <t>2023.11.1</t>
  </si>
  <si>
    <t>硬化性胆管炎、胰腺囊肿（IPMN?）、胆管囊肿、肝硬化、脾大、肾结石、低蛋白血症</t>
  </si>
  <si>
    <t>熊去氧胆酸胶囊250mg口服TID，胆舒胶囊2片口服TID</t>
  </si>
  <si>
    <t>2023.10.30</t>
  </si>
  <si>
    <t>2023.11.10</t>
  </si>
  <si>
    <t>肝硬化伴食管静脉曲张破裂出血、原发性胆汁型肝硬化、门脉高压性胃病、门脉高压伴侧支循环形成、食管静脉曲张（中度）、结缔组织病、脾大、肺部阴影、肿标升高、电解质紊乱、低蛋白血症</t>
  </si>
  <si>
    <t>2瑞巴派特片0.1g口服TID;(2
雷贝拉唑钠肠溶片10mg口服QD，康复新液10ml口服TID</t>
  </si>
  <si>
    <t>魏金槐</t>
  </si>
  <si>
    <t>2023,11.7</t>
  </si>
  <si>
    <t>消化道出血、慢性胃炎、直肠溃疡、结肠肿物？、肝硬化、反流性食管炎、脾大、胆囊结石、低蛋白血症、凝血功能异常</t>
  </si>
  <si>
    <t>利福昔明片0.4g口服BID，(博)甲钴胺片0.5mg口服TID，(络)苯磺酸氨氯地平片5mg口服QD</t>
  </si>
  <si>
    <t>2023.11.2</t>
  </si>
  <si>
    <t>2023.11.8</t>
  </si>
  <si>
    <t>肝硬化伴食管胃底静脉曲张、腹水、原发性胆汁型肝硬化、自身免疫性肝炎？、门静脉血栓形成、肠系膜静脉血栓形成、低蛋白血症、脾大、电解质紊乱、再生障碍性贫血</t>
  </si>
  <si>
    <t>(赛)环孢素软胶囊25mg口服BID，(大)利伐沙班片10mg口服QD，(大)双歧杆菌三联活菌肠溶胶囊0.42g口服BID，利可君片20mg口服BID，(可)盐酸胺碘酮片0.2g口服QD，(国)头孢地尼胶囊0.1g口服TID，螺内酯片40mg口服QD，呋塞米20mg口服QD(自备)</t>
  </si>
  <si>
    <t>张仲萍</t>
  </si>
  <si>
    <t>2023.11.4</t>
  </si>
  <si>
    <t>2023.11.15</t>
  </si>
  <si>
    <t>肝硬化伴食管静脉曲张破裂出血、消化道出血、重度贫血、电解质代谢紊乱、脾静脉血栓形成、腹水、低蛋白血症、脾功能亢进、门脉高压、胆囊结石、高血压、凝血功能异常</t>
  </si>
  <si>
    <t>(波)雷贝拉唑钠肠溶片10mg口服QD、利可君20mg口服TID、熊去氧胆酸胶囊250mg口服TID、复方氨基酸胶囊(8-11)2粒口服TID</t>
  </si>
  <si>
    <t>张秀芳</t>
  </si>
  <si>
    <t>2023.11.6</t>
  </si>
  <si>
    <t>消化道出血、肝硬化失代偿期、肺部感染、重度贫血、心功能不全、高血压2级、2型糖尿病、食管静脉曲张、胆囊结石</t>
  </si>
  <si>
    <t>2023.11.7</t>
  </si>
  <si>
    <t>2023.11.11</t>
  </si>
  <si>
    <t>肝硬化失代偿期、肝硬化伴食管胃底静脉曲张、脾功能亢进、胃术后、低蛋白血症、缺铁性贫血、心功能不全、房颤、胆囊切除术后状态</t>
  </si>
  <si>
    <t>(国)盐酸曲美他嗪缓释片35mg口服BID，门冬氨酸钾镁片0.298g口服TID，熊去氧胆酸胶囊250mg口服BID，(可力)地高辛片0.125mg口服QD，(顺)胰酶肠溶胶囊0.3g口服TID，生血宁片0.5g口服BID，伊托必利片50mg口服TID，琥珀酸美托洛尔缓释片23.75mg口服BID，利可君片20mg口服TID，复方氨基酸胶囊(8-11)2粒口服TID，螺内酯片20mg口服BID，兰索拉唑口崩片30mg口服QD</t>
  </si>
  <si>
    <t>戴景水</t>
  </si>
  <si>
    <t>2023.11.17</t>
  </si>
  <si>
    <t>肝硬化伴胃底静脉曲张破裂出血、脾大、胆囊结石、胆囊炎、2型糖尿病、冠心病、陈旧性脑梗、脑出血个人史、低蛋白血症、肿标升高、凝血功能异常</t>
  </si>
  <si>
    <t>乳果糖口服溶液15ml口服TID，(波)雷贝拉唑钠肠溶片10mg口服QD，康复新液10ml口服TID，双环醇片25mg口服TID</t>
  </si>
  <si>
    <t>2023.11.23</t>
  </si>
  <si>
    <t>酒精性肝硬化伴食底静脉曲张破裂出血、消化道出血、脾大、慢性胃炎、多发性肝囊肿、肺部阴影、低蛋白血症、电解质紊乱、凝血功能异常</t>
  </si>
  <si>
    <t>边福利</t>
  </si>
  <si>
    <t>1（不愿意进一步治疗，自动出院）</t>
  </si>
  <si>
    <t>酒精性肝硬化伴胃底静脉曲张破裂出血、脾大、脾功能亢进、贫血、继发性血小板减少</t>
  </si>
  <si>
    <t>孟洧</t>
  </si>
  <si>
    <t>乙肝后肝硬化，食管静脉曲张破裂出血，重度贫血、低蛋白血症、凝血功能异常</t>
  </si>
  <si>
    <t>复方氨基酸胶囊70mg口服TID，(波)雷贝拉唑钠肠溶片10mg口服QD，利可君1片口服TID，苯磺酸氨氯地平1片口服qd，恩替卡1片口服qd，多糖铁复合物胶囊1片口服qd</t>
  </si>
  <si>
    <t>廖增琇</t>
  </si>
  <si>
    <t>2023.11.16</t>
  </si>
  <si>
    <t>2023.12.6</t>
  </si>
  <si>
    <t>自免肝、消化道出血、肝硬化、心功能不全、凝血功能异常、电解质紊乱、胸腔积液、低蛋白血症、肺感染</t>
  </si>
  <si>
    <t>羧甲司坦口服溶液10ml口服TID，康复新液10ml口服TID，螺内酯片20mg口服TID，呋塞米20mg口服QD，熊去氧胆酸胶囊250mg口服BID，利可君片20mg口服TID，复方氨基酸胶囊(8-11)2粒口服TID，(波)雷贝拉唑钠肠溶片10mg口服QD</t>
  </si>
  <si>
    <t>刘庆良</t>
  </si>
  <si>
    <t>2023.11.20</t>
  </si>
  <si>
    <t>2023.11.26</t>
  </si>
  <si>
    <t>酒精性肝硬化伴食管胃底静脉曲张</t>
  </si>
  <si>
    <t>利可君片20mg口服TID，枯草杆菌二联活菌肠溶胶囊500mg口服TID，复方氨基酸胶囊(8-11)2粒口服BID</t>
  </si>
  <si>
    <t>董萍</t>
  </si>
  <si>
    <t>2023.11.18</t>
  </si>
  <si>
    <t>2023.11.30</t>
  </si>
  <si>
    <t>原发性胆汁性肝硬化伴食管静脉曲张、直肠静脉曲张、门脉高压、消化道出血、高血压1级、贫血、凝血功能异常、电解质紊乱</t>
  </si>
  <si>
    <t>(金)卡维地洛片10mg口服QD、熊去氧胆酸胶囊250mg口服TID、(络)苯酸氨氯地平片5mg口服QD、(波)雷贝拉唑钠肠溶片10mg口服QD、(苏)奥氮平片2.5mg口服QN、草酸艾司西酞普兰片2片口服QN(自备)</t>
  </si>
  <si>
    <t>2023.12.11</t>
  </si>
  <si>
    <t>自免肝肝硬化？、原发性胆汁性肝硬化？、胸水、腹水、低蛋白血症、凝血功能异常、心衰、缺铁贫、肺感染、泌尿系感染、低钙低钠、肿标升高</t>
  </si>
  <si>
    <t>复方氨基酸胶囊(8-11)2粒口服TID、曲美布汀片0.1g口服TID、(泰)氢氯吡格雷片25 mg口服TID、熊去氧胆酸胶囊250mg口服BID、复方甲氧那明胶囊93mg口服TID、(大)双歧杆菌三联活菌肠溶胶囊0.42g口服TID、康复新液10ml口服TID、琥珀酸美托洛尔缓释片47.5mg口服QD、(可力)地高辛片0.125mg口服QD、(进)阿托伐他汀钙片20mg口服QN、(波)雷贝拉唑钠肠溶片10mg口服QD、2米曲菌胰酶片48mg口服TID</t>
  </si>
  <si>
    <t>肝硬化伴食管胃底静脉曲张破裂出血、门脉高压、脾亢、肺动脉高压、SLE、肿标升高</t>
  </si>
  <si>
    <t>1？(SLE)</t>
  </si>
  <si>
    <t>(力)多糖铁复合物胶囊0.3g口服QD，熊去氧胆酸胶囊250mg口服TID，康复新液10ml口服TID，(2瑞)雷贝拉唑钠肠溶片10mg口服QD，生血宁片0.5g口服TID，(可力)地高辛片0.25mg口服QD(自备)，甲泼尼龙片4mg口服QD(自备)，吗替麦考酚酯分散片0.5g口服QD(自备)，吗替麦考酚酯分散片0.25g口服QN(自备)，安立生坦片5mg口服QD(目备)</t>
  </si>
  <si>
    <t>王文彦</t>
  </si>
  <si>
    <t>2023.11.28</t>
  </si>
  <si>
    <t>2023.12.8</t>
  </si>
  <si>
    <t>酒精性肝硬化伴食管胃底静脉曲张破裂出血、高钾血症、中度贫血、低蛋白血症、肾功能不全、心功能不全</t>
  </si>
  <si>
    <t>六味安消胶囊1g口服TID，2米曲菌胰酶片24mg口服TID，(波)雷贝拉唑钠肠溶片10mg口服QD，康复新液10ml口服TID</t>
  </si>
  <si>
    <t>2023.12.7</t>
  </si>
  <si>
    <t>酒精性肝硬化、胸水、腹水、肝功不全、门脉高压、低蛋白血症、脾大、凝血功能异常</t>
  </si>
  <si>
    <t>熊去氧胆酸胶囊250mg口服TID，硫普罗宁肠溶片0.2g口服TID，螺内酯片20mg口服BID，利福昔明片0.2g口服QID，乳果糖口服溶液15ml口服BID，(力)呋塞米片20mg口服QD</t>
  </si>
  <si>
    <t>彭义洪</t>
  </si>
  <si>
    <t>2023.12.2</t>
  </si>
  <si>
    <t>2023.12.5</t>
  </si>
  <si>
    <t>原发性胆汁性肝硬化、自免肝？、高血压病2级</t>
  </si>
  <si>
    <t>熊去氧胆酸胶囊250mg口服TID、双环醇片25mg口服TID、多烯磷脂酰胆碱胶囊456mg口服TID、(国)坎地沙坦酯片8mg口服QD</t>
  </si>
  <si>
    <t>孙俊峥</t>
  </si>
  <si>
    <t>2023.12.4</t>
  </si>
  <si>
    <t>2023.12.12</t>
  </si>
  <si>
    <t>酒精性肝硬化伴食底静脉曲张破裂出血、门静脉血栓、脾静脉血栓、肠系膜上静脉血栓、低蛋白血症、中度贫血、2型糖尿病</t>
  </si>
  <si>
    <t>利可君片20 mg口服TID、(波)雷贝拉唑钠肠溶片10mg口服QD、康复新液10ml口服TID</t>
  </si>
  <si>
    <t>肝硬化伴食管胃底静脉曲张、门脉高压性胃病、高血压2级、2型糖尿病、中度贫血、白细胞血小板减少</t>
  </si>
  <si>
    <t>康复新液10ml口服TID，(波)雷贝拉唑钠肠溶片10mg口服QD，(力)多糖铁复合物胶囊0.3g口服QD，生血宁片0.5g口服BID，利可君片20mg口服TID</t>
  </si>
  <si>
    <t>侯振芳</t>
  </si>
  <si>
    <t>2023.12.9</t>
  </si>
  <si>
    <t>肝硬化 门脉高压性胃病 胆囊炎 胆囊结石 低钾血症 轻度贫血 冠状动脉粥样硬化性心脏病 不稳定性心绞痛 冠状动脉支架植入后状态 2型糖尿病</t>
  </si>
  <si>
    <t>(国)头孢地尼胶囊0.1g口服TID、硫酸氢氯吡格雷片75mg口服QD、(大)双歧杆菌三联活菌肠溶胶囊0.42g口服BID、利可君片20mg口服TID、(2瑞)雷贝拉唑钠肠溶片10mg口服QD、复方氨基酸胶囊(8-11)2粒口服BID、(亚)格列美脲片2mg口服QD、伏格列波糖片0.2mg口服BID、2瑞巴派特片0.1g口服TID</t>
  </si>
  <si>
    <t>李秀玲</t>
  </si>
  <si>
    <t>2023.11.29</t>
  </si>
  <si>
    <t>肝硬化伴食管静脉曲张破裂出血 中度贫血 门脉高压性胃病 低蛋白血症 门静脉高压 凝血功能异常 血小板减少 白细胞减少 脾大 膝关节疼痛</t>
  </si>
  <si>
    <t>?</t>
  </si>
  <si>
    <t>(波)雷贝拉唑钠肠溶片10mg口服QD，康复新液10ml口服TID，复方氨基酸胶囊2粒口服TID，利可君1片口服tid</t>
  </si>
  <si>
    <t>2023.12.15</t>
  </si>
  <si>
    <t>肝硬化伴食管静脉曲张破裂出血 低蛋白血症 轻度贫血 低钙血症 门脉高压性胃病 凝血功能异常 低钾血症 高氨血症 2型糖尿病 脾术后</t>
  </si>
  <si>
    <t>(波)雷贝拉唑钠肠溶片10mg口服QD，康复新液10ml口服TID，复方氨基酸胶囊2粒口服TID，硫普罗宁2片口服tid，乳果糖15ml口服bid</t>
  </si>
  <si>
    <t>2023.12.17</t>
  </si>
  <si>
    <t>肝硬化失代偿期 食管静脉曲张 胃底静脉曲张 原发性胆汁性肝硬化 低蛋白血症 高血压病2级</t>
  </si>
  <si>
    <t>熊去氧胆酸胶囊500 mg口服BID、(金)卡维地洛片12.5mg口服QD、利可君片20mg口服TID、硝苯地平控释片30mg口服QD、乳果糖口服溶液15ml服BID、2瑞巴派特片0.1g口服TID</t>
  </si>
  <si>
    <t>邱风祥</t>
  </si>
  <si>
    <t>2023.12.23</t>
  </si>
  <si>
    <t>肝硬化伴食管胃底静脉曲张破裂出血,乙型肝炎后肝硬化失代偿期 全血细胞减少 中度贫血</t>
  </si>
  <si>
    <t>2瑞巴派特片0.1g口服TID，康复新液10ml口服TID，恩替卡韦片0.5mg口服QD，(大)双歧杆菌三联活菌肠溶胶囊0.42g口服BID，(波)雷拉唑钠肠溶片10mg口服QD</t>
  </si>
  <si>
    <t>宋云花</t>
  </si>
  <si>
    <t>2023.12.13</t>
  </si>
  <si>
    <t>2023.12.20</t>
  </si>
  <si>
    <t>食管良性肿瘤 肝硬化伴食管胃底静脉曲张 门脉高压性胃病 脾大 腹水 干燥综合征 胆囊息肉</t>
  </si>
  <si>
    <t>熊去氧胆酸胶囊250mg口服TID、康复新液10ml口服TID、(波)雷贝拉唑钠肠溶片10mg口服QD</t>
  </si>
  <si>
    <t>崔友福</t>
  </si>
  <si>
    <t>2023.12.18</t>
  </si>
  <si>
    <t>2024.1.3</t>
  </si>
  <si>
    <t>消化道出血 小肠出血? 肝硬化 肝结节 食管静脉曲张 食管裂孔疝 股动脉栓塞 股动脉粥样硬化 胆囊切除术后状态 胰腺肿大 低蛋白血症 前列腺增生</t>
  </si>
  <si>
    <t>(波)雷贝拉唑钠肠溶片10mg口服QD、银杏叶片40mg口服TID、甲钴胺片0.5mg口服TID、沙利度胺片50mg口服QD、阿托伐他汀钙片20mg口服QD、康复新液10ml口服TID、复方嗜酸乳杆菌片1g口服TID</t>
  </si>
  <si>
    <t>彭全女</t>
  </si>
  <si>
    <t>2023.12.19</t>
  </si>
  <si>
    <t>2024.1.2</t>
  </si>
  <si>
    <t>肝硬化伴食管胃底静脉曲张破裂出血 血小板减少 中度贫血 白细胞减少 电解质紊乱 低钙血症 脾大 脾功能亢进</t>
  </si>
  <si>
    <t>李斌</t>
  </si>
  <si>
    <t>2023.12.27</t>
  </si>
  <si>
    <t>肝性脑病 酒精性肝硬化 呼吸道感染 凝血功能异常 电解质紊乱 食管静脉曲张 冠状动脉痉挛 甲状腺功能减退症</t>
  </si>
  <si>
    <t>利福昔明片0.2g口服QID、硫普罗宁肠溶片0.2g口服TID、乳果糖口服溶液15ml口服TID、(大)双歧杆菌三联活菌肠溶胶囊0.42g口服TID、利可君片20mg口服TID</t>
  </si>
  <si>
    <t>肝性脑病 呼吸道感染 肝硬化 门静脉高压 脾功能亢进 慢性丙型病毒性肝炎 酒精性肝病 2型糖尿病 高血压1级 冠心病 陈旧性心肌梗死 白内障 精神分裂症 肝囊肿 阑尾术后</t>
  </si>
  <si>
    <t>利可君片20mg口服TID，(吉)左氧氟沙星片0.5g口服QD，多烯磷脂酰胆碱胶囊456mg口服TID，(2瑞)雷贝拉唑钠肠溶片10mg口服QD，(国)氯化钾缓释片1g口服BID，乳果糖口服溶液15 ml口服TID，利福昔明片0.2g口服QID，(依)单硝酸异山梨酯缓释片60mg口服QD，(国)坎地沙坦酯片8mg口服QD，(力)呋塞米片20mg口服QD，螺内酯片20mg口服QD，2(大)甘精胰岛素注射液10iu皮下QN(自备)，门冬胰岛素30注射液皮下8iu皮下TID(自备)，(恩华)阿普唑仑片0.4mg口服QN(自备)，度罗西汀口服胶囊20mg口服QD(自备)，(苏)奥氮平片5mg口服QN(自备)</t>
  </si>
  <si>
    <t>于美霞</t>
  </si>
  <si>
    <t>2024.1.8</t>
  </si>
  <si>
    <t>硬化性胆管炎 慢性肝衰竭 脾大 肝硬化伴食管静脉曲张破裂出血 低钾血症 低蛋白血症 凝血功能异常 结肠息肉</t>
  </si>
  <si>
    <t>(大)双歧杆菌三联活菌肠溶胶囊0.63g口服BID，2米曲菌胰酶片24mg口服TID，2甘草酸二铵肠溶胶囊150mg口服TID，熊去氧胆酸胶囊250mg口服TID(自备)</t>
  </si>
  <si>
    <t>王春海</t>
  </si>
  <si>
    <t>2023.12.30</t>
  </si>
  <si>
    <t>2023.1.5</t>
  </si>
  <si>
    <t>消化道出血 酒精性肝硬化 慢性肝衰竭 肝性脑病 脾大 肠道菌群失调 凝血功能异常 反流性食管炎 慢性胃炎 胆囊结石</t>
  </si>
  <si>
    <t>硫普罗宁肠溶片0.2g口服TID，(波)雷贝拉唑钠肠溶片10mg口服QD，2瑞巴派特片0.1g口服TID，康复新液10ml口服TID，(大)双歧杆菌三联活菌肠溶胶囊0.84g口服BID，利福昔明片0.2g口服QID，熊去氧胆酸胶囊250mg口服TID</t>
  </si>
  <si>
    <t>雍桂珍</t>
  </si>
  <si>
    <t>2024.1.17</t>
  </si>
  <si>
    <t>肝硬化失代偿期 食管胃底静脉曲张破裂出血 低蛋白血症 脾功能亢进 原发性胆汁性肝硬化 自身免疫性肝炎 缺铁性贫血 上呼吸道感染</t>
  </si>
  <si>
    <t>复方氨基酸胶囊(8-11)2粒口服TID、(波)雷贝拉唑钠肠溶片10mg口服QD、康复新液10ml口服TID、熊去氧胆酸胶囊250mg口服BID</t>
  </si>
  <si>
    <t>杨辉</t>
  </si>
  <si>
    <t>2024.1.11</t>
  </si>
  <si>
    <t>消化道出血 食管溃疡 食管胃底静脉曲张 门脉高压性胃病 特发性肝硬化 贫血 便秘</t>
  </si>
  <si>
    <t>康复新液10ml口服TID，2瑞巴派特片0.1g口服TID，硫普罗宁肠溶片0.2g口服TID，(波)雷贝拉唑钠肠溶片10mg口服QD</t>
  </si>
  <si>
    <t>付洪芬</t>
  </si>
  <si>
    <t>肝硬化伴食管胃底静脉曲张，自身免疫性肝硬化？胆汁淤积性肝炎？脾大，全血细胞减少，肝功能不全，萎缩性胃炎；睡眠障碍。</t>
  </si>
  <si>
    <t>多糖铁复合物胶囊0.3g口服QD、复方氨基酸胶囊(8-11) 1粒口服TID、双环醇片25mg口服TID、利可君片20mg口服TID、熊去氧胆酸胶囊250mg口服QD、佐匹克隆胶囊7.5mg口服QN</t>
  </si>
  <si>
    <t>崔和平</t>
  </si>
  <si>
    <t>肝硬化失代偿期，肝性脑病，酒精性脂肪肝，低蛋白血症，腹水，凝血功能异常，陈旧性脑梗死，呼吸道感染，电解质紊乱。</t>
  </si>
  <si>
    <t>(大)双歧杆菌三联活菌肠溶胶囊0.42g口服TID，利福昔明片0.2g口服TID，螺内酯片20mg口服QD，硫普罗宁肠溶片0.2g口服TID，乳果糖口服溶液15ml口服TID，(2瑞)雷贝拉唑钠肠溶片10mg口服QD，(力)味塞米片10mg口服QD</t>
  </si>
  <si>
    <t>魏景山</t>
  </si>
  <si>
    <t>肝硬化，门脉高压，脾大，血小板减少，凝血功能异常，低蛋白血症，腹腔积液，电解质紊乱，自身免疫性肝炎？EB病毒感染？高尿酸血症，高血压病2级（中危），2型糖尿病。</t>
  </si>
  <si>
    <t>(国)氯化钾缓释片1g口服BID、复方氨基酸胶囊(8-11)2粒口服TID、双环醇片50mg口服TID、熊去氧胆酸胶囊250mg口服TID</t>
  </si>
  <si>
    <t>赵彩芬</t>
  </si>
  <si>
    <t>消化道出血；胃溃疡（多发）；肝硬化；肝硬化伴食管胃底静脉曲张（中度）；腹水；慢性胃炎；十二指肠球炎；中度贫血；低蛋白血症；2型糖尿病；单纯性肾囊肿；肿瘤标记物升高。</t>
  </si>
  <si>
    <t>利可君片20mg口服TID、(波)雷贝拉唑钠肠溶片10mg口服QD、康复新液10ml口服TID、多烯磷脂酰胆碱胶囊456mg口服TID</t>
  </si>
  <si>
    <t>肝硬化失代偿期；自身免疫性肝硬化？原发胆汁性肝硬化？肝功能不全；胸腔积液；腹水；食管静脉曲张不伴出血；胃底静脉曲张；门脉高压性胃病；脾大；慢性肾功能不全；肿瘤标记物升高；冠状动脉粥样硬化性心脏病；冠状动脉支架植入后状态；心功能II级；心房颤动。</t>
  </si>
  <si>
    <t>复方氨基酸胶囊(8-11)2粒口服BID，(泰)氢氯吡格雷片25mg口服QD，琥珀酸美托洛尔缓释片47.5mg口服QD，(可力)地高辛片0.125mg口服QD，(波)雷贝拉唑钠肠溶片10mg口服QD，熊去氧胆酸胶囊250mg口服BID，(大)双歧杆菌三联活菌肠溶胶囊0.42g口服TID，康复新液10ml口服TID，非诺贝特胶囊0.2g口服QN，螺内酯片40mg口服BID，托拉塞米片20mg口服QD[自备]，单硝酸异山梨酯20mg口服BID[自备]，艾多沙班30mg口服QD[自备]</t>
  </si>
  <si>
    <t>朱淑芬</t>
  </si>
  <si>
    <t>食管静脉曲张（中度）；上消化道出血；肝硬化；自身免疫性肝炎？原发胆汁性肝硬化？腹水；低蛋白血症；凝血功能异常</t>
  </si>
  <si>
    <t>康复新液10ml口服TID，(2瑞)雷贝拉唑钠肠溶片10mg口服QD，复方氨基酸胶囊(8-11)2粒口服TID，螺内酯片20mg口服BID，熊去氧胆酸胶囊250mg口服TID</t>
  </si>
  <si>
    <t>郭云桂</t>
  </si>
  <si>
    <t>门脉高压性胃病伴出血；结肠血管扩张症？；肝硬化失代偿期；自身免疫性肝硬化；肝功能不全；肝硬化伴食管胃底静脉曲张；慢性胃炎；低蛋白血症；呼吸道感染；腹腔积液；中度贫血；药物性股骨头坏死；骨质疏松；甲状腺结节；全血细胞减少；高脂血症；电解质紊乱。</t>
  </si>
  <si>
    <t>(波)雷贝拉唑钠肠溶片10mg口服QD，康复新液10ml口服TID，瑞把派特0.1g口服TID</t>
  </si>
  <si>
    <t>刘二龙</t>
  </si>
  <si>
    <t>酒精性肝硬化失代偿期；肝占位性病变；肝性脑病；门静脉高压；高血压病3级（极高危）；2型糖尿病；腰间盘突出；贫血；肺动脉高压；上呼吸道感染</t>
  </si>
  <si>
    <t>肝硬化伴食管胃底静脉曲张破裂出血；原发性胆汁性肝硬化；自身免疫性肝炎？重叠综合征；凝血功能异常；贫血；肾功能不全；冠状动脉粥样硬化性心脏病；二尖瓣反流（中度）；主动脉瓣狭窄（轻度）；二尖瓣钙化；高血压病1级（极高危）；2型糖尿病。</t>
  </si>
  <si>
    <t>硫普罗宁肠溶片0.2g口服TID、止咳合剂20ml口服TID、羧甲司坦口服溶液10ml口服TID、康复新液10ml口服TID、(波)雷贝拉唑钠肠溶片10mg口服QD</t>
  </si>
  <si>
    <t>消化道出血；肝硬化伴食管胃底静脉曲张破裂出血？肝硬化失代偿期；脾大；门静脉血栓形成；脾静脉血栓形成；肠系膜上静脉血栓形成；低蛋白血症；腹腔积液；肺部感染；胸腔积液；肝血管瘤；电解质紊乱；凝血功能异常；低钙血症；低钾血症。</t>
  </si>
  <si>
    <t>酒精性肝硬化、凝血功能异常、电解质紊乱、高血压病1级（高危）、冠状动脉粥样硬化性心脏病、肿瘤标记物升高</t>
  </si>
  <si>
    <t>利福昔明片0.2g口服QID，乳果糖口服溶液15ml口服BID，熊去氧胆酸胶囊500mg口服BID，多烯磷脂酰胆碱胶囊456mg口服TID</t>
  </si>
  <si>
    <t>许珠言</t>
  </si>
  <si>
    <t>腹腔积液、肝硬化失代偿期、原发性胆汁型肝硬化、自身免疫性肝炎？、门静脉高压、脾功能亢进、凝血功能异常、肿瘤标志物升高、低蛋白血症、电解质紊乱、肠道菌群失调</t>
  </si>
  <si>
    <t>康复新液10ml口服TID、(波)雷贝拉唑钠肠溶片10mg口服QD、熊去氧胆酸胶囊250mg口服TID、硫普罗宁肠溶片0.2g口服TID、螺内酯40mg口服BID、呋塞米片20mg口服BID、米曲菌胰酶24mg口服TID、双歧杆菌三联活性菌0.42g口服BID、复方氨基酸胶囊2粒口服TID、氯化钾缓释片1g口服BID</t>
  </si>
  <si>
    <t>陈秀荣</t>
  </si>
  <si>
    <t>肝硬化、脾大、冠心病、高血压</t>
  </si>
  <si>
    <t>硝苯地平控释片30mg口服QD、恩替卡韦片0.5mg口服QD、雷贝拉唑钠肠溶片10mg口服QD</t>
  </si>
  <si>
    <t>贾昆</t>
  </si>
  <si>
    <t>肝硬化失代偿期、自身免疫性肝硬化？、非酒精性脂肪性肝炎相关性肝硬化？、门静脉高压、脾亢、食管静脉曲张、腹水</t>
  </si>
  <si>
    <t>(国)氯化钾缓释片1g口服BID、利可君片20mg口服TID、甲泼尼龙片12mg口服QD、(金)卡维地洛片2.5mg口服QD、2甘草酸二铵肠溶胶囊150mg口服TID、熊去氧胆酸胶囊250mg口服TID</t>
  </si>
  <si>
    <t>李彭云</t>
  </si>
  <si>
    <t>慢性肝衰竭、肝硬化失代偿期、自身免疫性肝炎后肝硬化、腹水、凝血功能异常、低蛋白血症、胆结石</t>
  </si>
  <si>
    <t>熊去氧胆酸胶囊250mgBID、螺内酯片40mg口服BID、冬泽全2袋口服BID、呋塞米1片口服QD</t>
  </si>
  <si>
    <t>消化道出血、肝硬化伴食管胃底静脉曲张、门脉高压性胃病、2型糖尿病、高氨血症、凝血功能异常、电解质代谢紊乱</t>
  </si>
  <si>
    <t>复方氨基酸胶囊(8-11)2粒口服TID、乳果糖口服溶液15ml口服TID、雷贝拉唑钠肠溶片10mg口服QD、康复新液10ml口服TID、利福昔明片0.2g口服QID</t>
  </si>
  <si>
    <t>肝硬化、食管静脉曲张、门脉高压性胃病、原发性胆汁性胆管炎？、十二指肠球炎、胃底静脉曲张、脾大、结缔组织病、2型糖尿病</t>
  </si>
  <si>
    <t>(大)双歧杆菌三联活菌肠溶胶囊0.84g口服BID、(泰丰)骨化三醇软胶囊0.25ug口服QD、(2瑞)雷贝拉唑钠肠溶片10mg口服QD、康复新液10ml口服TID、熊去氧胆酸胶囊250mg口服TID、甲泼尼龙片4mg口服QD、拉地平片4mg口服QD</t>
  </si>
  <si>
    <t>自身免疫性肝炎后肝硬化失代偿期、肝硬化伴食管胃底静脉曲张、食管术后、门脉高压性胃病、血小板减少、2型糖尿病、冠心病、心脏搭桥术后、肺动脉高压、甲减、结肠术后、肠道菌群失调</t>
  </si>
  <si>
    <t>2米曲菌胰酶片24mg口服TID，(大)双歧杆菌三联活菌肠溶胶囊0.42g口服BID，(2瑞)雷贝拉唑钠肠溶片10mg口服QD，匹维溴铵片50mg口服TID，康复新液10ml口服TID</t>
  </si>
  <si>
    <t>林殿利</t>
  </si>
  <si>
    <t>原发性胆汁型肝硬化伴胃底静脉曲张破裂出血、肝硬化失代偿期、食管静脉曲张、门脉高压性胃病、腹水、脾大、凝血功能异常、低钙血症、低蛋白血症、盆腔积液、脾亢</t>
  </si>
  <si>
    <t>熊去氧胆酸胶囊250mg口服TID，(力)醋酸泼尼松片5mg口服QD，骨化三醇0.25ug口服QD[自备]，奥贝胆酸5mg口服QD[自备]，(金)卡维地洛片5mg口服QD，2米曲菌胰酶片24mg口服TID，康复新液10ml口服TID，(2瑞)雷贝拉唑钠肠溶片10mg口服QD，利可君片20mg口服TID，生血宁片0.5g口服TID，呋塞米片20mg口服QD，螺内酯片20mg口服QD，乳果糖口服溶液15ml口服BID</t>
  </si>
  <si>
    <t>杨峰</t>
  </si>
  <si>
    <t>上消化道出血、门脉高压性胃病、肝硬化失代偿期、酒精性肝硬化伴食管胃底静脉曲张？、原发性胆汁型肝硬化伴食管静脉曲张？、门脉高压、腹水、贫血、低蛋白血症</t>
  </si>
  <si>
    <t>熊去氧胆酸胶囊250mg口服BID，康复新液10ml口服TID，磷酸铝凝胶20g口服TID，(2瑞)雷贝拉唑钠肠溶片10mg口服QD，2瑞巴派特片0.1g口服TID</t>
  </si>
  <si>
    <t>上消化道出血、门脉高压性胃肠病、肝硬化失代偿期、酒精性肝病？、自身免疫性肝硬化？、肠系膜血栓形成、门静脉血栓形成、静脉曲张术后、2型糖尿病</t>
  </si>
  <si>
    <t>康复新液10ml口服TID、(金)卡维地洛片5mg口服QD、磷酸铝凝胶20g口服BID、乳果糖口服溶液15ml口服QD、(2瑞)雷贝拉唑钠肠溶片20mg口服QD</t>
  </si>
  <si>
    <t>慢性肝衰竭、肝硬化失代偿期、原发性胆汁型胆管炎、自身免疫性肝炎？胸水、腹水、脾亢、食管胃底静脉曲张、门脉高压性胃病、慢性肾功能不全、肿标升高、房颤、冠心病、支架植入、搭桥术后</t>
  </si>
  <si>
    <t>复方氨基酸胶囊(8-11)2粒口服TID、琥珀酸美托洛尔缓释片47.5mg口服QD、(可力)地高辛片0.125mg口服QD、(进)阿托伐他汀钙片20mg口服QN、(波)雷贝拉唑钠肠溶片10mg口服QD、熊去氧胆酸胶囊250mg口服BID、康复新液10ml口服TID、(大)双歧杆菌三联活菌肠溶胶囊0.42g口服TID、利福昔明片0.4g口服TID、乳果糖口服溶液15ml口服TID、非诺贝特胶囊0.2g口服QD、(金)卡维地洛片5mg口服QD、螺内酯片40mg口服BID</t>
  </si>
  <si>
    <t>张清贤</t>
  </si>
  <si>
    <t>2024.2.23</t>
  </si>
  <si>
    <t>2024.3.4</t>
  </si>
  <si>
    <t>肝硬化失代偿期 腹腔积液 中度胃底食管静脉曲张 低蛋白血症 酒精性肝硬化? 高血压病2级 凝血功能异常 轻度贫血 高尿酸血症</t>
  </si>
  <si>
    <t>1?</t>
  </si>
  <si>
    <t>熊去氧胆酸胶囊250mg口服TID，螺内酯片80mg口服QD，乳果糖口服溶液15ml口服BID，(大)利伐沙班片10mg口服QD</t>
  </si>
  <si>
    <t>吴桂和</t>
  </si>
  <si>
    <t>2024.3.1</t>
  </si>
  <si>
    <t>2023.3.6</t>
  </si>
  <si>
    <t>酒精性肝硬化 腹水 脾大 门静脉高压 2型糖尿病 高血压病2级 肾囊肿 肝囊肿</t>
  </si>
  <si>
    <t>熊去氧胆酸胶囊250mg口服BID，阿卡波糖片50mg口服TID</t>
  </si>
  <si>
    <t>刘令云</t>
  </si>
  <si>
    <t>2023.3.9</t>
  </si>
  <si>
    <t>肝硬化失代偿期 肝硬化伴食管胃底静脉曲张 腹腔积液 胸腔积液 肺炎 冠状动脉粥样硬化性心脏病 精神分裂症 2型糖尿病 甲状腺结节 睡眠障碍 缺铁性贫血 白细胞减少 凝血功能异常 电解质紊乱 下肢静脉血栓形成</t>
  </si>
  <si>
    <t>(力)多糖铁复合物胶囊0.15g口服QD，(2瑞)雷贝拉唑钠肠溶片10mg口服QD，康复新液10ml口服TID，2米曲菌胰酶片24mg口服TID，冬泽全-短肽型营养强化复合粉 2袋口服BID</t>
  </si>
  <si>
    <t>程远明</t>
  </si>
  <si>
    <t>2024.3.9</t>
  </si>
  <si>
    <t>慢性肝衰竭 肝硬化失代偿期 腹腔积液 脾功能亢进 门脉高压性胃肠病 消化道出血 电解质紊乱 重度贫血 低蛋白血症 凝血功能异常 血脂异常 胆囊结石 前列腺增生伴钙化</t>
  </si>
  <si>
    <t>卡维地洛片5mg口服QD，雷贝拉唑钠肠溶片10mg口服QD，呋塞米20mg口服QD，多糖铁复合物胶囊0.3g口服QD，螺内酯片20mg口服BID</t>
  </si>
  <si>
    <t>2024.3.18</t>
  </si>
  <si>
    <t>肝硬化伴食管胃底静脉曲张 肝硬化失代偿期(脂肪性肝病) 脾功能亢进 全血细胞减少 消化道出血 慢性胃炎 门脉高压性胃病 高血压病3级 2型糖尿病 心脏瓣膜病 二尖瓣脱垂 二尖瓣反流 心包积液 低蛋白血症</t>
  </si>
  <si>
    <t>(金)卡维地洛片5mg口服BID，磷酸铝凝胶20g口服BID，(波)雷贝拉唑钠肠溶片10mg口服QD，利可君片20mg口服TID，康复新液10ml口服TID</t>
  </si>
  <si>
    <t>2024.3.6</t>
  </si>
  <si>
    <t>2024.3.14</t>
  </si>
  <si>
    <t>肝硬化失代偿期 腹腔积液 酒精性肝硬化 肺部感染 凝血功能异常 低蛋白血症 2型糖尿病</t>
  </si>
  <si>
    <t>利福昔明片0.4g口服TID，螺内酯片40mg口服QD，乳果糖口服溶液15ml口服TID，2甘草酸二铵肠溶胶囊150mg口服TID，(吉)左氧氟沙星片0.5g口服QD，(2瑞)雷贝拉唑钠肠溶片10mg口服QD，呋塞米片20mg口服QD自备</t>
  </si>
  <si>
    <t>2024.3.5</t>
  </si>
  <si>
    <t>2024.3.22</t>
  </si>
  <si>
    <t>上消化道出血 食管溃疡 干燥综合征 白塞病 肺部感染 肝硬化失代偿期 原发性胆汁性胆管炎 门静脉高压 脾功能亢进 中度贫血 血小板减少 白细胞减少 慢性胃炎 心脏瓣膜病 主动脉瓣狭窄</t>
  </si>
  <si>
    <t>(波)雷贝拉唑钠肠溶片10mg口服QD，康复新液10ml口服TID，甲泼尼龙片4mg口服QD，沙利度胺片100mg口服QN，熊去氧胆酸胶囊250mg口服TID，生血宁片0.5g口服TID，利可君片20mg口服TID，(国)氯化钾缓释片1g口服TID，磷酸铝凝胶20g口服BID</t>
  </si>
  <si>
    <t>2023.3.7</t>
  </si>
  <si>
    <t>肝硬化伴食管静脉曲张破裂出血 门脉高压性胃病 脾大 腹腔积液 肝功能不全 高氨血症 重度贫血 白细胞减少 血小板减少 低蛋白血症 凝血功能异常 自身免疫性肝炎? 骨髓增生异常综合征? 胆囊术后</t>
  </si>
  <si>
    <t>复方氨基酸胶囊(8-11)2粒口服TID、生血宁片0.5g口服TID、利可君片20mg口服TID、雷贝拉唑钠肠溶片10mg口服QD、康复新液10ml口服TID</t>
  </si>
  <si>
    <t>赵凤娥</t>
  </si>
  <si>
    <t>2024.3.15</t>
  </si>
  <si>
    <t>2024.3.23</t>
  </si>
  <si>
    <t>肝硬化失代偿期 脂肪肝 原发性胆管炎 门静脉高压 门静脉血栓形成 肠系膜静脉血栓形成 甲状腺结节 2型糖尿病</t>
  </si>
  <si>
    <t>(大)利伐沙班片10mg口服QD，熊去氧胆酸胶囊250mg口服TID</t>
  </si>
  <si>
    <t>2024.3.13</t>
  </si>
  <si>
    <t>2024.3..25</t>
  </si>
  <si>
    <t>食管静脉曲张破裂出血 慢性肝衰竭 肝硬化失代偿期 自身免疫性肝炎? 脾功能亢进 重度贫血 凝血功能异常 腹腔积液 2型糖尿病</t>
  </si>
  <si>
    <t>2瑞巴派特片0.1g口服TID，熊去氧胆酸胶囊250mg口服BID，(波)雷贝拉唑钠肠溶片10mg口服QD，康复新液10ml口服TID</t>
  </si>
  <si>
    <t>张海艳</t>
  </si>
  <si>
    <t>2024.3.11</t>
  </si>
  <si>
    <t>2024.3.30</t>
  </si>
  <si>
    <t>肝硬化伴食管胃底静脉曲张破裂出血 IgG4相关性自身免疫性肝炎 肝硬化失代偿期 门脉高压性胃病 重度贫血 血小板减少 低蛋白血症 高氨血症 十二指肠溃疡</t>
  </si>
  <si>
    <t>(力)醋酸泼尼松片15mg口服QD[自备]，熊去氧胆酸胶囊250mg口服TID，(山东)雷贝拉唑钠肠溶片10mg口服QD，乳果糖口服溶液15ml口服TID，2瑞巴派特片0.1g口服TID，(大)双歧杆菌三联活菌肠溶胶囊0.42g口服BID，(力)多糖铁复合物胶囊0.3g口服QD，(博)甲钴胺片0.5mg口服TID，叶酸片5mg口服TID[自备]</t>
  </si>
  <si>
    <t>刘凤英</t>
  </si>
  <si>
    <t>自身免疫性肝硬化；上消化道出血；胃溃疡；十二指肠溃疡；门静脉高压；重度贫血；缺铁性贫血；细菌性感染；低蛋白血症；凝血功能异常。</t>
  </si>
  <si>
    <t>(山东)雷贝拉唑钠肠溶片10mg口服QD，(力)多糖铁复合物胶囊0.3g口服QD，熊去氧胆酸胶囊250mg口服TID，(力)醋酸泼尼松片5mg口服QD，(大)双歧杆菌三联活菌肠溶胶囊0.42g口服BID，2瑞巴派特片0.1g口服TID，乳果糖口服溶液15ml口服BID</t>
  </si>
  <si>
    <t>慢性肝衰竭；肝硬化失代偿期；原发性胆汁性胆管炎；自身免疫性肝炎？；食管静脉曲张，轻度；门脉高压；门静脉血栓形成；腹水；慢性胃炎；胃息肉；结肠息肉；直肠静脉曲张；脾术后；陈旧性肺结核；肿瘤标记物升高；低蛋白血症</t>
  </si>
  <si>
    <t>2米曲菌胰酶片24mg口服TID，熊去氧胆酸胶囊250mg口服TID，水飞蓟宾胶囊70mg口服TID，复方氨基酸胶囊(8-11)2粒口服TID，(西)硒酵母片100 ug口服BID，螺内酯片20mg口服BID，非诺贝特胶囊0.2g口服QD，(杭)依巴斯汀片10 mg口服QD，卤米松/三氯生乳膏1g外涂BID，醋酸曲安奈德搽剂(I)5ml外涂BID，(大)利伐沙班片10mg口服QD，(2瑞)雷贝拉唑钠肠溶片10mg口服QD，呋塞米片20mg口服QD[自备]，左西替利嗪口服5mgQD[自备]</t>
  </si>
  <si>
    <t>消化道出血，门脉高压性胃肠病，结肠毛细血管扩张症，慢性肝衰竭，食管静脉曲张，胃底静脉曲张，低蛋白血症，腹腔积液，重度贫血，心力衰竭，内痔，肿瘤标记物升高，凝血功能异常，脾术后，2 型糖尿病。</t>
  </si>
  <si>
    <t>乳果糖口服溶液15ml口服BID、复方甲氧那明胶囊93mg口服TID、(山东)雷贝拉唑钠肠溶片10mg口服QD、2瑞巴派特片0.1g口服TID、(力)多糖铁复合物胶囊0.15g口服QD、甲泼尼龙片8mg口服QD、(金)卡维地洛片10mg口服QD</t>
  </si>
  <si>
    <t>张世军</t>
  </si>
  <si>
    <t>乙型肝炎后肝硬化失代偿期，门静脉高压，食管静脉曲张(重度)，胃底静脉曲张，腹腔积液（大量），脾大，轻度贫血，血小板减少，白细胞减少，D二聚体升高，高胆红素血症，低蛋白血症，慢性胃炎，胆囊息肉样改变，肺部阴影结节，单侧腹股沟疝。</t>
  </si>
  <si>
    <t>螺内酯片20mg口服BID、复方氨基酸胶囊(8-11)2粒口服TID、奥美拉唑镁肠溶片20mg口服QD、恩替卡韦片0.5mg口服QD、呋塞米片20mg口服QD(自备)</t>
  </si>
  <si>
    <t>肝硬化失代偿期，食管静脉曲张，门静脉血栓形成，胃息肉，便秘，肠道菌群失调，膝关节痛</t>
  </si>
  <si>
    <t>复方嗜酸乳杆菌片1g口服TID、乳果糖口服溶液30ml口服BID、伊托必利片50mg口服TID</t>
  </si>
  <si>
    <t>肝硬化，门静脉高压，门静脉海绵样变，脾大，肝功能不全，高氨血症，轻度贫血，白细胞减少，血小板减少，低蛋白血症，血清免疫学异常，CA125升高，肝囊肿。</t>
  </si>
  <si>
    <t>熊去氧胆酸胶囊250mg口服BID，多烯磷脂酰胆碱胶囊456mg口服BID，乳果糖口服溶液15ml口服BID，利福昔明片0.4g口服TID，复方氨基酸胶囊(8-11)2粒口服TID</t>
  </si>
  <si>
    <t>肝硬化伴食管静脉曲张破裂出血，乙型肝炎后肝硬化失代偿期，门脉高压，腹腔积液，脾大，脾功能亢进，血小板减少，轻度贫血，白细胞减少，低蛋白血症，高胆红素血症，单侧腹股沟疝。</t>
  </si>
  <si>
    <t>(山东)雷贝拉唑钠肠溶片10mg口服QD、康复新液10ml口服TID、螺内酯片20mg口服QD、呋塞米片20mg口服QD(自备)、复方氨基酸胶囊(8-11)2粒口服TID、恩替卡韦片0.5mg口服QD</t>
  </si>
  <si>
    <t>自身免疫性肝炎后肝硬化失代偿期，轻度贫血，肝硬化伴食管静脉曲张，静脉曲张术后，门脉高压性胃病，低蛋白血症，2型糖尿病，甲状腺功能减退症。</t>
  </si>
  <si>
    <t>2艾司奥美拉唑镁肠溶片40mg口服QD、左甲状腺素钠片12.5ug口服QD</t>
  </si>
  <si>
    <t>自身免疫性肝炎后肝硬化失代偿期，胸腔积液，腹腔积液，脾功能亢进，食管静脉曲张，胃底静脉曲张，门静脉海绵样变，门静脉血栓形成，低蛋白血症，重度贫血，缺铁性贫血，白细胞减少，慢性胃炎，肠道菌群失调，细菌性感染，凝血功能异常，低钾血症。</t>
  </si>
  <si>
    <t>(山东)雷贝拉唑钠肠溶片10mg口服QD，熊去氧胆酸胶囊250mg口服TID，利可君片20mg口服TID，生血宁片0.5g口服TID，(大)双歧杆菌三联活菌肠溶胶囊0.42g口服BID</t>
  </si>
  <si>
    <t>肝硬化失代偿期，胸腔积液，腹腔积液，慢性肝衰竭，消化道出血，原发性胆汁性肝硬化，自身免疫性肝炎？脾功能亢进，门脉高压性胃病，心房颤动，心力衰竭，心功能III级，冠状动脉粥样硬化性心脏病，冠状动脉支架植入后状态，冠状动脉搭桥后状态，低蛋白血症，凝血功能障碍。</t>
  </si>
  <si>
    <t>(山东)雷贝拉唑钠肠溶片10mg口服QD，(浙)瑞舒伐他汀钙片10mg口服QN，利福昔明片0.4g口服TID，琥珀酸美托洛尔缓释片47.5mg口服QD，(可力)地高辛片0.125mg口服QD，熊去氧胆酸胶囊250mg口服BID，螺内酯片20mg口服BID，2米曲菌胰酶片24mg口服TID，短肽型肠内营养剂125g口服QD，(进)普瑞巴林胶囊75mg口服BID，托伐普坦片7.5mg口服QD(自备)，呋塞米片20mg口服QD(自备)，聚普瑞锌颗粒75mg口服QD(自备)</t>
  </si>
  <si>
    <t>赵春生</t>
  </si>
  <si>
    <t>肝硬化失代偿期，自身免疫性肝炎？，IgG4相关性疾病，低蛋白血症，贫血。</t>
  </si>
  <si>
    <t>2米曲菌胰酶片48mg口服TID、(大)双歧杆菌三联活菌肠溶胶囊0.42g口服TID</t>
  </si>
  <si>
    <t>石秀英</t>
  </si>
  <si>
    <t>慢性肝衰竭，肝硬化失代偿期，脾术后，门静脉高压，腹水，肝囊肿，胆囊结石，肿瘤标记物升高</t>
  </si>
  <si>
    <t>复方氨基酸胶囊(8-11)2粒口服TID，2米曲菌胰酶片48mg口服TID，(大)双歧杆菌三联活菌肠溶胶囊0.84g口服BID，2艾司奥美拉唑镁肠溶片40mg口服QD</t>
  </si>
  <si>
    <t>刘鑫</t>
  </si>
  <si>
    <t>慢性肝衰竭，肝硬化，肝功能不全，酒精性脂肪肝，结肠良性肿瘤，肺栓塞，高血压病3级（极高危），冠状动脉性心脏病，2型糖尿病，慢性阻塞性肺病，胆总管扩张，肿瘤标记物升高，低蛋白血症，贫血</t>
  </si>
  <si>
    <t>(国)富马酸比索洛尔片 5mg口服QD，(75mg)硫酸氢氯吡格雷片75mg口服QD，普罗布考片0.5g口服 BID，熊去氧胆酸胶囊250mg口服BID，康复新液10ml口服TID，多烯磷脂酰胆碱胶囊228mg口服TID，利福昔明片 0.4g口服BID，2艾司奥美拉唑镁肠溶片40mg口服QD</t>
  </si>
  <si>
    <t>曹建俊</t>
  </si>
  <si>
    <t>肝硬化伴食管静脉曲张破裂出血，门脉高压性胃病，脾功能亢进，缺铁性贫血，低蛋白血症，2型糖尿病，高凝状态，低钙血症，</t>
  </si>
  <si>
    <t>2甘草酸二铵肠溶胶囊150mg口服TID，腺苷蛋氨酸肠溶片1g口服BID，利福昔明片0.4g口服TID，(山东)雷贝拉唑钠肠溶片10mg口服QD，康复新液10ml口服TID，(国)孟鲁司特钠片10mg口服QD，多磺酸粘多糖乳膏1g外涂ST</t>
  </si>
  <si>
    <t>张秀森</t>
  </si>
  <si>
    <t>系统性红斑狼疮，狼疮性脑病，肝硬化伴食管静脉曲张，低蛋白血症，皮疹，脾大，血小板减少，自身免疫性肝炎？，胆囊结石，乳腺术后，梅尼埃（美尼尔）病</t>
  </si>
  <si>
    <t>甲泼尼龙片32mg口服QD、(山东)雷贝拉唑钠肠溶片10mg口服BID、利福昔明片0.4g口服TID、利可君片20mg口服TID、2甘草酸二铵肠溶胶囊150mg口服TID、乳果糖口服溶液15ml口服BID、熊去氧胆酸胶囊500mg口服BID、(国)氯化钾缓释片0.5g口服TID</t>
  </si>
  <si>
    <t>张棠棣</t>
  </si>
  <si>
    <t>多浆膜腔积液，肝硬化，干燥综合征？，胸腔积液，腹水，低蛋白血症，贫血，血糖升高，胆囊术后，胃溃疡，高血压病1级（低危），高凝状态，肿瘤标记物升高</t>
  </si>
  <si>
    <t>(力)呋塞米片20mg口服QD，螺内酯片20mg口服BID，复方氨基酸胶囊(8-11)2粒口服TID，2瑞巴派特片0.1g口服TID，生血宁片0.5g口服TID</t>
  </si>
  <si>
    <t>肝硬化失代偿期，消化道出血，低蛋白血症，肝硬化伴食管胃底静脉曲张术后，肝术后，高血压病1级（极高危），2型糖尿病，缺血性贫血，肝囊肿，胆囊结石，双下肢水肿</t>
  </si>
  <si>
    <t>康复新液10ml口服TID，硫普罗宁肠溶片0.1g口服TID，兰索拉唑口崩片30mg口服QD，2瑞巴派特片0.1g口服TID，螺内酯片20mg口服BID，(力)呋塞米片20mg口服QD，利福昔明片0.4g口服TID，阿卡波糖片50mg口服TID，复方氨基酸胶囊(8-11)2粒服TID</t>
  </si>
  <si>
    <t>石金宝</t>
  </si>
  <si>
    <t>酒精性肝硬化（失代偿期），腹腔积液，脾功能亢进，肝硬化伴食管静脉曲张，胆汁淤积型肝炎，乙肝恢复期，低蛋白血症，贫血</t>
  </si>
  <si>
    <t>熊去氧胆酸胶囊250mg口服TID，双环醇片50mg口服TID，螺内酯片20mg口服BID，利可君片20mg口服TID，复方氨基酸胶囊(8-11)2粒口服TID，腺苷蛋氨酸肠溶片1g口服BID，自备:呋塞米片20mg口服QD</t>
  </si>
  <si>
    <t>梁茹</t>
  </si>
  <si>
    <t>肝硬化失代偿期，食管胃底静脉曲张伴出血？，消化道出血，重度贫血，高血压病3级（极高危），2型糖尿病</t>
  </si>
  <si>
    <t>螺内酯片20mg口服BID，呋塞米片20mg口服BID，乳果糖口服溶液15ml口服QD，伊托必利片50mg口服TID，复方氨基酸胶囊(8-11)2粒口服TID，(金)卡维地洛片10mg口服QD</t>
  </si>
  <si>
    <t>梅翠玲</t>
  </si>
  <si>
    <t>原发性胆汁型肝硬化（失代偿期），腹腔积液，重叠综合症，其他的？，肿瘤标记物，胆囊结石，低蛋白血症，2型糖尿病，冠状动脉粥样硬化性心脏病</t>
  </si>
  <si>
    <t>熊去氧胆酸胶囊250mg口服TID，螺内酯片20mg口服BID，腺苷蛋氨酸肠溶片1g口服BID，利福昔明片0.4g口服TID</t>
  </si>
  <si>
    <t>肝硬化失代偿期，肝性脑病，原发性胆汁性肝硬化伴食管静脉曲张，自身免疫性肝炎，脾大，低蛋白血症，高凝状态，带状疱疹不带有并发症；胃溃疡，慢性胃炎，胆囊结石，慢性胆囊炎</t>
  </si>
  <si>
    <t>腺苷蛋氨酸肠溶片1g口服QD，利福昔明片0.4g口服TID，乳果糖口服溶液15ml口服BID，螺内酯片20mg口服BID，2瑞巴派特片0.1g口服TID，(进)普瑞巴林胶囊75mg口服BID，(博)甲钴胺片0.5mg口服TID，2盐酸伐昔洛韦分散片 0.3g 口服 BID</t>
  </si>
  <si>
    <t xml:space="preserve">赵宁宁                                                                                                                                                                                                                                                                                                                                                                                                                                                                                                                                                                                                                                                                                                                                                                                                                                                                                                                                                                                                                                                                                                                                                                                                                                                                                                                                                                                                                                                                                                                                                                                                                                                                                                                                                                                                                                                                                                                                                                                                                                                                                                                                                                                                                                                                                                                                                                                                                                                                                                                                                                                                                                                                                                                                                                                                                                                                                                                                                                                                                                                                                                                                                                                                                                                                                                                                                                                                                                                                                                                                                                                                                                                                                                                                                                                                                                                                                                                                                                                                                                                                                                                                                                                                                                                                                                                                                                                                                                                                                                                                                                                                                                                                                                                                                                                                                                                                                                                                                                                                                                                                                                                                                                                                                                                                                                                                                                                                                                                                                                                                                                                                                                                                                                                                                                                                                                                                                                                                                                                                                                                                                                                                                                                                                                                                                                                                                                                                                                                                                                                                                              . b </t>
  </si>
  <si>
    <t>消化道出血，乙肝后肝硬化，肝硬化伴食管静脉曲张，脾大，血小板减少，中度贫血，门静脉高压，腹腔积液，肠系膜上静脉血栓形成，高胆红素血症，慢性胃炎</t>
  </si>
  <si>
    <t>止咳合剂10ml口服TID，雷贝拉唑钠肠溶片10mg口服QD，康复新液10ml口服TID，恩替卡分散片0.5mg口服QD</t>
  </si>
  <si>
    <t>原发性胆汁性肝硬化伴食管静脉曲张破裂出血，自身免疫性肝炎，肝硬化失代偿期，凝血功能异常，脾大，门静脉高压，胆囊炎，子宫切除后状态</t>
  </si>
  <si>
    <t>熊去氧胆酸胶囊250mg口服TID、2甘草酸二铵肠溶胶囊150mg口服BID、利可君片20mg口服TID、(金)卡维地洛片2.5mg口服QD、(力)多糖铁复合物胶囊0.3g口服QD、复方氨基酸胶囊(8-11)2粒口服TID、(2瑞)雷贝拉唑钠肠溶片10mg口服QD</t>
  </si>
  <si>
    <t>赵秀锦</t>
  </si>
  <si>
    <t>乙型肝炎后肝硬化失代偿期，胃底静脉曲张，食管静脉曲张，门静脉血栓形成，低蛋白血症，腹腔积液，肝功能不全，凝血功能异常，脾大，白细胞减少，轻度贫血，血小板减少，肺部阴影，胆囊结石</t>
  </si>
  <si>
    <t>复方氨基酸胶囊(8-11)2粒口服TID、雷贝拉唑钠肠溶片10mg口服QD、硫普罗宁肠溶片0.2g口服TID、螺内酯片20mg口服BID、呋塞米片20mg口服QD(自备)</t>
  </si>
  <si>
    <t>肝硬化伴食管静脉曲张破裂出血，乙型肝炎后肝硬化失代偿期，脾大，门脉高压性胃病，低蛋白血证，腹腔积液，慢性胃炎，肾功能不全，阵发性心房颤动，肥厚性心肌病，心功能不全，高血压病2级（极高危）</t>
  </si>
  <si>
    <t>复方氨基酸胶囊(8-11)1粒口服TID，雷贝拉唑钠肠溶片10mg口服QD，康复新液10ml口服TID</t>
  </si>
  <si>
    <t>2024.5.22</t>
  </si>
  <si>
    <t>2024.6.21</t>
  </si>
  <si>
    <t>慢性肝衰竭 肝硬化失代偿期 胃溃疡 十二指肠球部溃疡 自身免疫性肝炎后肝硬化 低蛋白血症 胆囊结石 低钠血症 营养风险 高凝状态 下肢静脉血栓形成 肺部感染</t>
  </si>
  <si>
    <t>中大量</t>
  </si>
  <si>
    <t>(吉)左氧氟沙星片0.5g口服QD、乳果糖口服溶液15ml口服QD、甲泼尼龙片4mg口服QD、(泰丰)骨化三醇软胶囊0.25ug口服QD、2瑞巴派特片0.1g口服TID、熊去氧胆酸胶囊250mg口服TID、利福昔明片0.4g口服TID、利可君片20mg口服TID、2桉柠蒎肠溶胶囊0.3g口服TID、螺内酯片40mg口服QD、(山东)雷贝拉唑钠肠溶片10mg口服BID、(国)氯化钾缓释片1g口服TID、(力)呋塞米片20mg口服QD、康复新液10ml口服TID</t>
  </si>
  <si>
    <t>何鸣</t>
  </si>
  <si>
    <t>2024.5.20</t>
  </si>
  <si>
    <t>2024.5.28</t>
  </si>
  <si>
    <t>下消化道出血 肝硬化伴食管静脉曲张 反流性胃炎 慢性浅表性胃炎 小肠黏膜糜烂 低蛋白血症 低钙血症 低钾血症 胆囊结石</t>
  </si>
  <si>
    <t>康复新液10ml口服TID，(山东)雷贝拉唑钠肠溶片10mg口服QD，复方氨基酸胶囊(8-11)2粒口服TID，替普瑞酮50mg口服TID(自备)</t>
  </si>
  <si>
    <t>孙领弟</t>
  </si>
  <si>
    <t>2024.5.18</t>
  </si>
  <si>
    <t>2024.5.30</t>
  </si>
  <si>
    <t>肝硬化失代偿期 消化道出血 门脉高压性胃肠病 轻度食管静脉曲张 中度贫血 低蛋白血症 高凝状态高血压病3级极高危 2型糖尿病 冠状动脉粥样硬化性心脏病 子宫切除术后状态 肿瘤标记物升高 结肠良性肿瘤</t>
  </si>
  <si>
    <t>腺苷蛋氨酸肠溶片1g口服QD，沙利度胺片50mg口服QD，乳果糖口服溶液15ml口服QD</t>
  </si>
  <si>
    <t>宋立平</t>
  </si>
  <si>
    <t>2024.6.5</t>
  </si>
  <si>
    <t>2024.6.13</t>
  </si>
  <si>
    <t>乙型肝炎后肝硬化失代偿期 白细胞减少 血小板减少 中度贫血 凝血功能异常 心功能不全 高血压病1级低危 具有心脏起搏器 肿瘤标记物升高</t>
  </si>
  <si>
    <t>复方氨基酸胶囊(8-11)2粒口服TID、螺内酯片20mg口服TID、氯化钾缓释片0.5g口服TID、恩替卡片0.5mg口服QD、雷贝拉唑钠肠溶片10mg口服QD、熊去氧胆酸胶囊250mg口服BID</t>
  </si>
  <si>
    <t>胃毛细血管扩张症，肝硬化失代偿期，自身免疫性肝硬化？，肝硬化伴食管胃底静脉曲张，门脉高压胃肠病，缺铁性贫血</t>
  </si>
  <si>
    <t>利可君片20mg口服TID、瑞巴派特片0.1g口服TID、康复新液10ml口服TID、雷贝拉唑钠肠溶片10mg口服QD、熊去氧胆酸胶囊250mg口服TID</t>
  </si>
  <si>
    <t>消化道出血，急性胃黏膜病变？肝硬化，脾大，低蛋白血症，2型糖尿病，高血压病3级（极高危），胆囊结石，心功能不全，慢性阻塞性肺病，陈旧性肺结核，凝血功能异常</t>
  </si>
  <si>
    <t>铝碳酸镁咀嚼片0.5g口服TID、(大)双歧杆菌三联活菌肠溶胶囊0.42g口服BID、硝苯地平控释片30mg口服QD、(浙)厄贝沙坦片75mg口服QD、螺内酯片40mg口服QD、奥美拉唑镁肠溶片20mg口服QD、康复新液10ml口服TID，呋塞米片口服20mgBID自备、门冬胰岛素注射液三餐前8iu皮下自备、甘精胰岛素注射液8iu皮下自备、布地格福吸入气雾剂2喷BID自备</t>
  </si>
  <si>
    <t>董长锁</t>
  </si>
  <si>
    <t>消化道出血，肝硬化伴食管静脉曲张，小肠粘膜糜烂伴出血，酒精性肝硬化失代偿期，贫血，结缔组织病？</t>
  </si>
  <si>
    <t>康复新液10ml口服TID、(山东)雷贝拉唑钠肠溶片10mg口服QD、普萘洛尔5mgTID(自备)</t>
  </si>
  <si>
    <t>张鹏</t>
  </si>
  <si>
    <t>肝硬化失代偿期，肝硬化伴食管胃底静脉曲张，胸腔积液，低蛋白血症，凝血功能异常，电解质紊乱，便秘</t>
  </si>
  <si>
    <t>(力)呋塞米片20mg口服QD，双环醇片25mg口服TID，熊去氧胆酸胶囊250mg口服TID，螺酯片40mg口服BID</t>
  </si>
  <si>
    <t>肝硬化失代偿期，原发性胆汁性胆管炎？脾功能亢进，消化道出血？高脂血症，低蛋白血症，肝功能不全，全血细胞减少</t>
  </si>
  <si>
    <t>(金)卡维地洛片10mg口服QD、非诺贝特胶囊0.2g口服QD、熊去氧胆酸胶囊250mg口服TID、利可君片20mg口服TID、利福昔明片0.2g口服QID、乳果糖口服溶液15ml口服TID、复方氨基酸胶囊(8-11)2粒口服TID、双环醇片50mg口服TID</t>
  </si>
  <si>
    <t>王俊英</t>
  </si>
  <si>
    <t>肝性脑病，肝硬化，电解质紊乱，低蛋白血症，结缔组织病，间质性肺病，肿瘤标记物升高</t>
  </si>
  <si>
    <t>肝硬化伴食管胃底静脉曲张破裂出血，消化道出血，酒精性肝硬化，凝血功能异常，电解质紊乱，高血压病1级（高危），冠状动脉粥样硬化性心脏病，肿瘤标记物升高</t>
  </si>
  <si>
    <t>硫普罗宁肠溶片0.2g口服TID，乳果糖口服溶液15ml口服BID，康复新液10ml口服TID，(金)卡维地洛片5mg口服QD，螺内酯片20mg口服QD，熊去氧胆酸胶囊250mg口服TID，生血宁片0.5g口服TID</t>
  </si>
  <si>
    <t>刘艳平</t>
  </si>
  <si>
    <t>消化道出血 肠系膜上静脉血栓形成 乙肝后肝硬化失代偿期 脾功能亢进 腹腔积液 白细胞减少 凝血功能异常 电解质紊乱</t>
  </si>
  <si>
    <t>(大)利伐沙班片20mg口服QD，2艾司奥美拉唑镁肠溶片40mg口服QD，螺内酯片40mg口服BID，呋塞米20mg口服BID，(苏)恩替卡韦分散片0.5mg口服QN(自备)</t>
  </si>
  <si>
    <t>宫大用</t>
  </si>
  <si>
    <t>肝硬化伴食管胃底静脉曲张破裂出血 酒精性肝硬化失代偿期 结肠炎？ 弥散性血管内凝血？ 脾功能亢进 门静脉血栓形成 腹腔积液 凝血功能异常 低纤维蛋白原血症 慢性肾病3期 2型糖尿病 肿瘤标记物升高 电解质代谢紊乱 肠道菌群失调</t>
  </si>
  <si>
    <t>(力)呋塞米片20mg口服QD，螺内酯片40mg口服QD，2艾司奥美拉唑镁肠溶片40mg口服QD，康复新液10ml口服TID，乳果糖口服溶液15ml口服BID，(大)双歧杆菌三联活菌肠溶胶囊0.42g口服TID</t>
  </si>
  <si>
    <t>黄书进</t>
  </si>
  <si>
    <t>食管胃底静脉曲张破裂出血 肝硬化 脾功能亢进 血小板减少 门静脉高压 肝囊肿 胆囊结石 凝血功能异常 肝功能不全 电解质紊乱</t>
  </si>
  <si>
    <t>肝硬化伴食管胃底静脉曲张 原发性胆汁性胆管炎 自身免疫性肝炎？ 门脉高压性胃病 血小板减少 高氨血症 高胆红素血症 高胆固醇血症 肿瘤标记物升高 高血压病2级</t>
  </si>
  <si>
    <t>甲泼尼龙片8mg口服QD，吗替麦考酚酯片0.5g口服BID(自备)，骨化三醇软胶囊0.25ug口服QD(自备)，熊去氧胆酸胶囊250mg口服TID(自备）</t>
  </si>
  <si>
    <t>自身免疫性肝炎后肝硬化失代偿期、食管胃底静脉曲张、胃肠道毛细血管扩张症、门脉高压性胃病、腹水、胸水、重度贫血、三系减低、凝血异常、电解质代谢紊乱、低蛋白血症、高胆红素血症、CA125升高</t>
  </si>
  <si>
    <t>雷贝拉唑钠肠溶片10mg口服QD，熊去氧胆酸胶囊250mg口服BID，利可君片20mg口服BID，螺内酯片40mg口服QD，氯化钾缓释片2g口服TID，呋塞米片20mg口服QD</t>
  </si>
  <si>
    <t>洪清顺</t>
  </si>
  <si>
    <t>酒精性肝硬化失代偿期、肝性脑病、腹水、肝功不全、低蛋白血症、凝血异常、高血压病3级、胃底静脉曲张、心功能不全、电解质紊乱</t>
  </si>
  <si>
    <t>熊去氧胆酸胶囊250mg口服TID，乳果糖口服溶液15ml口服BID，利福昔明片0.2g口服QID，螺内酯片40mg口服QD</t>
  </si>
  <si>
    <t>穆祥珍</t>
  </si>
  <si>
    <t>肝硬化伴食管胃底静脉曲张破裂出血、自身免疫性肝硬化？、脾亢、脾大、低蛋白血症、白细胞减少、血小板减少</t>
  </si>
  <si>
    <t>康复新液10ml口服TID，乳果糖口服溶液15ml口服TID，(大)双歧杆菌三联活菌肠溶胶囊0.63g口服BID，2艾司奥美拉唑镁肠溶片40mg口服QD</t>
  </si>
  <si>
    <t>酒精性肝硬化失代偿期、腹水、肝功不全、低蛋白血症、凝血异常、低钾血症、高血压病3级、胃底静脉曲张、心功能不全</t>
  </si>
  <si>
    <t>2瑞巴派特片0.1g口服TID，螺内酯片40mg口服QD，(力)呋塞米片10mg口服QD，奥美拉唑镁肠溶片20mg口服QD，琥珀酸美托洛尔缓释片23.75mg口服QD</t>
  </si>
  <si>
    <t>韩宝玲</t>
  </si>
  <si>
    <t>肝硬化伴食管静脉曲张破裂出血、消化道出血、腹腔积液、肝功能不全、胆汁淤积症、2型糖尿病、门脉高压性胃病、肿瘤标记物升高、低蛋白血症、电解质代谢紊乱、贫血、凝血功能障碍</t>
  </si>
  <si>
    <t>乳果糖口服溶液15ml口服BID、螺内酯片40mg口服QD、2艾司奥美拉唑镁肠溶片40mg口服QD</t>
  </si>
  <si>
    <t>肝硬化失代偿期、肝硬化伴食管静脉曲张、自身免疫性肝炎-原发性胆汁性胆管炎、腹腔积液、消化道出血、重度贫血、肝功能不全、门静脉高压、门脉高压性胃肠病、脾功能亢进、甲旁亢</t>
  </si>
  <si>
    <t>双环醇片25mg口服TID，熊去氧胆酸胶囊250mg口服TID，螺内酯片40mg口服BID，利福昔明片0.2g口服QID，乳果糖口服溶液15ml口服TID，(国)孟鲁司特钠片10mg口服QD，腺苷蛋氨酸肠溶片0.5g口服TID</t>
  </si>
  <si>
    <t>王祥芳</t>
  </si>
  <si>
    <t>肝硬化失代偿期、自身免疫性肝硬化？、脾大、三系减少、低蛋白血症、高氨血症、腹腔积液、血清免疫学异常所见、高胆固醇血症、2型糖尿病、胆囊结石</t>
  </si>
  <si>
    <t>硝苯地平控释片30mg口服QD，乳果糖口服溶液15ml口服QD，氯化钾缓释片1g口服TID，复方氨基酸胶囊(8-11)2粒口服TID，雷贝拉唑钠肠溶片10mg口服QD，熊去氧胆酸胶囊250mg口服TID，螺内酯片40mg口服BID，呋塞米(自备)20mg口服BID</t>
  </si>
  <si>
    <t>酒精性肝硬化伴食管胃底静脉曲张、门静脉高压、脾大、肝功能不全、低蛋白血症、高胆红素血症、高氨血症、白细胞减少、血小板减少、凝血功能异常、高甲胎蛋白血症</t>
  </si>
  <si>
    <t>雷贝拉唑钠肠溶片10mg口服QD，双环醇片25mg口服TID，多烯磷脂酰胆碱胶囊456mg口服TID，卡维地洛片10mg口服QD，复方氨基酸胶囊(8-11)2粒口服TID，乳果糖口服溶液15ml口服BID</t>
  </si>
  <si>
    <t>肝硬化失代偿期、肝性脑病、原发性胆汁性肝硬化伴食管静脉曲张、自身免疫性肝炎、脾大、低蛋白血症、胃溃疡、慢性胃炎、胆囊结石、慢性胆囊炎</t>
  </si>
  <si>
    <t>熊去氧胆酸胶囊250mg口服TID，螺内酯片20mg口服QD，乳果糖口服溶液30ml口服BID，利可君片20mg口服TID，2艾司奥美拉唑镁肠溶片40mg口服QD</t>
  </si>
  <si>
    <t>酒精性肝硬化失代偿期、食管静脉曲张、门脉高压、门脉高压性胃病、高氨、高胆红素、高脂、高血压、糖尿病、陈旧脑梗、肿标升高、三系减低、脾大</t>
  </si>
  <si>
    <t>硝苯地平控释片30mg口服QD，熊去氧胆酸胶囊250mg口服TID，双环醇片25mg口服TID，雷贝拉唑钠肠溶片10mg口服QD</t>
  </si>
  <si>
    <t>王蕴琴</t>
  </si>
  <si>
    <t>原发性胆汁性肝硬化伴食管静脉曲张、腹水、自身免疫性肝炎、腹水、脾大、高血压1级、甲减、嵌顿性脐疝、感染性休克、肠坏死、套叠综合征</t>
  </si>
  <si>
    <t>肝硬化伴食管静脉曲张破裂出血、腹腔积液、肝硬化失代偿期、酒精性肝病、门静脉血栓形成？、冠状动脉性心脏病、高血压病2级（极高危）、2型糖尿病</t>
  </si>
  <si>
    <t>康复新液10ml口服TID、(山东)雷贝拉唑钠肠溶片10mg口服QD、螺内酯片40mg口服QD、非诺贝特胶囊0.2g口服QD、(成)呋塞米注射液20mg口服BID（自备）</t>
  </si>
  <si>
    <t>张润英</t>
  </si>
  <si>
    <t>肝硬化、食管静脉曲张、脾大、高血压</t>
  </si>
  <si>
    <t>马桂和</t>
  </si>
  <si>
    <t>肝硬化、丙型肝炎肝硬化、血小板减少、胆囊结石、反流性食管炎</t>
  </si>
  <si>
    <t>奥美拉唑镁肠溶片20mg口服QD，2米曲菌胰酶片48mg口服TID，(国)铝碳酸镁咀嚼片1g口服TID，复合维生素1片口服QD(自备)</t>
  </si>
  <si>
    <t>孟照霞</t>
  </si>
  <si>
    <t>肝硬化伴食管胃底静脉曲张破裂出血、自身免疫性肝硬化、门静脉高压、心功能不全、胸腔积液、低蛋白血症、结缔组织病、胆囊结石</t>
  </si>
  <si>
    <t>康复新液10ml口服TID，生血宁片0.5g口服BID，兰索拉唑口崩片30mg口服QD</t>
  </si>
  <si>
    <t>杜淑兰</t>
  </si>
  <si>
    <t>丙肝肝硬化失代偿期、腹腔积液、门脉高压性胃病、自发性腹膜炎？、三系减少、凝血功能异常</t>
  </si>
  <si>
    <t>2艾司奥美拉唑镁肠溶片40mg口服QD，熊去氧胆酸胶囊250mg口服TID，螺内酯片20mg口服BID，呋塞米20mg口服BID(自备)，(国)氯化钾缓释片0.5g口服TID，(力)多糖铁复合物胶囊0.15g口服QD，生血宁片0.5g口服TID，氟哌噻吨美利曲辛片10.5mg口服QD，(大)双歧杆菌三联活菌肠溶胶囊0.42g口服BID，(国)头孢地尼胶囊0.1g口服TID(1周后停用)</t>
  </si>
  <si>
    <t>李天香</t>
  </si>
  <si>
    <t>肝硬化、自免肝？、脾大、腹水、三系减少、高凝状态、肿瘤标记物升高</t>
  </si>
  <si>
    <t>熊去氧胆酸胶囊250mg口服QD，(山东)雷贝拉唑钠肠溶片10mg口服QD，生血宁片0.5g口服BID，康复新液10ml口服TID</t>
  </si>
  <si>
    <t>肝硬化伴食管胃底静脉曲张破裂出血、AIH-PBC重叠、血小板减少、凝血功能异常</t>
  </si>
  <si>
    <t>熊去氧胆酸胶囊250mg口服TID，利福昔明片0.2g口服QID，螺内酯片20mg口服BID，2艾司奥美拉唑镁肠溶片40mg口服QD，生血宁片0.5g口服BID</t>
  </si>
  <si>
    <t>陈卫平</t>
  </si>
  <si>
    <t>肝硬化、胃底静脉曲张破裂出血、胆囊术后、脾术后、脾静脉血栓、肠系膜上静脉血栓、门静脉血栓、免疫学异常</t>
  </si>
  <si>
    <t>(金)卡维地洛片10mg口服QD、(力)多糖铁复合物胶囊0.15g口服QD、短肽型肠内营养剂125g口服QD、康复新液10ml口服TID</t>
  </si>
  <si>
    <t>原发性胆汁性肝硬化伴食管静脉曲张破裂出血、肝功能不全、凝血功能异常、低蛋白血症</t>
  </si>
  <si>
    <t>复方氨基酸胶囊(8-11)2粒口服BID、(山东)雷贝拉唑钠肠溶片10mg口服QD、(金)卡维地洛片10mg口服QD、螺内酯片20mg口服BID、熊去氧胆酸胶囊250mg口服TID、硫普罗宁肠溶片0.2g口服BID</t>
  </si>
  <si>
    <t>刘荣玲</t>
  </si>
  <si>
    <t>自身免疫性肝硬化、食管胃底静脉曲张破裂出血、脾术后、低蛋白血症、凝血功能异常、肿瘤标志物升高</t>
  </si>
  <si>
    <t>(国)氯化钾缓释片0.5g口服BID、螺内酯片40mg口服QD、生血宁片0.5g口服BID、复方氨基酸胶囊(8-11)2粒口服TID、(山东)雷贝拉唑钠肠溶片10mg口服QD、熊去氧胆酸胶囊250mg口服TID</t>
  </si>
  <si>
    <t>王春辉</t>
  </si>
  <si>
    <t>克罗恩病？、肝硬化、门静脉高压、脾大、贫血、脂肪肝、肝囊肿</t>
  </si>
  <si>
    <t>王玉武</t>
  </si>
  <si>
    <t>肝硬化、肝功能不全、腹水、肝性脑病？、低蛋白血症、低钾血症、细菌性感染？、血清免疫学异常所见、高血压病2级（极高危）、胆囊切除术后状态</t>
  </si>
  <si>
    <t>利福昔明片0.2g口服QID、(国)氯化钾缓释片1g口服TID、熊去氧胆酸胶囊250mg口服BID、复方氨基酸胶囊(8-11)2粒口服TID、(国)苯酸氨氯地平片5mg口服QD、螺内酯片20mg口服BID、腺苷蛋氨酸肠溶片0.5g口服BID、多烯磷脂酰胆碱胶囊228mg口服TID、乳果糖口服溶液15ml口服BID</t>
  </si>
  <si>
    <t>朱蓉</t>
  </si>
  <si>
    <t>肝硬化伴胃底静脉曲张破裂出血、脾功能亢进、免疫性血小板减少、凝血功能异常、血糖升高、高血压病2级（中危）、血清免疫学异常所见</t>
  </si>
  <si>
    <t>生血宁片0.5g口服BID、(山东)雷贝拉唑钠肠溶片10mg口服QD、康复新液10ml口服TID、(金)卡维地洛片10mg口服QD、苯磺酸左旋氨氯地平5mg口服QD(自备)</t>
  </si>
  <si>
    <t>操龙元</t>
  </si>
  <si>
    <t>消化道出血、乙肝肝硬化、食管静脉曲张、门静脉高压、脾大、慢性胃炎、高血压病3级（极高危）、2型糖尿病、中度贫血、全血细胞减少、单纯性肾囊肿</t>
  </si>
  <si>
    <t>雷贝拉唑钠肠溶片10 mg口服BID，康复新液10ml口服TID，熊去氧胆酸胶囊250mg口服TID</t>
  </si>
  <si>
    <t>郭金祥</t>
  </si>
  <si>
    <t>酒精性肝硬化，肝功能不全，肝性脑病，食管静脉曲张，门脉高压性胃病，高血压病3级极高危，低钾血症，肠道菌群失调</t>
  </si>
  <si>
    <t>复方嗜酸乳杆菌片1g口服TID，(山东)雷贝拉唑钠肠溶片10mg口服QD，利福昔明片0.2g口服QID，熊去氧胆酸胶囊250mg口服TID，乳果糖口服溶液15ml口服BID，利可君片20mg口服TID</t>
  </si>
  <si>
    <t>宋国华</t>
  </si>
  <si>
    <t>乙肝后肝硬化，结肠良性肿瘤，肝功能不全，食管静脉曲张轻度，腹水，低蛋白血症，慢性胃炎，十二指肠溃疡球部，肿瘤标志物升高，凝血功能异常，轻度贫血，白细胞减少，肠道菌群失调，脾大，胆囊结石</t>
  </si>
  <si>
    <t>熊去氧胆酸胶囊250mg口服TID，自备:强肝胶囊、恩替卡分散片、螺内酯、呋塞米</t>
  </si>
  <si>
    <t>食管静脉曲张破裂出血、自身免疫性肝炎、肝硬化、门脉高压、肝功不全、白细胞减少、低蛋白血症、腹水</t>
  </si>
  <si>
    <t>(力)醋酸泼尼松片15mg口服QD，熊去氧胆酸胶囊250mg口服TID，利可君片20mg口服TID，双环醇片25mg口服TID，康复新液10ml口服TID，兰索拉唑口崩片30mg口服QD</t>
  </si>
  <si>
    <t>刘海龙</t>
  </si>
  <si>
    <t>乙肝后肝硬化、肝功不全、胆汁淤积、IgG4相关性疾病？、2型糖尿病、高脂血症、凝血功能异常、肿标升高、脂肪肝</t>
  </si>
  <si>
    <t>熊去氧胆酸胶囊500mg口服BID，利可君片20mg口服TID</t>
  </si>
  <si>
    <t>肝硬化失代偿期、肝性脑病、自身免疫性肝炎、低蛋白血症、肿标升高、轻度贫血、白细胞减少</t>
  </si>
  <si>
    <t>2024.11.28</t>
  </si>
  <si>
    <t>2024.12.10</t>
  </si>
  <si>
    <t>5</t>
  </si>
  <si>
    <t>12</t>
  </si>
  <si>
    <t>胃底静脉曲张伴出血，酒精性肝硬化（失代偿期），食管静脉曲张，慢性胃炎，结肠息肉，缺铁性贫血，低蛋白血症，2型糖尿病，高血压3级（极高危）</t>
  </si>
  <si>
    <t>1</t>
  </si>
  <si>
    <t>0</t>
  </si>
  <si>
    <t>2.77</t>
  </si>
  <si>
    <t>81</t>
  </si>
  <si>
    <t>1.07</t>
  </si>
  <si>
    <t>32</t>
  </si>
  <si>
    <t>8.1</t>
  </si>
  <si>
    <t>68</t>
  </si>
  <si>
    <t>142</t>
  </si>
  <si>
    <t>2艾司奥美拉唑镁肠溶片40mg口服QD、康复新液10ml口服TID、复方氨基酸胶囊(8-11)2粒口服TID、利可君片20mg口服TID</t>
  </si>
  <si>
    <t>杨胜利</t>
  </si>
  <si>
    <t>2024.12.9</t>
  </si>
  <si>
    <t>11</t>
  </si>
  <si>
    <t>肝硬化伴食管胃底静脉曲张破裂出血，消化道出血，慢性胃炎，乙型肝炎后肝硬化失代偿期，高血压病2级（中危），脾大，血小板减少，门静脉高压</t>
  </si>
  <si>
    <t>2.96</t>
  </si>
  <si>
    <t>140</t>
  </si>
  <si>
    <t>1.28</t>
  </si>
  <si>
    <t>40</t>
  </si>
  <si>
    <t>24.7</t>
  </si>
  <si>
    <t>72</t>
  </si>
  <si>
    <t>143</t>
  </si>
  <si>
    <t>奥美拉唑镁肠溶片20mg口服BID、康复新液10ml口服TID、2瑞巴派特片0.1g口服TID、复方氨基酸胶囊2粒口服TID、恩替卡韦0.5mg口服QD</t>
  </si>
  <si>
    <t>李少奎</t>
  </si>
  <si>
    <t>2024.12.17</t>
  </si>
  <si>
    <t>19</t>
  </si>
  <si>
    <t>食管胃底静脉曲张破裂出血，乙型肝炎后肝硬化失代偿期，门脉高压性胃病，脾术后，低蛋白血症，贫血，凝血功能异常，腹水</t>
  </si>
  <si>
    <t>3</t>
  </si>
  <si>
    <t>6.47</t>
  </si>
  <si>
    <t>100</t>
  </si>
  <si>
    <t>26.6</t>
  </si>
  <si>
    <t>61</t>
  </si>
  <si>
    <t>腺苷蛋氨酸肠溶片0.5g口服BID、(吉)左氧氟沙星片0.5g口服QD、2瑞巴派特片0.1g口服TID、恩替卡韦片0.5mg口服QD、复方氨基酸胶囊(8-11)2粒口服TID、止咳合剂10ml口服TID、康复新液10m口服TID</t>
  </si>
  <si>
    <t>李军</t>
  </si>
  <si>
    <t>2024.11.4</t>
  </si>
  <si>
    <t>2024.11.8</t>
  </si>
  <si>
    <t>4</t>
  </si>
  <si>
    <t>肝硬化，乙型肝炎肝硬化？酒精性肝硬化？肝功能不全，高血压病3级（极高危），冠心病，陈旧性心梗</t>
  </si>
  <si>
    <t>7.12</t>
  </si>
  <si>
    <t>152</t>
  </si>
  <si>
    <t>14.4</t>
  </si>
  <si>
    <t>49</t>
  </si>
  <si>
    <t>141</t>
  </si>
  <si>
    <t>韩富强</t>
  </si>
  <si>
    <t>2024.11.5</t>
  </si>
  <si>
    <t>2024.11.13</t>
  </si>
  <si>
    <t>8</t>
  </si>
  <si>
    <t>消化道出血，酒精性肝硬化伴胃底静脉曲张，门静脉高压，脾大，凝血功能异常，门静脉血栓形成，高氨血症，贫血，高血压病2级（极高危），脑梗个人史，脑出血个人史</t>
  </si>
  <si>
    <t>2</t>
  </si>
  <si>
    <t>3.63</t>
  </si>
  <si>
    <t>1.66</t>
  </si>
  <si>
    <t>30</t>
  </si>
  <si>
    <t>12.2</t>
  </si>
  <si>
    <t>52</t>
  </si>
  <si>
    <t>董玉朋</t>
  </si>
  <si>
    <t>2024.11.18</t>
  </si>
  <si>
    <t>2024.12.2</t>
  </si>
  <si>
    <t>14</t>
  </si>
  <si>
    <t>肝硬化失代偿期，脾大，腹水，食管静脉曲张，直肠静脉曲张，脂肪肝，胰腺肿物，缺铁性贫血，十二指肠溃疡，低蛋白血症，肝囊肿</t>
  </si>
  <si>
    <t>7.28</t>
  </si>
  <si>
    <t>86</t>
  </si>
  <si>
    <t>1.41</t>
  </si>
  <si>
    <t>53.1</t>
  </si>
  <si>
    <t>41</t>
  </si>
  <si>
    <t>138</t>
  </si>
  <si>
    <t>生血宁片0.5g口服TID、熊去氧胆酸胶囊250mg口服TID、复方氨基酸胶囊(8-11)2粒口服TID、腺苷蛋氨酸肠溶片1g口服QD、康复新液10ml口服TID、(山东)雷贝拉唑钠肠溶片10mg口服BID、2瑞巴派特片0.1g口服TID</t>
  </si>
  <si>
    <t>毛守萍</t>
  </si>
  <si>
    <t>2024.11.17</t>
  </si>
  <si>
    <t>2024.11.23</t>
  </si>
  <si>
    <t>6</t>
  </si>
  <si>
    <t>原发性胆汁性肝硬化，肝硬化伴食管胃底静脉曲张破裂出血，结缔组织病，十二指肠炎</t>
  </si>
  <si>
    <t>5.77</t>
  </si>
  <si>
    <t>94</t>
  </si>
  <si>
    <t>1.29</t>
  </si>
  <si>
    <t>29</t>
  </si>
  <si>
    <t>17.1</t>
  </si>
  <si>
    <t>33</t>
  </si>
  <si>
    <t>144</t>
  </si>
  <si>
    <t>(国)氯化钾缓释片1g口服BID，硝苯地平控释片30mg口服QD，(金)卡维地洛片10mg口服QD，熊去氧胆酸胶囊250mg口服TID，康复新液10ml口服TID，磷酸铝凝胶20g口服TID</t>
  </si>
  <si>
    <t>王金凤</t>
  </si>
  <si>
    <t>2024.10.27</t>
  </si>
  <si>
    <t>2024.10.31</t>
  </si>
  <si>
    <t>消化道出血，肝硬化伴食管胃底静脉曲张，肝硬化失代偿期，脂肪肝，低蛋白血症，门静脉高压，脾大，高血压病2级(中危）</t>
  </si>
  <si>
    <t>3.17</t>
  </si>
  <si>
    <t>89</t>
  </si>
  <si>
    <t>1.1</t>
  </si>
  <si>
    <t>28</t>
  </si>
  <si>
    <t>5.9</t>
  </si>
  <si>
    <t>44</t>
  </si>
  <si>
    <t>熊去氧胆酸胶囊250mg口服TID、兰索拉唑口崩片30mg口服QD、康复新液10ml口服TID</t>
  </si>
  <si>
    <t>2024.10.21</t>
  </si>
  <si>
    <t>2024.11.1</t>
  </si>
  <si>
    <t>丙型肝炎后肝硬化失代偿期，腹水，脾大，食管静脉曲张，门脉高压性胃病，白细胞减少，自发性腹膜炎？血小板减少，缺铁性贫血，凝血功能异常，肿瘤标记物升高，高尿酸血症</t>
  </si>
  <si>
    <t>5.88</t>
  </si>
  <si>
    <t>118</t>
  </si>
  <si>
    <t>1.45</t>
  </si>
  <si>
    <t>36</t>
  </si>
  <si>
    <t>11.8</t>
  </si>
  <si>
    <t>80</t>
  </si>
  <si>
    <t>2艾司奥美拉唑镁肠溶片40mg口服QD，(大)双歧杆菌三联活菌肠溶胶囊0.42g口服BID，螺内酯片20mg口服BID，熊去氧胆酸胶囊250mg口服TID，(国)注射用艾司奥美拉唑钠40mg口服QD</t>
  </si>
  <si>
    <t>2024.10.8</t>
  </si>
  <si>
    <t>2024.10.17</t>
  </si>
  <si>
    <t>9</t>
  </si>
  <si>
    <t>胃底静脉曲张破裂出血，酒精性肝硬化（失代偿期），低蛋白血症，2型糖尿病，高血压病3级（极高危），凝血功能障碍</t>
  </si>
  <si>
    <t>2.89</t>
  </si>
  <si>
    <t>70</t>
  </si>
  <si>
    <t>1.17</t>
  </si>
  <si>
    <t>37</t>
  </si>
  <si>
    <t>7.1</t>
  </si>
  <si>
    <t>73</t>
  </si>
  <si>
    <t>139</t>
  </si>
  <si>
    <t>复方氨基酸胶囊(8-11)2粒口服TID，2瑞巴派特片0.1g口服TID，2艾司奥美拉唑镁肠溶片40mg口服QD</t>
  </si>
  <si>
    <t>张万芳</t>
  </si>
  <si>
    <t>2024.11.11</t>
  </si>
  <si>
    <t>2024.11.19</t>
  </si>
  <si>
    <t>自身免疫性肝炎后肝硬化，肝硬化伴食管胃底静脉曲张，肝性脑病，脾大，腹水，慢性胃炎</t>
  </si>
  <si>
    <t>1.72</t>
  </si>
  <si>
    <t>93</t>
  </si>
  <si>
    <t>1.37</t>
  </si>
  <si>
    <t>27</t>
  </si>
  <si>
    <t>49.2</t>
  </si>
  <si>
    <t>2艾司奥美拉唑镁肠溶片40mg口服QD，螺内酯片40mg口服QD，复方甘草酸苷片2片口服TID，乳果糖口服溶液15ml口服TID，利可君片20mg口服QD，利福昔明片0.2g口服QID</t>
  </si>
  <si>
    <t>2024.10.28</t>
  </si>
  <si>
    <t>2024.11.15</t>
  </si>
  <si>
    <t>7</t>
  </si>
  <si>
    <t>18</t>
  </si>
  <si>
    <t>酒精性肝硬化伴食管静脉曲张破裂出血，门脉高压性胃病，腹水，脾亢，门静脉血栓形成，低蛋白血症，肝性脑病，肝功能不全，凝血功能异常，贫血，血小板减少，肺部感染，肺部隐形（肺结节），2型糖尿病，胆囊结石</t>
  </si>
  <si>
    <t>7.21</t>
  </si>
  <si>
    <t>85</t>
  </si>
  <si>
    <t>1.32</t>
  </si>
  <si>
    <t>35</t>
  </si>
  <si>
    <t>28.3</t>
  </si>
  <si>
    <t>108</t>
  </si>
  <si>
    <t>164</t>
  </si>
  <si>
    <t>(力)呋塞米片20mg口服BID，复方氨基酸胶囊(8-11)2粒口服TID，2艾司奥美拉唑镁肠溶片40mg口服QD，螺内酯片20mg口服BID，托伐普坦片3.75mg口服QD[自备]</t>
  </si>
  <si>
    <t>王桂英</t>
  </si>
  <si>
    <t>2024.11.2</t>
  </si>
  <si>
    <t>肝硬化失代偿期，原发性胆汁型肝硬化？自身免疫性肝炎？脾大，脾亢，全血细胞减少，低蛋白血症，腹水，肾功能不全，高尿酸血症</t>
  </si>
  <si>
    <t>2.82</t>
  </si>
  <si>
    <t>28.6</t>
  </si>
  <si>
    <t>78</t>
  </si>
  <si>
    <t>张红艳</t>
  </si>
  <si>
    <t>2024.11.30</t>
  </si>
  <si>
    <t>15</t>
  </si>
  <si>
    <t>肝硬化伴食管静脉曲张破裂出血，肝硬化失代偿期，全血细胞减少，低蛋白血症，脾大，门静脉血栓形成，原发性胆汁型肝硬化，混合型结缔组织病，甲状腺功能减退，心包积液，肺不张，子宫平滑肌瘤，肝功能不全</t>
  </si>
  <si>
    <t>1.89</t>
  </si>
  <si>
    <t>7.6</t>
  </si>
  <si>
    <t>熊去氧胆酸胶囊250mg口服TID，利可君片20mg口服TID，富马酸伏诺拉生片20mg口服QD，(国)铝碳酸镁咀嚼片1g口服TID，(大)双歧杆菌三联活菌肠溶胶囊0.63g口服BID[自备]，(顺)胰酶肠溶胶囊0.45g口服TID[自备]</t>
  </si>
  <si>
    <t>贾国祥</t>
  </si>
  <si>
    <t>2024.11.22</t>
  </si>
  <si>
    <t>2024.12.7</t>
  </si>
  <si>
    <t>肝硬化失代偿期，腹水，低蛋白血症，银屑病，中度贫血，血小板减少，凝血功能异常，电解质紊乱，高尿酸血症</t>
  </si>
  <si>
    <t>13.21</t>
  </si>
  <si>
    <t>1.91</t>
  </si>
  <si>
    <t>31</t>
  </si>
  <si>
    <t>93.2</t>
  </si>
  <si>
    <t>65</t>
  </si>
  <si>
    <t>135</t>
  </si>
  <si>
    <t>(希)头孢克洛缓释片0.375g口服BID、(力)呋塞米片20mg口服QD、熊去氧胆酸胶囊250mg口服TID、螺内酯片100mg口服QD、复方甘草酸苷片3片口服TID、复方氨基酸胶囊(8-11)2粒服TID</t>
  </si>
  <si>
    <t>颜祥</t>
  </si>
  <si>
    <t>2024.12.4</t>
  </si>
  <si>
    <t>2024.12.25</t>
  </si>
  <si>
    <t>21</t>
  </si>
  <si>
    <t>酒精性肝硬化，肝硬化失代偿期，腹水，脾大，低蛋白血症，嗜酸性粒细胞增多？淋巴结增大，淋巴瘤？IgG4相关性疾病？全血细胞减少，肺诊断性影像异常</t>
  </si>
  <si>
    <t>1.47</t>
  </si>
  <si>
    <t>75</t>
  </si>
  <si>
    <t>1.38</t>
  </si>
  <si>
    <t>26</t>
  </si>
  <si>
    <t>19.3</t>
  </si>
  <si>
    <t>133</t>
  </si>
  <si>
    <t>134</t>
  </si>
  <si>
    <t>(希)头孢克洛缓释片0.375g口服BID、(力)呋塞米片20mg口服BID、利可君片20mg口服TID、熊去氧胆酸胶囊250mg口服TID、(山东)雷贝拉唑钠肠溶片10mg口服QD、(大)双歧杆菌三联活菌肠溶胶囊0.84g口服BID、螺内酯片100mg口服QD、(国)孟鲁司特钠片10mg口服QN</t>
  </si>
  <si>
    <t>2024.12.3</t>
  </si>
  <si>
    <t>2024.12.18</t>
  </si>
  <si>
    <t>酒精性肝硬化，肝硬化失代偿期，肝硬化伴食管胃底静脉曲张，肝性脑病，贫血，低蛋白血症，白细胞减少，血小板减少，肿瘤标记物升高，肝诊断性影像异常，凝血功能异常</t>
  </si>
  <si>
    <t>3.12</t>
  </si>
  <si>
    <t>23</t>
  </si>
  <si>
    <t>15.7</t>
  </si>
  <si>
    <t>136</t>
  </si>
  <si>
    <t>股骨头坏死</t>
  </si>
  <si>
    <t>螺内酯片100mg口服QD、复方氨基酸胶囊(8-11)2粒口服TID、双歧杆菌三联活菌肠溶胶囊0.84g口服BID、利可君片20mg口服TID、利福昔明片0.2g口服QID、熊去氧胆酸胶囊250mg口服TID、止咳合剂10ml口服TID、乳果糖口服溶液15ml口服QD</t>
  </si>
  <si>
    <t>武凤梅</t>
  </si>
  <si>
    <t>2024.12.19</t>
  </si>
  <si>
    <t>10</t>
  </si>
  <si>
    <t>原发性胆汁性肝硬化，自身免疫性肝炎，重叠综合征，其他的？高血压病2及（高危），肾囊肿，脂肪瘤</t>
  </si>
  <si>
    <t>3.36</t>
  </si>
  <si>
    <t>122</t>
  </si>
  <si>
    <t>0.99</t>
  </si>
  <si>
    <t>38</t>
  </si>
  <si>
    <t>21.6</t>
  </si>
  <si>
    <t>34</t>
  </si>
  <si>
    <t>高血压</t>
  </si>
  <si>
    <t>熊去氧胆酸胶囊250mg口服TID、水飞蓟宾胶囊105 mg口服TID</t>
  </si>
  <si>
    <t>罗建林</t>
  </si>
  <si>
    <t>2024.12.20</t>
  </si>
  <si>
    <t>肝硬化伴食管静脉曲张破裂出血，门脉高压性胃病，乙型肝炎肝硬化，脾大，贫血，胆囊结石，胸腔积液，肾囊肿，2型糖尿病</t>
  </si>
  <si>
    <t>4.57</t>
  </si>
  <si>
    <t>95</t>
  </si>
  <si>
    <t>1.13</t>
  </si>
  <si>
    <t>17.8</t>
  </si>
  <si>
    <t>64</t>
  </si>
  <si>
    <t>糖尿病</t>
  </si>
  <si>
    <t>2艾司奥美拉唑镁肠溶片40mg口服QD、恩替卡韦片0.5mg口服QD、2瑞巴派特片0.1g口服TID、复方氨基酸胶囊(8-11)2粒服TID、康复新液10ml口服TID</t>
  </si>
  <si>
    <t>陈玮</t>
  </si>
  <si>
    <t>2024.12.31</t>
  </si>
  <si>
    <t>食管静脉曲张伴出血，胃底静脉曲张，门脉高压性胃病，肝硬化，胸腔积液，腹腔积液，脾大，贫血</t>
  </si>
  <si>
    <t>1.98</t>
  </si>
  <si>
    <t>1.26</t>
  </si>
  <si>
    <t>27.8</t>
  </si>
  <si>
    <t>47</t>
  </si>
  <si>
    <t>糖尿病、心脏病</t>
  </si>
  <si>
    <t>(大)双歧杆菌三联活菌肠溶胶囊0.84g口服BID、康复新液10ml口服TID、2艾司奥美拉唑镁肠溶片40mg口服QD、复方氨基酸胶囊(8-11)1粒口服TID、磷酸铝凝胶20g口服BID</t>
  </si>
  <si>
    <t>龚千瑞</t>
  </si>
  <si>
    <t>2024.12.21</t>
  </si>
  <si>
    <t>肝硬化伴食管静脉曲张破裂出血，胃底静脉曲张，门脉高压性胃病，肝硬化，肝功能检查的异常结果，脾大，血小板减少，贫血，腹水，低蛋白血症，胆囊结石，肝囊肿</t>
  </si>
  <si>
    <t>3.18</t>
  </si>
  <si>
    <t>84</t>
  </si>
  <si>
    <t>1.27</t>
  </si>
  <si>
    <t>21.8</t>
  </si>
  <si>
    <t>复方氨基酸胶囊(8-11)1粒口服TID，利可君片20mg口服TID，2瑞巴派特片0.1g口服TID，2艾司奥美拉唑镁肠溶片40mg口服QD，康复新液10ml口服TID</t>
  </si>
  <si>
    <t>何清菊</t>
  </si>
  <si>
    <t>2024.12.23</t>
  </si>
  <si>
    <t>2025.1.4</t>
  </si>
  <si>
    <t>消化道出血，肝硬化，脾大，食管静脉曲张，门脉高压性胃病，胃溃疡，肠系膜静脉栓塞，缺血性肠炎，胃息肉，贫血，血小板减少，凝血功能异常，低钾血症，腹水</t>
  </si>
  <si>
    <t>1.43</t>
  </si>
  <si>
    <t>79</t>
  </si>
  <si>
    <t>1.19</t>
  </si>
  <si>
    <t>26.9</t>
  </si>
  <si>
    <t>39</t>
  </si>
  <si>
    <t>胃肠疾病</t>
  </si>
  <si>
    <t>2艾司奥美拉唑镁肠溶片40mg口服QD、2瑞巴派特片0.1g口服TID、复方氨基酸胶囊(8-11)2粒口服BID、螺内酯片20mg口服BID、利可君片20mg口服TID、康复新液10ml口服TID</t>
  </si>
  <si>
    <t>赵洪来</t>
  </si>
  <si>
    <t>2024.12.30</t>
  </si>
  <si>
    <t>2025.1.8</t>
  </si>
  <si>
    <t>肝硬化失代偿期，腹水，食管静脉曲张，肝性脑病，肝功能不全，门静脉高压，高胆红素血症，凝血功能异常，脾大，脾亢，重度贫血，血小板减少，低蛋白血症，低钾血症，胸水，双肺感染，腹腔淋巴结肿大，肝硬化</t>
  </si>
  <si>
    <t>6.64</t>
  </si>
  <si>
    <t>88</t>
  </si>
  <si>
    <t>2.02</t>
  </si>
  <si>
    <t>25</t>
  </si>
  <si>
    <t>51</t>
  </si>
  <si>
    <t>137</t>
  </si>
  <si>
    <t>(吉)左氧氟沙星片0.5g口服QD，2艾司奥美拉唑镁肠溶片40mg口服QD，腺苷蛋氨酸肠溶片1g口服BID，利福昔明片0.4g口服BID，螺内酯片20mg口服BID，呋塞米20mg口服bid</t>
  </si>
  <si>
    <t>曲富强</t>
  </si>
  <si>
    <t>2025.1.2</t>
  </si>
  <si>
    <t>13</t>
  </si>
  <si>
    <t>酒精性肝病，肝硬化？低蛋白血症，脂肪肝，腹水，电解质紊乱，凝血功能异常，2型糖尿病，高血压病2级（极高危）</t>
  </si>
  <si>
    <t>9.25</t>
  </si>
  <si>
    <t>129</t>
  </si>
  <si>
    <t>1.57</t>
  </si>
  <si>
    <t>68..1</t>
  </si>
  <si>
    <t>腺苷蛋氨酸肠溶片1g口服QD、双环醇片25mg口服TID、(吉)左氧氟沙星片0.5g口服QD、螺内酯片20mg口服QD、利福昔明片0.2g口服TID、(山东)雷贝拉唑钠肠溶片10mg口服QD、乳果糖口服溶液15ml口服BID、复方氨基酸胶囊(8-11)1粒口服TID</t>
  </si>
  <si>
    <t>信格</t>
  </si>
  <si>
    <t>2024.12.26</t>
  </si>
  <si>
    <t>2025.1.7</t>
  </si>
  <si>
    <t>肝硬化伴食管胃底静脉曲张破裂出血，自身免疫性肝炎，慢性阻塞性肺病，真菌感染，肺部感染，低蛋白血症，贫血，凝血功能异常，肿瘤标记物升高</t>
  </si>
  <si>
    <t>6.7</t>
  </si>
  <si>
    <t>1.42</t>
  </si>
  <si>
    <t>24.8</t>
  </si>
  <si>
    <t>高血压、肺气肿</t>
  </si>
  <si>
    <t>利可君片20mg口服TID，复方氨基酸胶囊(8-11)1粒口服TID，艾司奥美拉唑镁肠溶片40mg口服QD，康复新液10ml口服TID，腺苷蛋氨酸肠溶片1g口服QD</t>
  </si>
  <si>
    <t>樊忠英</t>
  </si>
  <si>
    <t>2025.1.13</t>
  </si>
  <si>
    <t>食管胃镜静脉曲张破裂出血，肝硬化失代偿期，结缔组织病，系统性硬化症？自身免疫性肝炎？门静脉血栓形成，重度贫血，低蛋白血症，门静脉高压，脾亢，脾大，电解质紊乱，胆囊结石，腹水，心包积液，胸水，肺结节病，肺气肿</t>
  </si>
  <si>
    <t>2.17</t>
  </si>
  <si>
    <t>21.2</t>
  </si>
  <si>
    <t>50</t>
  </si>
  <si>
    <t>风湿免疫疾病</t>
  </si>
  <si>
    <t>康复新液10ml口服TID，2艾司奥美拉唑镁肠溶片40mg口服QD，利可君片20mg口服TID，腺苷蛋氨酸肠溶片1g口服BID</t>
  </si>
  <si>
    <t>李海军</t>
  </si>
  <si>
    <t>2025.1.20</t>
  </si>
  <si>
    <t>16</t>
  </si>
  <si>
    <t>腹腔积液，原发性腹膜炎，肝硬化，脾大，门静脉高压，2型糖尿病，重度贫血，凝血功能异常，低蛋白血症，支气管炎，肿瘤标记物升高，低钾血症，便潜血</t>
  </si>
  <si>
    <t>15.55</t>
  </si>
  <si>
    <t>1.23</t>
  </si>
  <si>
    <t>69</t>
  </si>
  <si>
    <t>128</t>
  </si>
  <si>
    <t>(大)双歧杆菌三联活菌肠溶胶囊0.42g口服BID、螺内酯片20mg口服BID，(国)孟鲁司特钠片10mg口服QN、复方甲氧那明胶囊93mg口服TID、乳果糖口服溶液15ml口服TID、奥美拉唑镁肠溶片20mg口服QD、恩替卡片0.5mg口服QD</t>
  </si>
  <si>
    <t>张淑英</t>
  </si>
  <si>
    <t>2025.1.3</t>
  </si>
  <si>
    <t>肝硬化伴食管胃底静脉曲张破裂出血，肝硬化失代偿期，脾亢，门脉高压性胃病，腹水，重度贫血，低蛋白血症，高血压3级，2型糖尿病，乳腺恶性肿瘤，腹部感染，心功能不全，肿瘤标记物升高，凝血功能异常</t>
  </si>
  <si>
    <t>1.4</t>
  </si>
  <si>
    <t>53</t>
  </si>
  <si>
    <t>1.14</t>
  </si>
  <si>
    <t>9.0</t>
  </si>
  <si>
    <t>63</t>
  </si>
  <si>
    <t>高血压、糖尿病、心脏病、肿瘤</t>
  </si>
  <si>
    <t>2艾司奥美拉唑镁肠溶片40mg口服QD、康复新液10ml口服TID、利可君片20mg口服TID</t>
  </si>
  <si>
    <t>张瑞锰</t>
  </si>
  <si>
    <t>酒精性肝硬化，食管静脉曲张，门脉高压性胃病，肝囊肿，脂肪肝，血小板减少，糖耐量受损</t>
  </si>
  <si>
    <t>3.68</t>
  </si>
  <si>
    <t>130</t>
  </si>
  <si>
    <t>1.04</t>
  </si>
  <si>
    <t>11.5</t>
  </si>
  <si>
    <t>59</t>
  </si>
  <si>
    <t>熊去氧胆酸胶囊250mg口服TID，(山东)雷贝拉唑钠肠溶片10mg口服QD，康复新液10ml口服TID，(大)双歧杆菌三联活菌肠溶胶囊0.84g口服BID</t>
  </si>
  <si>
    <t>王绪海</t>
  </si>
  <si>
    <t>2025.1.1</t>
  </si>
  <si>
    <t>2025.1.17</t>
  </si>
  <si>
    <t>肝硬化伴食管胃底静脉曲张，乙肝后肝硬化，消化道出血，门静脉高压，脾大，腹水，贫血，下肢静脉血栓形成，冠脉支架植入后状态，凝血功能异常</t>
  </si>
  <si>
    <t>2.24</t>
  </si>
  <si>
    <t>67</t>
  </si>
  <si>
    <t>6.2</t>
  </si>
  <si>
    <t>97</t>
  </si>
  <si>
    <t>高血压、心脏病</t>
  </si>
  <si>
    <t>2瑞巴派特片0.1g口服TID，恩替卡片0.5 mg口服QD，康复新液10ml口服TID，2艾司奥美拉唑镁肠溶片40mg口服QD，复方氨基酸胶囊(8-11)2粒口服TID</t>
  </si>
  <si>
    <t>2025.1.16</t>
  </si>
  <si>
    <t>肝硬化伴食管胃底静脉曲张破裂出血，酒精性肝硬化失代偿期，肺肿瘤？贫血，便秘，肾功能不全，心功能不全，高血压病3级（极高危）</t>
  </si>
  <si>
    <t>2.22</t>
  </si>
  <si>
    <t>83</t>
  </si>
  <si>
    <t>1.02</t>
  </si>
  <si>
    <t>16.5</t>
  </si>
  <si>
    <t>复方氨基酸胶囊(8-11)1粒口服TID，2艾司奥美拉唑镁肠溶片40mg口服QD，康复新液10ml口服TID，乳果糖口服溶液15ml口服BID，利可君片20mg口服TID</t>
  </si>
  <si>
    <t>王振英</t>
  </si>
  <si>
    <t>2025.1.6</t>
  </si>
  <si>
    <t>2025.1.15</t>
  </si>
  <si>
    <t>肝硬化伴食管胃底静脉曲张破裂出血，冠心病，陈旧性心肌梗死，冠脉支架植入后状态，高血压病3级（极高危），结缔组织病，干燥综合征，全血细胞减少，甲状腺功能减退症，类风湿性关节炎？低蛋白血症，凝血功能异常</t>
  </si>
  <si>
    <t>4.89</t>
  </si>
  <si>
    <t>1.08</t>
  </si>
  <si>
    <t>高血压、心脏病、风湿免疫疾病、甲减、淋巴结核、假性动脉瘤术后</t>
  </si>
  <si>
    <t>多磺酸粘多糖乳膏1g外涂BID，(顺)胰酶肠溶胶囊0.45g口服TID，(山东)雷贝拉唑钠肠溶片10mg口服QD，康复新液10ml口服TID，磷酸铝凝胶20g口服QD，(大)双歧杆菌三联活菌肠溶胶囊0.84g口服BID</t>
  </si>
  <si>
    <t>孙国利</t>
  </si>
  <si>
    <t>2025.1.14</t>
  </si>
  <si>
    <t>2025.1.22</t>
  </si>
  <si>
    <t>肝硬化伴食管胃底静脉曲张破裂出血，酒精性肝硬化，脾亢，脾大，腹水，门静脉高压，重度贫血，血小板减少，低钙血症，肺部感染，肺结节，腹腔淋巴结肿大，心功能不全，高血压病3级（极高危），2型糖尿病，脑梗死个人史</t>
  </si>
  <si>
    <t>54</t>
  </si>
  <si>
    <t>1.33</t>
  </si>
  <si>
    <t>32.3</t>
  </si>
  <si>
    <t>146</t>
  </si>
  <si>
    <t>高血压、糖尿病、脑梗塞</t>
  </si>
  <si>
    <t>复方氨基酸胶囊(8-11)1粒口服TID，利可君片20mg口服TID，腺苷蛋氨酸肠溶片1g口服BID，康复新液10ml口服TID，2艾司奥美拉唑镁肠溶片40mg口服QD</t>
  </si>
  <si>
    <t>马振玲</t>
  </si>
  <si>
    <t>2025.1.18</t>
  </si>
  <si>
    <t>肝功能不全，脂肪肝，原发性胆汁型肝硬化？高血压病2级（极高危），2型糖尿病</t>
  </si>
  <si>
    <t>5.3</t>
  </si>
  <si>
    <t>149</t>
  </si>
  <si>
    <t>1.01</t>
  </si>
  <si>
    <t>45</t>
  </si>
  <si>
    <t>20.2</t>
  </si>
  <si>
    <t>46</t>
  </si>
  <si>
    <t>高血压、糖尿病</t>
  </si>
  <si>
    <t>康复新液10ml口服TID、2艾司奥美拉唑镁肠溶片40 mg口服QD、铝碳酸镁咀嚼片1g口服QD</t>
  </si>
  <si>
    <t>2025.1.26</t>
  </si>
  <si>
    <t>酒精性肝硬化失代偿期，胃底静脉曲张，肝性脑病，低蛋白血症，贫血，肝功能不全，高血压病3级（极高危）</t>
  </si>
  <si>
    <t>5.1</t>
  </si>
  <si>
    <t>121</t>
  </si>
  <si>
    <t>24</t>
  </si>
  <si>
    <t>26.3</t>
  </si>
  <si>
    <t>2艾司奥美拉唑镁肠溶片40mg口服QD，腺苷蛋氨酸肠溶片1g口服BID，复方氨基酸胶囊(8-11)1粒口服TID，乳果糖口服溶液15ml口服TID，利福昔明片0.4g口服BID，螺内酯片40mg口服QD</t>
  </si>
  <si>
    <t>贾汉津</t>
  </si>
  <si>
    <t>2025.1.23</t>
  </si>
  <si>
    <t>2025.1.21</t>
  </si>
  <si>
    <t>2025.2.3</t>
  </si>
  <si>
    <t>肝硬化伴食管胃底静脉曲张破裂出血，脾亢，全血细胞减少，高血压病1级（高危），贫血</t>
  </si>
  <si>
    <t>2.09</t>
  </si>
  <si>
    <t>9.1</t>
  </si>
  <si>
    <t>107</t>
  </si>
  <si>
    <t>高血压、骨质疏松</t>
  </si>
  <si>
    <t>康复新液10ml口服TID，(山东)雷贝拉唑钠肠溶片10mg口服QD，(金)卡维地洛片10mg口服QD</t>
  </si>
  <si>
    <t>彭莲芝</t>
  </si>
  <si>
    <t>2025.1.29</t>
  </si>
  <si>
    <t>2025.2.15</t>
  </si>
  <si>
    <t>17</t>
  </si>
  <si>
    <t>肝硬化伴食管胃底静脉曲张破裂出血，脾亢，脾大，门静脉高压，贫血，肾囊肿</t>
  </si>
  <si>
    <t>2.32</t>
  </si>
  <si>
    <t>76</t>
  </si>
  <si>
    <t>1.65</t>
  </si>
  <si>
    <t>23.5</t>
  </si>
  <si>
    <t>心脏病</t>
  </si>
  <si>
    <t>康复新液10ml口服TID，2艾司奥美拉唑镁肠溶片40mg口服QD</t>
  </si>
  <si>
    <t>刘兴文</t>
  </si>
  <si>
    <t>2025.1.28</t>
  </si>
  <si>
    <t>2025.2.5</t>
  </si>
  <si>
    <t>2025.2.12</t>
  </si>
  <si>
    <t>酒精性肝硬化伴食管胃底静脉曲张，肝性脑病？肝功能不去，门静脉高压，脾大，腹水，低蛋白血症，高胆红素血症，贫血，肺气肿</t>
  </si>
  <si>
    <t>4.64</t>
  </si>
  <si>
    <t>110</t>
  </si>
  <si>
    <t>1.93</t>
  </si>
  <si>
    <t>78.7</t>
  </si>
  <si>
    <t>腺苷蛋氨酸肠溶片1g口服QD、利福昔明片0.4g口服TID、熊去氧胆酸胶囊250mg口服TID、双环醇片25mg口服TID</t>
  </si>
  <si>
    <t>王玉庆</t>
  </si>
  <si>
    <t>2025.2.6</t>
  </si>
  <si>
    <t>2025.2.23</t>
  </si>
  <si>
    <t>胃底静脉曲张伴出血，门脉高压性胃病，门静脉高压，脾梗死，高凝状态，贫血，低蛋白血症，食管裂孔疝</t>
  </si>
  <si>
    <t>3.91</t>
  </si>
  <si>
    <t>91</t>
  </si>
  <si>
    <t>14.2</t>
  </si>
  <si>
    <t>艾司奥美拉唑镁肠溶片40mg口服QD，康复新液10ml口服TID</t>
  </si>
  <si>
    <t>金仁淑</t>
  </si>
  <si>
    <t>2025.2.8</t>
  </si>
  <si>
    <t>2025.2.27</t>
  </si>
  <si>
    <t>肝硬化伴食管静脉曲张，门脉高压性胃病，上消化道出血，小肠溃疡，重度贫血，肿瘤标记物升高，凝血功能异常，肝功能不全，2型糖尿病，高血压病3级（极高危）</t>
  </si>
  <si>
    <t>3.74</t>
  </si>
  <si>
    <t>1.25</t>
  </si>
  <si>
    <t>15.1</t>
  </si>
  <si>
    <t>利可君片20mg口服TID、羧甲司坦口服溶液10ml口服TID、(山东)雷贝拉唑钠肠溶片10mg口服QD、(金)卡维地洛片5mg口服QD、康复新液10ml口服TID、熊去氧胆酸胶囊250mg口服QD、(希)头孢克洛缓释片0.75g口服BID</t>
  </si>
  <si>
    <t>2025.2.13</t>
  </si>
  <si>
    <t>2025.2.2</t>
  </si>
  <si>
    <t>2025.2.16</t>
  </si>
  <si>
    <t>肝硬化伴食管胃底静脉曲张、乙肝后肝硬化、脾大、门脉高压性胃病、低钙血症、凝血功能异常、低纤维蛋白原血症、低蛋白血症</t>
  </si>
  <si>
    <t>2.33</t>
  </si>
  <si>
    <t>1.21</t>
  </si>
  <si>
    <t>22.8</t>
  </si>
  <si>
    <t>2025.2.20</t>
  </si>
  <si>
    <t>消化道出血、食管静脉曲张、酒精性肝硬化（失代偿期）、脾大、低蛋白血症、肝术后、2型糖尿病、高血压病3级、</t>
  </si>
  <si>
    <t>3.35</t>
  </si>
  <si>
    <t>1.2</t>
  </si>
  <si>
    <t>7.9</t>
  </si>
  <si>
    <t>2艾司奥美拉唑镁肠溶片40mg口服QD、康复新液10ml口服TID</t>
  </si>
  <si>
    <t>2025.2.24</t>
  </si>
  <si>
    <t>肝硬化伴食管胃底静脉曲张、自身免疫性肝炎后肝硬化？、全血细胞减少、低蛋白血症、肝性脑病、代谢性脑病？、肝功能检查的异常结果、脾大</t>
  </si>
  <si>
    <t>2.47</t>
  </si>
  <si>
    <t>102</t>
  </si>
  <si>
    <t>48.9</t>
  </si>
  <si>
    <t>腺苷蛋氨酸肠溶片0.5g口服QD(餐前)、熊去氧胆酸胶囊250mg口服TID、乳果糖口服溶液15ml口服TID、利福昔明片0.4g口服TID、利可君片20mg口服TID</t>
  </si>
  <si>
    <t>2025.2.19</t>
  </si>
  <si>
    <t>2025.3.3</t>
  </si>
  <si>
    <t>食管静脉曲张破裂出血、门脉高压性胃病、结缔组织病、系统性硬化症？、自身免疫性肝炎？、脾亢、白细胞减少、中度贫血、肝功能不全、高尿酸血症</t>
  </si>
  <si>
    <t>1.03</t>
  </si>
  <si>
    <t>风湿免疫病</t>
  </si>
  <si>
    <t>熊去氧胆酸胶囊250mg口服TID，2艾司奥美拉唑镁肠溶片40mg口服QD，康复新液10ml口服TID</t>
  </si>
  <si>
    <t>许凤发</t>
  </si>
  <si>
    <t>2025.3.5</t>
  </si>
  <si>
    <t>肝硬化伴食管胃底静脉曲张破裂出血、贫血、门静脉高压、门脉高压性胃病、慢性胃炎、十二指肠球炎</t>
  </si>
  <si>
    <t>6.46</t>
  </si>
  <si>
    <t>125</t>
  </si>
  <si>
    <t>0.96</t>
  </si>
  <si>
    <t>7,7</t>
  </si>
  <si>
    <t>高血压，胃肠疾病</t>
  </si>
  <si>
    <t>螺内酯片20mg口服BID、呋塞米片20mg口服BID(自备)、2艾司奥美拉唑镁肠溶片40mg口服QD</t>
  </si>
  <si>
    <t>2025.2.25</t>
  </si>
  <si>
    <t>溃疡性结肠炎、降结肠良性肿瘤、肝硬化、脾大、门静脉高压、细菌性肠道感染</t>
  </si>
  <si>
    <t>4.6</t>
  </si>
  <si>
    <t>98</t>
  </si>
  <si>
    <t>9.2</t>
  </si>
  <si>
    <t>55</t>
  </si>
  <si>
    <t>(进)万古霉素针125 mgQ6H、0.9%氯化钠注射液5mlQ6H；(大)双歧杆菌三联活菌肠溶胶囊0.63g口服BID；美沙拉秦缓释颗粒1g口服QID</t>
  </si>
  <si>
    <t>刘中起</t>
  </si>
  <si>
    <t>2025.3.7</t>
  </si>
  <si>
    <t>肝硬化、慢性迁延型乙型病毒性肝炎、腹腔积液、低蛋白血症、脾大、</t>
  </si>
  <si>
    <t>2.38</t>
  </si>
  <si>
    <t>1.06</t>
  </si>
  <si>
    <t>复方氨基酸胶囊(8-11)2粒口服TID、熊去氧胆酸胶囊250mg口服TID、多烯磷脂酰胆碱胶囊456mg口服TID、利可君片20mg口服TID、康复新液10ml口服TID、艾司奥美拉唑镁肠溶片40mg口服QD、恩替卡片0.5mg口服QD、螺内酯片40mg口服QD</t>
  </si>
  <si>
    <t>2025.3.6</t>
  </si>
  <si>
    <t>2025.3.9</t>
  </si>
  <si>
    <t>肝硬化伴食管静脉曲张破裂出血，自身免疫性肝炎，门静脉高压，低蛋白血症，高脂血症，低钙血症，贫血，高凝状态</t>
  </si>
  <si>
    <t>5.47</t>
  </si>
  <si>
    <t>56</t>
  </si>
  <si>
    <t>螺内酯片20mg口服BID，兰索拉唑口崩片30mg口服QD，康复新液10ml口服TID，熊去氧胆酸胶囊250mg口服TID</t>
  </si>
  <si>
    <t>王玉荣</t>
  </si>
  <si>
    <t>2025.3.10</t>
  </si>
  <si>
    <t>2025.3.21</t>
  </si>
  <si>
    <t>原发性胆汁性肝硬化、肝硬化失代偿期、肝功能不全、脾大、脾梗死、冠心病、脑梗死、甲减、腹水</t>
  </si>
  <si>
    <t>2.36</t>
  </si>
  <si>
    <t>117</t>
  </si>
  <si>
    <t>24.2</t>
  </si>
  <si>
    <t>145</t>
  </si>
  <si>
    <t>高血压、糖尿病、心脏病、脑梗塞</t>
  </si>
  <si>
    <t>艾司奥美拉唑镁肠溶片40mg口服QD，(国)氯化钾缓释片1g口服TID，利可君片20mg口服TID，熊去氧胆酸胶囊250mg口服TID，乳果糖口服溶液15ml口服QN，螺内酯片20mg口服BID</t>
  </si>
  <si>
    <t>2025.6.17</t>
  </si>
  <si>
    <t>2025.6.16</t>
  </si>
  <si>
    <t>2025.6.30</t>
  </si>
  <si>
    <t>肝硬化伴食管静脉曲张破裂出血，自身免疫性肝炎，肝功能不全，中度贫血，血小板减少，低蛋白血症，高脂血症，听力减退，焦虑抑郁状态，电解质紊乱，低钙血症，凝血功能异常</t>
  </si>
  <si>
    <t>抑郁</t>
  </si>
  <si>
    <t>熊去氧胆酸胶囊250mg口服TID，兰索拉唑口崩片30mg口服QD</t>
  </si>
  <si>
    <t>马学强</t>
  </si>
  <si>
    <t>2025.6.3</t>
  </si>
  <si>
    <t>2025.5.30</t>
  </si>
  <si>
    <t>2025.6.9</t>
  </si>
  <si>
    <t>乙型肝炎肝硬化，肝硬化伴胃底静脉曲张破裂出血，电解质紊乱，慢性胃炎，低蛋白血症，中度贫血，凝血功能障碍，高血压病2级（极高危），2型糖尿病</t>
  </si>
  <si>
    <t>高血压、糖尿病、胃肠疾病</t>
  </si>
  <si>
    <t>(国)头孢地尼胶囊0.1g口服TID，(山东)雷贝拉唑钠肠溶片10mg口服BID，2瑞巴派特片0.1g口服TID，螺内酯片20mg口服BID，托拉塞米片5mg口服QD(自备)，钙尔奇碳酸钙D3片60mg口服QD(自备)，恩替卡片0.5mg口服QD(自备)，富马酸替诺福韦二吡呋酯片300mg口服QD(自备)</t>
  </si>
  <si>
    <t>常淑文</t>
  </si>
  <si>
    <t>2025.6.4</t>
  </si>
  <si>
    <t>肝硬化失代偿期，自身免疫性肝炎，原发性胆管炎，腹水，胆石症，中度贫血，凝血功能异常，脾大，心功能不全，肺水肿，2型糖尿病伴血糖控制不佳，电解质紊乱，高血压病2级（极高危），肿瘤标记物升高。</t>
  </si>
  <si>
    <t>中</t>
  </si>
  <si>
    <t>心脏病、糖尿病、血管疾病</t>
  </si>
  <si>
    <t>2按柠蒎肠溶胶囊0.3g口服BID，生血宁片0.5g口服TID，多烯磷脂酰胆碱胶囊456 mg口服TID，熊去氧胆酸胶囊500mg口服BID，非诺贝特胶囊0.2g口服QD，螺内酯片40mg口服BID，2甘草酸二铵肠溶胶囊100mg口服TID，呋塞米片20mg口服BID</t>
  </si>
  <si>
    <t>张淑香</t>
  </si>
  <si>
    <t>2025.5.9</t>
  </si>
  <si>
    <t>2025.5.7</t>
  </si>
  <si>
    <t>2025.5.15</t>
  </si>
  <si>
    <t>自身免疫性肝炎？原发性胆汁型肝硬化？肝功能不全，腹腔积液，低蛋白血症，肾肿瘤，胆管扩张，肾结石</t>
  </si>
  <si>
    <t>少</t>
  </si>
  <si>
    <t>熊去氧胆酸胶囊250mg口服QID，复方甘草酸苷片3片服TID，(国)氯化钾缓释片1g口服BID，(力)呋塞米片20mg口服QD(自备)，螺内酯片20ng口服BID(自备)</t>
  </si>
  <si>
    <t>魏秀莲</t>
  </si>
  <si>
    <t>2025.5.14</t>
  </si>
  <si>
    <t>2025.5.13</t>
  </si>
  <si>
    <t>2025.5.31</t>
  </si>
  <si>
    <t>乙肝后肝硬化，门静脉高压性胃病，肝功能不全，脾大，胸腔积液，肿瘤标记物升高，凝血功能异常，高尿酸血症。</t>
  </si>
  <si>
    <t>熊去氧胆酸胶囊250mg口服TID、(国)氯化钾缓释片1g口服BID、(苏)恩替卡分散片0.5mg口服QD、螺内酯片20mg口服TID、托拉塞米(自备)5mg口服QD</t>
  </si>
  <si>
    <t>杨金春</t>
  </si>
  <si>
    <t>2025.5.6</t>
  </si>
  <si>
    <t>2025.5.11</t>
  </si>
  <si>
    <t>肝硬化伴食管胃底静脉曲张，胃溃疡，门脉高压性胃病，腹腔积液，白细胞减少，轻度贫血，凝血功能异常，肿瘤标记物升高，胆汁淤积症，肝术后（肝癌），乙肝后肝硬化，慢性迁延性肝炎。</t>
  </si>
  <si>
    <t>肿瘤</t>
  </si>
  <si>
    <t>复方嗜酸乳杆菌片1g口服TID，2瑞巴派特片0.1g口服TID，(国)氯化钾缓释片1g口服TID，利可君片20mg口服TID，复方氨基酸胶囊(8-11)2粒口服TID，螺内酯片20mg口服BID</t>
  </si>
  <si>
    <t>陈陈</t>
  </si>
  <si>
    <t>2025.4.10</t>
  </si>
  <si>
    <t>2025.4.20</t>
  </si>
  <si>
    <t>消化道出血、肝硬化伴食管静脉曲张、门脉高压性胃病、重度贫血、脾亢、丙型肝炎病毒携带者</t>
  </si>
  <si>
    <t>糖尿病、肿瘤</t>
  </si>
  <si>
    <t>水蓟宾胶囊70mg口服TID、乳果糖口服溶液30ml口服QD、熊去氧胆酸胶囊250mg口服TID、(金)卡维地洛片5mg口服QD、利可君片 20mg口服TID、(大)双歧杆菌三联活菌肠溶胶囊0.84g口服BID、生血宁片0.5g口服TID、(力)多糖铁复合物胶囊0.3g口服QD、2艾司奥美拉唑镁肠溶片40mg口服QD、乳果糖口服溶液30ml口服QD</t>
  </si>
  <si>
    <t>刘俊江</t>
  </si>
  <si>
    <t>2025.4.28</t>
  </si>
  <si>
    <t>2025.4.24</t>
  </si>
  <si>
    <t>2025.5.12</t>
  </si>
  <si>
    <t>肝性脑病、酒精性肝硬化版食管胃底静脉曲张破裂出血、胆囊炎</t>
  </si>
  <si>
    <t>复方嗜酸乳杆菌片1g口服TID，2艾司奥美拉唑镁肠溶片20mg口服QD，螺内酯片20mg口服BID，复方氨基酸胶囊(8-11)2粒口服TID，呋塞米20mg口服QD(自备)</t>
  </si>
  <si>
    <t>赵凤艳</t>
  </si>
  <si>
    <t>2025.4.26</t>
  </si>
  <si>
    <t>2025.5.1</t>
  </si>
  <si>
    <t>肝硬化伴食管胃底静脉曲张破裂出血 门静脉高压 急性粒单核细胞白血病（M4）</t>
  </si>
  <si>
    <t>白血病、糖尿病</t>
  </si>
  <si>
    <t>(国)氯化钾缓释片1g口服TID，螺内酯片20mg口服BID，(大)双歧杆菌三联活菌肠溶胶囊0.84g口服BID，利可君片20mg口服TID，2艾司奥美拉唑镁肠溶片40mg口服QD</t>
  </si>
  <si>
    <t>焦冰冰</t>
  </si>
  <si>
    <t>2025.4.27</t>
  </si>
  <si>
    <t>2025.5.2</t>
  </si>
  <si>
    <t>食管胃底静脉曲张破裂出血、乙肝后肝硬化、门静脉高压性胃病、胃溃疡、脾术后</t>
  </si>
  <si>
    <t>(大)双歧杆菌三联活菌肠溶胶囊0.84g口服BID，2艾司奥美拉唑镁肠溶片40mg口服QD</t>
  </si>
  <si>
    <t>刘国胜</t>
  </si>
  <si>
    <t>2025.4.14</t>
  </si>
  <si>
    <t>十二指肠球部溃疡出血 肝硬化 脾大 门静脉高压 贲门胃底静脉曲张 门静脉血栓</t>
  </si>
  <si>
    <t>高血压、脑梗塞</t>
  </si>
  <si>
    <t>螺内酯片20mg口服 BID，复方嗜酸乳杆菌片1g口服TID，硝苯地平控释片30mg口服QD，艾司奥美拉唑镁肠溶片40mg口服QD</t>
  </si>
  <si>
    <t>程京明</t>
  </si>
  <si>
    <t>2025.4.16</t>
  </si>
  <si>
    <t>肝硬化伴食管胃底静脉曲张破裂出血、门静脉高压性胃病、腹水、脾亢、慢性阻塞性肺病、非霍奇金淋巴瘤</t>
  </si>
  <si>
    <t>·1.05</t>
  </si>
  <si>
    <t>白血病、慢性支气管炎</t>
  </si>
  <si>
    <t>艾司奥美拉唑肠溶片40mg口服QD，螺内酯片40mg口服BID，呋塞米片40mg口服QD，利福昔明片0.2g口服QID，双歧杆菌三联活菌肠溶片0.42g口服BID，利可君片20mg口服TID</t>
  </si>
  <si>
    <t>2025.2.18</t>
  </si>
  <si>
    <t>肝硬化失代偿 食管胃底静脉曲张 门脉高压性胃病 门静脉血栓形成 脾术后</t>
  </si>
  <si>
    <t>2025.4.9</t>
  </si>
  <si>
    <t>2025.4.23</t>
  </si>
  <si>
    <t>肝硬化失代偿期 自身免疫性肝炎 门脉高压性胃病 食管静脉曲张 慢性胃炎 中度贫血 肠道菌群失调 低蛋白血症 肾功能不全 下肢静脉血栓形成 肿瘤标志物升高 高血压1级（高危）腔隙性脑梗死 脾术后 单纯性肾囊肿</t>
  </si>
  <si>
    <t>高血压、脑梗塞、慢性肾病</t>
  </si>
  <si>
    <t>熊去氧胆酸胶囊250mg口服TID，水飞蓟宾胶囊70mg口服TID，枯草杆菌二联活菌肠溶胶囊500mg口服TID，2艾司奥美拉唑镁肠溶片40mg口服QD，生血宁片0.5g口服TID，螺内酯片20mg口服QD，呋塞米片20mg口服QD，复方氨基酸胶囊(8-11)1粒口服TID(自备)，叶酸片5mg口服QD(自备)，金水宝片1.68g口服TID(自备)，白芍总苷胶囊0.6g口服BID(自备)，促红细胞生成素6000IUQD(自备)</t>
  </si>
  <si>
    <t>沈利</t>
  </si>
  <si>
    <t>2025.3.25</t>
  </si>
  <si>
    <t>2025.4.13</t>
  </si>
  <si>
    <t>慢性肝衰竭 肝性脑病 弥散性血管内凝血 肝硬化失代偿期 中度贫血 肝肾综合征 不稳定型心绞痛 电解质紊乱 低蛋白血症 肝硬化伴食管胃底静脉曲张 乙肝 自发性腹膜炎 腹水</t>
  </si>
  <si>
    <t>2米曲菌胰酶片24mg口服TID、(国)头孢地尼胶囊0.1g口服TID、复方氨基酸胶囊(8-11)2粒口服TID、多烯磷脂酰胆碱胶囊456mg口服TID、利可君片20mg口服TID、腺苷蛋氨酸肠溶片2g口服QD、(国)氯化钾缓释片1g口服QD、生血宁片0.5g口服TID、(苏)恩替卡韦分散片0.5mg口服QD、伊托必利片50mg口服TID、2艾司奥美拉唑镁肠溶片40mg口服QD</t>
  </si>
  <si>
    <t>屈星刚</t>
  </si>
  <si>
    <t>2025.3.17</t>
  </si>
  <si>
    <t>2025.3.20</t>
  </si>
  <si>
    <t>食管静脉曲张破裂出血 慢性充血性脾大 肝硬化 脾功能亢进</t>
  </si>
  <si>
    <t>肝脾T细胞淋巴瘤</t>
  </si>
  <si>
    <t>2025.3.14</t>
  </si>
  <si>
    <t>2025.3.24</t>
  </si>
  <si>
    <t>食管静脉曲张破裂出血 肝硬化失代偿期 酒精性肝炎 自身免疫性肝炎 凝血功能异常 中度贫血 低蛋白血症 2型糖尿病</t>
  </si>
  <si>
    <t>艾司奥美拉唑镁肠溶片40mg口服QD，康复新液10ml口服TID，熊去氧胆酸胶囊250mg口服TID</t>
  </si>
  <si>
    <t>付丽</t>
  </si>
  <si>
    <t>2025.6.13</t>
  </si>
  <si>
    <t>2025.6.14</t>
  </si>
  <si>
    <t>2025.6.29</t>
  </si>
  <si>
    <t>肝硬化失代偿期 腹腔积液 轻度贫血 白细胞减少 肝功能不全 肿瘤标记物升高 高凝状态</t>
  </si>
  <si>
    <t>米曲菌胰酶片24mg口服TID，乳果糖口服溶液30ml口服QN，(山东)雷贝拉唑钠肠溶片10mg口服QD，氟哌噻吨美利曲辛片10.5mg口服QD，熊去氧胆酸胶囊250mg口服TID，利福昔明片0.2g口服QID，(大)双歧杆菌三联活菌肠溶胶囊0.84g口服BID，螺内酯片100mg口服QD</t>
  </si>
  <si>
    <t>2025.6.12</t>
  </si>
  <si>
    <t>2025.6.18</t>
  </si>
  <si>
    <t>肝硬化失代偿期 自身免疫性肝硬化 酒精性肝硬化 肝硬化伴食管胃底静脉曲张 腹水 脾大 低蛋白血症 胆汁反流性胃炎 全血细胞减少 淋巴结增大</t>
  </si>
  <si>
    <t>(金)卡维地洛片5mg口服QD、利福昔明片0.2g口服TID、利可君片20mg口服BID、熊去氧胆酸胶囊250mg口服BID、螺内酯片60mg口服QD</t>
  </si>
  <si>
    <t>周茂勇</t>
  </si>
  <si>
    <t>肝硬化伴食管胃底静脉曲张破裂出血 乙型肝炎后肝硬化失代偿期 门静脉血栓形成？ 重度贫血 腹腔积液 低蛋白血症  凝血功能异常 脾功能亢进</t>
  </si>
  <si>
    <t>螺内酯片80mg口服QD，熊去氧胆酸胶囊250mg口服TID，(金)卡维地洛片5mg口服QD，(力)呋塞米片80mg口服QD</t>
  </si>
  <si>
    <t>邵引</t>
  </si>
  <si>
    <t>2025.7.10</t>
  </si>
  <si>
    <t>肝硬化失代偿期 腹水 慢性丙型病毒性肝炎 脾大 门静脉高压 高氨血症 凝血功能异常 轻度贫血 血小板减少 低蛋白血症 高血压病3级（极高危）陈旧性脑梗死</t>
  </si>
  <si>
    <t>脑卒中</t>
  </si>
  <si>
    <t>兰索拉唑口崩片30mg口服QD，复方氨基酸胶囊(8-11)2粒口服TID，(大)双歧杆菌三联活菌肠溶胶囊0.84g口服BID</t>
  </si>
  <si>
    <t>董晓英</t>
  </si>
  <si>
    <t>2025.7.11</t>
  </si>
  <si>
    <t>失血性休克 消化道出血 肝硬化失代偿期 门静脉高压 腹腔积液 脾大 肺栓塞 下肢静脉肌间血栓形成 高凝状态 细菌性感染 血小板减少 中度贫血  白细胞减少 低蛋白血症 甲减</t>
  </si>
  <si>
    <t>时磊</t>
  </si>
  <si>
    <t>2025.7.2</t>
  </si>
  <si>
    <t>2025.7.1</t>
  </si>
  <si>
    <t>2025.7.14</t>
  </si>
  <si>
    <t>肝硬化伴食管胃底静脉曲张破裂出血 肝硬化失代偿期 慢性迁延型乙型病毒性肝炎 2型糖尿病  凝血功能异常 血小板减少 白细胞减少 低蛋白血症 脾大 腹腔积液 胆囊结石</t>
  </si>
  <si>
    <t>雷贝拉唑钠肠溶片10mg口服QD，恩替卡片0.5mg口服QD，双歧杆菌三联活菌肠溶胶囊0.84g口服BID，米曲菌胰酶片24mg口服TID</t>
  </si>
  <si>
    <t>王永清</t>
  </si>
  <si>
    <t>2025.7.6</t>
  </si>
  <si>
    <t>2025.7.5</t>
  </si>
  <si>
    <t>肝硬化 慢性迁延型乙型病毒性肝炎 门脉高压性胃病 食管静脉曲张 脾术后 高血压病2级（高危）</t>
  </si>
  <si>
    <t>艾司奥美拉唑镁肠溶片40mg口服QD，康复新液10ml口服TID，(大)双歧杆菌三联活菌肠溶胶囊0.84g口服BID</t>
  </si>
  <si>
    <t>穆怀树</t>
  </si>
  <si>
    <t>2025.7.8</t>
  </si>
  <si>
    <t>2025.7.7</t>
  </si>
  <si>
    <t>2025.7.16</t>
  </si>
  <si>
    <t>肝硬化失代偿期 腹腔积液 胸腔积液 门静脉高压 脾大 中度贫血 低蛋白血症 白细胞减少 凝血功能异常 心包积液 血小板减少 肝硬化伴食管胃底静脉曲张？</t>
  </si>
  <si>
    <t>糖尿病、胃肠疾病</t>
  </si>
  <si>
    <t>多糖铁复合物胶囊0.3g口服QD，2米曲菌胰酶片24mg口服TID，(山东)雷贝拉唑钠肠溶片10mg口服QD，螺内酯片40mg口服BID，2按柠蒎肠溶胶囊0.3g口服TID，(大)双歧杆菌三联活菌肠溶胶囊0.84g口服BID，呋塞米40mg口服QD</t>
  </si>
  <si>
    <t>沈慧敏</t>
  </si>
  <si>
    <t>2025.7.12</t>
  </si>
  <si>
    <t>2025.7.24</t>
  </si>
  <si>
    <t>肝硬化伴食管胃底静脉曲张 盆腔积液 脾大 门静脉血栓形成 轻度贫血 血小板减少 白细胞减少 门脉高压性胃病</t>
  </si>
  <si>
    <t>(山东)雷贝拉唑钠肠溶片10mg口服QD，康复新液10ml口服TID、(金)卡维地洛片10mg口服QD、兰索拉唑口崩片30mg口服QD</t>
  </si>
  <si>
    <t>肖占芳</t>
  </si>
  <si>
    <t>2025.7.4</t>
  </si>
  <si>
    <t>2025.7.3</t>
  </si>
  <si>
    <t>肝硬化伴食管胃底静脉曲张 贲门息肉 轻度贫血 血小板减少 白细胞减少 自身免疫性肝硬化 高血压病3级（高危）血糖升高</t>
  </si>
  <si>
    <t>高血压、糖尿病、脑卒中</t>
  </si>
  <si>
    <t>(金)卡维地洛片10mg口服QD，乳果糖口服溶液30ml口服QD，熊去氧胆酸胶囊250mg口服BID</t>
  </si>
  <si>
    <t>谢红伟</t>
  </si>
  <si>
    <t>肝硬化伴食管胃底静脉区长 肝硬化失代偿期 中度贫血 凝血功能异常 低蛋白血症 电解质紊乱 肿瘤标记物升高 慢性迁延型乙型病毒性肝炎 门静脉海绵样变 门静脉血栓形成 肠系膜上静脉血栓形成</t>
  </si>
  <si>
    <t>(金)卡维地洛片10mg口服QD，2瑞巴派特片0.1g口服TID，康复新液10ml口服TID，兰索拉唑口崩片30mg口服QD</t>
  </si>
  <si>
    <t>肝硬化伴食管胃底静脉曲张破裂出血 胃底静脉曲张 自身免疫性肝炎后肝硬化 门静脉高压 肝功能不全 白细胞减少 重度贫血 脾大 低蛋白血症 营养风险 慢性胃炎 电解质紊乱 凝血功能异常</t>
  </si>
  <si>
    <t>(金)卡维地洛片10mg口服QD、2瑞巴派特片0.1g口服TID、兰索拉唑口崩片30mg口服QD、双环醇片25mg口服TID、熊去氧胆酸胶囊250mg口服QD、利可君片20mg口服TID</t>
  </si>
  <si>
    <t>王苹尔</t>
  </si>
  <si>
    <t>2025.6.24</t>
  </si>
  <si>
    <t>肝硬化伴食管胃底静脉曲张破裂出血 中度贫血 腹水 脾大 腹部诊断性影像异常 肿瘤标记物升高 慢性胃炎 D-二聚体升高 低蛋白血症</t>
  </si>
  <si>
    <t>大量腹水</t>
  </si>
  <si>
    <t>康复新液10ml口服TID，(大)双歧杆菌三联活菌肠溶胶囊0.84g口服BID，(山东)雷贝拉唑钠肠溶片10mg口服QD，生血宁片0.5g口服BID，熊去氧胆酸胶囊250mg口服TID</t>
  </si>
  <si>
    <t>董文芝</t>
  </si>
  <si>
    <t>2025.6.25</t>
  </si>
  <si>
    <t>肝硬化伴食管胃底静脉曲张破裂出血 原发性胆汁型肝硬化 自身免疫性肝炎？ 重度贫血 血小板减少 白细胞减少 低蛋白血症 胆汁淤积症 D-二聚体升高</t>
  </si>
  <si>
    <t>复方氨基酸胶囊(8-11)2粒口服TID、兰索拉唑口崩片30mg口服QD、(金)卡维地洛片5mg口服QD、利可君片20mg口服TID、熊去氧胆酸胶囊250mg口服TID、康复新液10ml口服TID</t>
  </si>
  <si>
    <t>2025.5.22</t>
  </si>
  <si>
    <t>肝硬化伴食管静脉曲张破裂出血 肝硬化伴胃底静脉曲张 肝性脑病？ 高血压病2级（极高危） 脾功能亢进 全血细胞减少 低蛋白血症</t>
  </si>
  <si>
    <t>2？</t>
  </si>
  <si>
    <t>2艾司奥美拉唑镁肠溶片40mg口服QD，(大)双歧杆菌三联活菌肠溶胶囊0.84g口服BID，福辛普利钠片10mg口服QD，乳果糖口服溶液15ml口服QD，利福昔明片0.2g口服QID，索法酮干混悬剂0.1g口服TID</t>
  </si>
  <si>
    <t>张学敏</t>
  </si>
  <si>
    <t>2025.7.23</t>
  </si>
  <si>
    <t>肝硬化失代偿期 原发性胆汁型肝硬化 腹腔积液 低蛋白血症 电解质紊乱 肝功能不全 中度贫血 过敏性皮炎？ 脾大 门静脉高压 肝囊肿 胆囊结石 腹部诊断性影像异常 D-二聚体升高 胸腔积液 心包积液 高血压</t>
  </si>
  <si>
    <t>螺内酯片20mg口服QD，腺苷蛋氨酸肠溶片1g口服QD、复方氨基酸胶囊(8-11)1粒口服TID、(大)双歧杆菌三联活菌肠溶胶囊0.42g口服TID、熊去氧胆酸胶囊250mg口服TID、乳果糖口服溶液15ml口服BID、(杭)依巴斯汀片10mg口服QD、非诺贝特胶囊0.2g口服QN、熊去氧胆酸胶囊250mg口服TID、腺苷蛋氨酸肠溶片1g口服BID</t>
  </si>
  <si>
    <t>2025.7.15</t>
  </si>
  <si>
    <t>消化道出血（胃毛细血管扩张出血？） 肝硬化失代偿期 肝硬化伴食管胃底静脉曲张术后 肝术后 高血压1级（极高危） 2型糖尿病 轻度贫血 白细胞减少 低蛋白血症 D-二聚体升高 腹部诊断性影像异常</t>
  </si>
  <si>
    <t>康复新液10ml口服TID，(大)双歧杆菌三联活菌肠溶胶囊0.84g口服BID，(山东)雷贝拉唑钠肠溶片10mg口服QD</t>
  </si>
  <si>
    <t>衡继銮</t>
  </si>
  <si>
    <t>2025.9.24</t>
  </si>
  <si>
    <t>肝硬化失代偿期 酒精性肝炎？ 非酒精性脂肪性肝炎？ 肝损害（重度） 肝功能不全 脾大 血小板减少 2型糖尿病 高血压病1级（极高危） 脂肪肝 肝囊肿 慢性胃炎 巴雷特食管？ 肾结石 前列腺钙化灶</t>
  </si>
  <si>
    <t>0？</t>
  </si>
  <si>
    <t>(国)氯化钾缓释片1g口服BID，(尤金)甲泼尼龙片16mg口服QD，硫普罗宁肠溶片0.1g口服TID，(山东)雷贝拉唑钠肠溶片10mg口服QD，熊去氧胆酸胶囊250mg口服TID</t>
  </si>
  <si>
    <t>张庆如</t>
  </si>
  <si>
    <t>2025.9.25</t>
  </si>
  <si>
    <t>肝硬化伴食管胃底静脉曲张（脾肾分流） 原发性胆汁型肝硬化 门静脉高压 脾大 胆囊结石 慢性胃炎</t>
  </si>
  <si>
    <t>(尤金)甲泼尼龙片4mg口服QD，(山东)雷贝拉唑钠肠溶片10mg口服QD，熊去氧胆酸胶囊500mg口服BID，(金)卡维地洛片5mg口服QD，(国)头孢地尼胶囊0.1g口服TID</t>
  </si>
  <si>
    <t>姜玉凤</t>
  </si>
  <si>
    <t>肝硬化 肝性脑病？ 食管静脉曲张（中度） 胃毛细血管扩张症 重度贫血 缺铁性贫血 高凝状态 低蛋白血症 2型糖尿病 高血压病3级（高危） 肝囊肿 慢性胃炎 肠道菌群失调 便秘</t>
  </si>
  <si>
    <t>复方氨基酸胶囊(8-11)2粒口服TID，(湖)康复新液10ml口服TID，艾司奥美拉唑镁肠溶片40mg口服QD，(大)双歧杆菌三联活菌肠溶胶囊0.84g口服BID，乳果糖口服溶液15ml口服QD</t>
  </si>
  <si>
    <t>李文玲</t>
  </si>
  <si>
    <t>2025.9.2</t>
  </si>
  <si>
    <t>肝硬化伴食管静脉曲张 原发性胆管炎 自身免疫性肝炎？ 脾大 脾功能亢进 全血细胞减少 低蛋白血症 门脉高压性胃病 慢性胃炎 高血压3级（高危） 下肢静脉曲张（左侧） 下肢皮肤感染（左侧） 营养风险</t>
  </si>
  <si>
    <t>(大)利伐沙班片5mg口服QD，2迈之灵片0.3g口服BID，利可君片20mg口服TID，2瑞巴派特片0.1g口服TID，熊去氧胆酸胶囊500mg口服BID，生血宁片0.25g口服TID，(山东)雷贝拉唑钠肠溶片10mg口服QD，复方氨基酸胶囊(8-11)2粒口服TID</t>
  </si>
  <si>
    <t>邳永合</t>
  </si>
  <si>
    <t>下消化道出血 缺血性肠病、肠系膜上静脉血栓形成 肝硬化失代偿期（脾切除、TIPS术后） 肝功能不全 低蛋白血症 中量腹腔积液 胃底静脉曲张 凝血功能异常 2型糖尿病 高血压病3级（极高危） 胆囊结石 贲门息肉 肝囊肿 电解质紊乱 脾术后 高氨血症</t>
  </si>
  <si>
    <t>谯喜钢</t>
  </si>
  <si>
    <t>2025.9.18</t>
  </si>
  <si>
    <t>肝硬化失代偿期 慢性迁延性乙型病毒性肝炎 乙型肝炎肝硬化 腹腔积液 肝性脑病？ 低蛋白血症 高血压病1级（极高危） 轻度贫血 D二聚体升高 低钙血症 2型糖尿病 上颌窦炎 筛窦炎 脾大 消化不良 肠道菌群失调</t>
  </si>
  <si>
    <t>利福昔明片0.2g口服QD，螺内酯片40mg口服QD，(大)双歧杆菌三联活菌肠溶胶囊0.84g口服BID，复方氨基酸胶囊(8-11)2粒口服TID，2米曲菌胰酶片24mg口服TID，(力)呋塞米片20mg口服QD</t>
  </si>
  <si>
    <t>魏建萍</t>
  </si>
  <si>
    <t>肝硬化失代偿期 原发性胆汁性肝硬化 自身免疫性肝炎？ 门静脉高压 食管静脉曲张 门静脉血栓形成 门脉高压性胃病 消化道出血 重度贫血 多发性结肠息肉 胃息肉 慢性胃炎 肠道菌群失调 咳嗽 脂肪肝 2型糖尿病</t>
  </si>
  <si>
    <t>(国)头孢地尼胶囊0.1g口服TID、米曲菌胰酶片24mg口服TID、(大)双歧杆菌三联活菌肠溶胶囊0.84g口服BID、非诺贝特胶囊0.2g口服QD、熊去氧胆酸胶囊500mg口服BID、(山东)雷贝拉唑钠肠溶片10mg口服QD、(大)利伐沙班片10mg口服QD</t>
  </si>
  <si>
    <t xml:space="preserve">原发性胆汁性肝硬化伴食管静脉曲张 肝硬化失代偿期 自身免疫性肝炎 高氨血症 血小板减少症 重度骨质疏松 脾大 门脉高压性胃病 心脏射频消融术后 心房颤动 轻度贫血 D-二聚体升高 腹腔积液 肠道菌群失调 </t>
  </si>
  <si>
    <t>(泰丰)骨化三醇软胶囊0.25ug口服QD，(大)双歧杆菌三联活菌肠溶胶囊0.84g口服 BID，熊去氧胆酸胶囊250mg口服TID，(泰丰)骨化三醇软胶囊0.5ug口服QD，利福昔明片0.2g口服QID，乳果糖口服溶液15ml口服BID</t>
  </si>
  <si>
    <t>2025.9.12</t>
  </si>
  <si>
    <t>肝硬化失代偿期 腹腔积液 凝血功能异常 低蛋白血症 中度贫血 缺铁性贫血？ 下肢水肿 肾功能不全 电解质紊乱 消化性溃疡个人史 腹股沟斜疝 血糖升高 细菌性感染 消化不良 高凝状态 咳嗽 肠道菌群失调</t>
  </si>
  <si>
    <t xml:space="preserve">大量 </t>
  </si>
  <si>
    <t>(国)头孢地尼胶囊0.1g口服TID、复方氨基酸胶囊(8-11)2粒口服TID、(力)多糖铁复合物胶囊0.15g口服QD、(山东)雷贝拉唑钠肠溶片10mg口服QD、(大)双歧杆菌三联活菌肠溶胶囊0.84g口服BID、利福昔明片0.2g口服QID、2米曲菌胰酶片48mg服TID、甲硝唑片0.2g口服TID(自备)、布拉氏酵母菌散0.25g口服BID</t>
  </si>
  <si>
    <t>赵存柏</t>
  </si>
  <si>
    <t>肝硬化失代偿期 酒精性肝炎？门静脉高压 食管静脉曲张不伴有出血 腹水 脾大 血小板减少 轻度贫血 高血压病3级（极高危） 肿瘤标记物升高</t>
  </si>
  <si>
    <t>熊去氧胆酸胶囊250mg口服TID，双环醇片25mg口服TID，(山东)雷贝拉唑钠肠溶片10mg口服QD，(金)卡维地洛片5mg口服QD，螺内酯片40mg口服BID，呋塞米20mg口服BID(自备)</t>
  </si>
  <si>
    <t>高月成</t>
  </si>
  <si>
    <t>乙肝后肝硬化 胃底静脉曲张 白细胞减少 肝功能不全 脾大 慢性胃炎 十二指肠球部溃疡 十二指肠球炎 肝囊肿 单纯性肾囊 高血压病2级（高危） 胆囊术后 肿瘤标记物升高</t>
  </si>
  <si>
    <t>兰索拉唑口崩片30mg口服QD、康复新液10ml口服TID、利可君片20mg口服TID、复方甘草酸苷片2片口服QD</t>
  </si>
  <si>
    <t>田福兰</t>
  </si>
  <si>
    <t>2025.9.6</t>
  </si>
  <si>
    <t>肝性脑病？肝硬化 胃溃疡 幽门管溃疡 慢性浅表性胃炎 结肠炎 胆囊炎 胆囊结石</t>
  </si>
  <si>
    <t>意识模糊，不合作</t>
  </si>
  <si>
    <t>李学芬</t>
  </si>
  <si>
    <t>2025.8.27</t>
  </si>
  <si>
    <t>消化道出血 门脉高压性胃肠病 肝硬化失代偿期 肝硬化伴食管静脉曲张 原发性胆汁性肝硬化 高氨血症</t>
  </si>
  <si>
    <t>熊去氧胆酸胶囊250mg口服TID，2艾司奥美拉唑镁肠溶片40mg口服QD，(大)双歧杆菌三联活菌肠溶胶囊0.84g口服BID</t>
  </si>
  <si>
    <t>肝硬化伴食管胃底静脉曲张 原发性胆汁性胆管炎 门脉高压性胃病</t>
  </si>
  <si>
    <t>2艾司奥美拉唑镁肠溶片40mg口服QD，康复新液10ml口服TID，熊去氧胆酸胶囊250mg口服TID，(尤金)甲泼尼龙片8mg口服QD，(泰丰)骨化三醇软胶囊0.25ug口服QD，硝苯地平控释片30mg口服QD</t>
  </si>
  <si>
    <t>赵颂臣</t>
  </si>
  <si>
    <t>2025.8.l27</t>
  </si>
  <si>
    <t>肝硬化 肝性脑病？细菌性肠道感染？肾功能不全 粒细胞缺乏 高尿酸血症 重度贫血</t>
  </si>
  <si>
    <t>不配合</t>
  </si>
  <si>
    <t>2艾司奥美拉唑镁肠溶片40mg口服QD、生血宁片0.5g口服TID、康复新液10ml口服TID、乳果糖口服溶液15ml口服QD</t>
  </si>
  <si>
    <t>蔡盛龙</t>
  </si>
  <si>
    <t>酒精性肝硬化失代偿期 腹水 高血压 低蛋白血症 高凝状态 睡眠障碍 消化道出血？</t>
  </si>
  <si>
    <t>熊去氧胆酸胶囊250mg口服TID，2米曲菌胰酶片24mg口服TID，螺内酯片40mg口服BID，2艾司奥美拉唑镁肠溶片40mg口服QD，(国)氯化钾缓释片1g口服QD，复方氨基酸胶囊(8-11)1粒口服TID</t>
  </si>
  <si>
    <t>王洪霞</t>
  </si>
  <si>
    <t>2025.8.20</t>
  </si>
  <si>
    <t>肝硬化失代偿期（自身免疫性肝硬化？非酒精性脂肪肝炎相关性肝硬化）食管静脉曲张 低蛋白血症 急性阑尾炎伴腹腔脓肿 胆囊结石 糖尿病</t>
  </si>
  <si>
    <t>中等</t>
  </si>
  <si>
    <t>熊去氧胆酸胶囊250mg口服TID，伊托必利片50mg口服TID，(顺)胰酶肠溶胶囊0.45g口服TID，阿卡波糖片50mg口服TID，螺内酯片40mg口服QD，复方氨基酸胶囊(8-11)2粒口服BID</t>
  </si>
  <si>
    <t>王凤永</t>
  </si>
  <si>
    <t>酒精性肝硬化伴食管静脉曲张破裂出血 贫血 高氨血症 胆汁淤积症 血小板减少 白细胞减少 多发性结肠息肉 低蛋白血症 胃潴留 慢性胃炎</t>
  </si>
  <si>
    <t>艾司奥美拉唑镁肠溶片40mg口服QD，康复新液10ml口服TID、(大)双歧杆菌三联活菌肠溶胶囊0.84g口服BID，2米曲菌胰酶片24mg口服TID，熊去氧胆酸胶囊250mg口服TID，腺苷蛋氨酸肠溶片1g口服QD</t>
  </si>
  <si>
    <t>2025.8.26</t>
  </si>
  <si>
    <t>2025.8.22</t>
  </si>
  <si>
    <t>肝硬化失代偿期 腹腔积液 低蛋白 自身免疫性肝硬化 食管胃底静脉曲张 胆汁反流性胃炎 肾功能不全 全血细胞减少 淋巴结增大</t>
  </si>
  <si>
    <t>螺内酯片20mg口服QD，复方氨基酸胶囊(8-11)2粒口服TID，利福昔明片0.2g口服TID</t>
  </si>
  <si>
    <t>贾金英</t>
  </si>
  <si>
    <t>2025.8.7</t>
  </si>
  <si>
    <t>2025.7.31</t>
  </si>
  <si>
    <t>肝硬化 肝功能不全 DIC？ 脾大 急性肺水肿 I型呼吸衰竭 腹泻 电解质紊乱 心功能不全 高血压 2型糖尿病 高氨血症 凝血功能异常 骨髓增生异常综合征</t>
  </si>
  <si>
    <t>复方氨基酸胶囊(8-11)2粒口服TID，琥珀酸美托洛尔缓释片23.75mg口服QD，2(依)单硝酸异山梨酯缓释片60mg口服QD，熊去氧胆酸胶囊250mg口服TID，(大)双歧杆菌三联活菌肠溶胶囊0.84g口服BID，2艾司奥美拉唑镁肠溶片40mg口服QD，(国)氯化钾缓释片1g口服TID，2达格列净片5mg口服QD，(齐)利格列汀片5mg口服QD</t>
  </si>
  <si>
    <t>肝硬化失代偿期 腹腔积液 凝血功能异常 低蛋白血症 贫血 下肢水肿 肾功能不全 电解质紊乱 细菌性感染 高凝状态</t>
  </si>
  <si>
    <t>(国)头孢地尼胶囊0.1g口服TID、复方氨基酸胶囊(8-11)2粒口服TID、(力)多糖铁复合物胶囊0.15g口服QD、(山东)雷贝拉唑钠肠溶片10mg口服QD、(大)双歧杆菌三联活菌肠溶胶囊0.84g口服BID、利福昔明片0.2g口服QID、2米曲菌胰酶片48mg口服TID、甲硝唑片0.2g口服TID(自备)、布拉氏酵母菌散0.25g口服BID</t>
  </si>
  <si>
    <t>肝硬化伴食管胃底静脉曲张 轻度贫血 脾大 门静脉高压 低蛋白血症 血小板减少 白细胞减少 高氨血症 门脉高压性胃病 心房颤动 下肢静脉肌间血栓形成</t>
  </si>
  <si>
    <t>康复新液10ml口服TID，熊去氧胆酸胶囊250mg口服TID，(大)双歧杆菌三联活菌肠溶胶囊0.84g口服TID，艾司奥美拉唑镁肠溶片40mg口服QD</t>
  </si>
  <si>
    <t>刘邱</t>
  </si>
  <si>
    <t>2025.8.6</t>
  </si>
  <si>
    <t>2025.8.18</t>
  </si>
  <si>
    <t>肝硬化伴食管胃底静脉曲张 自身免疫性肝硬化？ 脾大 低蛋白血症 血小板减少 白细胞减少 高氨血症 血清铁蛋白异常 脂肪肝 2型糖尿病 细菌性感染？</t>
  </si>
  <si>
    <t>2米曲菌胰酶片2mg口服TID，双歧杆菌三联活菌肠溶胶囊0.84mg口服BID，艾司奥美拉唑镁肠溶片40mg口服QD，康复新液10ml口服TID</t>
  </si>
  <si>
    <t>肝硬化伴食管胃底静脉曲张 乙型肝炎后肝硬化失代偿期 脾大 脾亢 中度贫血 低蛋白血症 凝血功能异常 门静脉血栓形成 脾静脉血栓 上消化道出血 十二指肠溃疡伴出血</t>
  </si>
  <si>
    <t>(苏)恩替卡分散片0.5mg口服QD，康复新液10ml口服TID，2艾司奥美拉唑镁肠溶片40mg口服QD</t>
  </si>
  <si>
    <t>2025.7.30</t>
  </si>
  <si>
    <t>2025.7.28</t>
  </si>
  <si>
    <t>肝硬化伴食管胃底静脉曲张破裂出血 慢性迁延型乙型病毒性肝炎 乙肝后肝硬化 重度贫血  低蛋白血症 凝血功能异常 血小板减少 白细胞减少 2型糖尿病</t>
  </si>
  <si>
    <t>(大)双歧杆菌三联活菌肠溶胶囊0.84g口服BID，2艾司奥美拉唑镁肠溶片40mg口服QD，康复新液10ml口服TID</t>
  </si>
  <si>
    <t>2025.7.25</t>
  </si>
  <si>
    <t>肝硬化伴食管胃底静脉曲张破裂出血 肝硬化失代偿期  脾大 腹腔积液 低蛋白血症 原发性胆汁性肝硬化 门静脉血栓形成 血小板减少 白细胞减少 高氨血症 高血压病3级（极高危）</t>
  </si>
  <si>
    <t>熊去氧胆酸胶囊250mg口服TID，(吉)左氧氟沙星片0.25g口服QD，(大)双歧杆菌三联活菌肠溶胶囊0.84g口服BID，康复新液10ml口服TID，(大)利伐沙班片10mg口服QD，(山东)雷贝拉唑钠肠溶片10mg口服QD</t>
  </si>
  <si>
    <t>2025.8.5</t>
  </si>
  <si>
    <t>肝硬化失代偿期  腹腔积液 低蛋白血症 中度贫血 血小板减少 凝血功能异常 高尿酸血症 肿瘤标记物升高</t>
  </si>
  <si>
    <t>螺内酯片40mg口服QD，利福昔明片0.2g口服QID，复方氨基酸胶囊(8-11)2粒口服TID，(山东)雷贝拉唑钠肠溶片10mg口服QD，康复新液10ml口服TID，(大)双歧杆菌三联活菌肠溶胶囊0.84g口服BID，呋塞米20mg口服QD(自备)</t>
  </si>
  <si>
    <t>2025.9.28</t>
  </si>
  <si>
    <t>肝硬化伴食管胃底静脉曲张 原发性胆汁性肝硬化 门静脉高压 脾大 胆囊结石 慢性胃炎</t>
  </si>
  <si>
    <t>T3</t>
  </si>
  <si>
    <t>腰围cm</t>
  </si>
  <si>
    <t>肌肉（-29,150）cm2</t>
  </si>
  <si>
    <t>皮下脂肪</t>
  </si>
  <si>
    <t>内脏脂肪（-150，-50）</t>
  </si>
  <si>
    <t>多裂肌HU</t>
  </si>
  <si>
    <t>多裂肌1</t>
  </si>
  <si>
    <t>皮下脂肪1</t>
  </si>
  <si>
    <t>IMAC</t>
  </si>
  <si>
    <t>肌肉2</t>
  </si>
  <si>
    <t>皮下脂肪2</t>
  </si>
  <si>
    <t>内脏脂肪2（-190，-30）</t>
  </si>
  <si>
    <t>VSR2</t>
  </si>
  <si>
    <t>苗华福</t>
  </si>
  <si>
    <t>SE2-58</t>
  </si>
  <si>
    <t>SE12-11</t>
  </si>
  <si>
    <t>刘剑英</t>
  </si>
  <si>
    <t>SE10-40</t>
  </si>
  <si>
    <t>SE12-2</t>
  </si>
  <si>
    <t>SE10-45</t>
  </si>
  <si>
    <t>SE1-55</t>
  </si>
  <si>
    <t>SE11-213</t>
  </si>
  <si>
    <t>SE1-51</t>
  </si>
  <si>
    <t>纪栓柱</t>
  </si>
  <si>
    <t>SE1-45</t>
  </si>
  <si>
    <t>SE1-36</t>
  </si>
  <si>
    <t>张宝贵</t>
  </si>
  <si>
    <t>SE1-34/85</t>
  </si>
  <si>
    <t>SE11-230</t>
  </si>
  <si>
    <t>SE7-181</t>
  </si>
  <si>
    <t>王学荣</t>
  </si>
  <si>
    <t>SE7-209</t>
  </si>
  <si>
    <t>王文立</t>
  </si>
  <si>
    <t>SE2-334</t>
  </si>
  <si>
    <t>王海</t>
  </si>
  <si>
    <t>SE7-51</t>
  </si>
  <si>
    <t>SE2-574</t>
  </si>
  <si>
    <t>SE1-62</t>
  </si>
  <si>
    <t>张凤财</t>
  </si>
  <si>
    <t>SE6-272</t>
  </si>
  <si>
    <t>SE5-229</t>
  </si>
  <si>
    <t>李树全</t>
  </si>
  <si>
    <t>PA2-SE2-292</t>
  </si>
  <si>
    <t>张一江</t>
  </si>
  <si>
    <t>SE2-95</t>
  </si>
  <si>
    <t>SE2-180</t>
  </si>
  <si>
    <t>SE8-44</t>
  </si>
  <si>
    <t>孙成福</t>
  </si>
  <si>
    <t>SE8-0</t>
  </si>
  <si>
    <t>刘棉春</t>
  </si>
  <si>
    <t>SE6-41</t>
  </si>
  <si>
    <t>SE8-229</t>
  </si>
  <si>
    <t>王伟</t>
  </si>
  <si>
    <t>韩晓刚</t>
  </si>
  <si>
    <t>郭金明</t>
  </si>
  <si>
    <t>齐美林</t>
  </si>
  <si>
    <t>刘克达</t>
  </si>
  <si>
    <t>史学峰</t>
  </si>
  <si>
    <t>尹俊秀</t>
  </si>
  <si>
    <t>陈友时</t>
  </si>
  <si>
    <t>胡增瑞</t>
  </si>
  <si>
    <t>孙承福</t>
  </si>
  <si>
    <t>魏克婷</t>
  </si>
  <si>
    <t>马广海</t>
  </si>
  <si>
    <t>孙宝清</t>
  </si>
  <si>
    <t>张凤兰</t>
  </si>
  <si>
    <t>李玉忠</t>
  </si>
  <si>
    <t>于雷</t>
  </si>
  <si>
    <t>王可忠</t>
  </si>
  <si>
    <t>王素平</t>
  </si>
  <si>
    <t>王兵修</t>
  </si>
  <si>
    <t>王敏</t>
  </si>
  <si>
    <t>韩宗伟</t>
  </si>
  <si>
    <t>邢军</t>
  </si>
  <si>
    <t>杨绍坤</t>
  </si>
  <si>
    <t>陈艳凤</t>
  </si>
  <si>
    <t>周桂娟</t>
  </si>
  <si>
    <t>任长安</t>
  </si>
  <si>
    <t>冯荣兰</t>
  </si>
  <si>
    <t>陈树国</t>
  </si>
  <si>
    <t>RFH-NPT评分风险</t>
  </si>
  <si>
    <t>表格填充</t>
  </si>
  <si>
    <t>0分 低度风险      1</t>
  </si>
  <si>
    <t>1没有</t>
  </si>
  <si>
    <t>1无</t>
  </si>
  <si>
    <t>＞18分，  高危</t>
  </si>
  <si>
    <t>低危=1</t>
  </si>
  <si>
    <t>5-6分     A</t>
  </si>
  <si>
    <t>A=1</t>
  </si>
  <si>
    <t>灰色</t>
  </si>
  <si>
    <t>死亡</t>
  </si>
  <si>
    <t>1分 中度风险      2</t>
  </si>
  <si>
    <t>2 1-2级</t>
  </si>
  <si>
    <t>2轻度</t>
  </si>
  <si>
    <t>15~18分，中危</t>
  </si>
  <si>
    <t>0        有</t>
  </si>
  <si>
    <t>中危=2</t>
  </si>
  <si>
    <t>7-9分     B</t>
  </si>
  <si>
    <t>B=2</t>
  </si>
  <si>
    <t>蓝色</t>
  </si>
  <si>
    <t>肝移植</t>
  </si>
  <si>
    <t>2-7分 高度风险  3</t>
  </si>
  <si>
    <t>3 3-4级</t>
  </si>
  <si>
    <t>3中重度</t>
  </si>
  <si>
    <t>≤14分，  低危</t>
  </si>
  <si>
    <t>1        无</t>
  </si>
  <si>
    <t>高危=3</t>
  </si>
  <si>
    <t>10-15分 C</t>
  </si>
  <si>
    <t>C=3</t>
  </si>
  <si>
    <t>红字</t>
  </si>
  <si>
    <t>诊断为肝癌或非肝硬化</t>
  </si>
  <si>
    <t>紫色</t>
  </si>
  <si>
    <t>失访</t>
  </si>
  <si>
    <t>MELD筛选步骤里包含有缺失值也能算出来的错误项,直接使用下一列meld评分即可,方便后续计算勿删除</t>
  </si>
  <si>
    <t>非噬肝病毒检测</t>
  </si>
  <si>
    <t>抗核抗体</t>
  </si>
  <si>
    <t>R值</t>
  </si>
  <si>
    <t>随访结局</t>
  </si>
  <si>
    <t>1   细小病毒B19IgM抗体</t>
  </si>
  <si>
    <t>0           无</t>
  </si>
  <si>
    <t>R&lt;2 胆汁淤积</t>
  </si>
  <si>
    <t>0             存活</t>
  </si>
  <si>
    <t>2   细小病毒B19IgG抗体</t>
  </si>
  <si>
    <t>1           有</t>
  </si>
  <si>
    <t>R 2-5 混合</t>
  </si>
  <si>
    <t>1             死亡</t>
  </si>
  <si>
    <t>3   抗EB病毒核抗原IgM抗体</t>
  </si>
  <si>
    <t>R&gt;5 肝细胞</t>
  </si>
  <si>
    <t>2             失联</t>
  </si>
  <si>
    <t>4   抗EB病毒核抗原IgG抗体</t>
  </si>
  <si>
    <t>1           男</t>
  </si>
  <si>
    <t>5   巨细胞病毒IgM抗体</t>
  </si>
  <si>
    <t>2           女</t>
  </si>
  <si>
    <t>NLR</t>
  </si>
  <si>
    <t>PLR</t>
  </si>
  <si>
    <t>LMR</t>
  </si>
  <si>
    <t>肝硬化病因</t>
  </si>
  <si>
    <t>≤3 正常</t>
  </si>
  <si>
    <t>≤150 正常</t>
  </si>
  <si>
    <t>≤2 正常</t>
  </si>
  <si>
    <t>1病毒</t>
  </si>
  <si>
    <t>3-5 中度炎症</t>
  </si>
  <si>
    <t>150-300 中度炎症</t>
  </si>
  <si>
    <t>2-4 中度炎症</t>
  </si>
  <si>
    <t>2酒精</t>
  </si>
  <si>
    <t>≥5高度炎症</t>
  </si>
  <si>
    <t>≥300高度炎症</t>
  </si>
  <si>
    <t>≥4高度炎症</t>
  </si>
  <si>
    <t>3免疫</t>
  </si>
  <si>
    <t>4胆源性</t>
  </si>
  <si>
    <t>5其他</t>
  </si>
  <si>
    <t>1 有</t>
  </si>
  <si>
    <t>0 没有</t>
  </si>
  <si>
    <t>饮食情况</t>
  </si>
  <si>
    <t>早餐</t>
  </si>
  <si>
    <t>1 8点前</t>
  </si>
  <si>
    <t>2 8:01到9点</t>
  </si>
  <si>
    <t>3 9:01到10点</t>
  </si>
  <si>
    <t>4 10点以后</t>
  </si>
  <si>
    <t>5 不吃早餐</t>
  </si>
  <si>
    <t>午餐</t>
  </si>
  <si>
    <t>1 10:01到11点</t>
  </si>
  <si>
    <t>2 11:01到12点</t>
  </si>
  <si>
    <t>3 12:01到13点</t>
  </si>
  <si>
    <t>4 13点以后</t>
  </si>
  <si>
    <t>5 不吃午餐</t>
  </si>
  <si>
    <t>晚餐</t>
  </si>
  <si>
    <t>1 15:01到16点</t>
  </si>
  <si>
    <t>2 16:01到17点</t>
  </si>
  <si>
    <t>3 17:01到18点</t>
  </si>
  <si>
    <t>4 18点以后</t>
  </si>
  <si>
    <t>5 不吃晚餐</t>
  </si>
  <si>
    <t>是否三餐间加餐</t>
  </si>
  <si>
    <t>1 是</t>
  </si>
  <si>
    <t>0 否</t>
  </si>
  <si>
    <t>三餐间加餐时间</t>
  </si>
  <si>
    <t>1早餐后</t>
  </si>
  <si>
    <t>2 午餐后</t>
  </si>
  <si>
    <t>3 晚餐后</t>
  </si>
  <si>
    <t>4 早午餐后</t>
  </si>
  <si>
    <t>5 早晚餐后</t>
  </si>
  <si>
    <t>6 午晚餐后</t>
  </si>
  <si>
    <t>7 三餐后</t>
  </si>
  <si>
    <t>每天进食次数</t>
  </si>
  <si>
    <t>是否睡前加餐</t>
  </si>
  <si>
    <t>是否睡醒后加餐</t>
  </si>
  <si>
    <t>CT数据</t>
  </si>
  <si>
    <t>营养状况评估值</t>
  </si>
  <si>
    <t>1打电话</t>
  </si>
  <si>
    <t>2坐车</t>
  </si>
  <si>
    <t>3买东西</t>
  </si>
  <si>
    <t>4做饭</t>
  </si>
  <si>
    <t>5做家务</t>
  </si>
  <si>
    <t>6服药</t>
  </si>
  <si>
    <t>7理财</t>
  </si>
  <si>
    <t>8搬运</t>
  </si>
  <si>
    <t>9爬楼梯</t>
  </si>
  <si>
    <t>10到附近买菜</t>
  </si>
  <si>
    <t>11洗澡或穿衣</t>
  </si>
  <si>
    <t>23弯腰</t>
  </si>
  <si>
    <t>12摔倒</t>
  </si>
  <si>
    <t>13最近身体情况</t>
  </si>
  <si>
    <t>14Exhaustion</t>
  </si>
  <si>
    <t>15服药数量</t>
  </si>
  <si>
    <t>16合并症</t>
  </si>
  <si>
    <t>17沮丧</t>
  </si>
  <si>
    <t>18心平气和</t>
  </si>
  <si>
    <t>19听力</t>
  </si>
  <si>
    <t>20视力</t>
  </si>
  <si>
    <t>21体重下降</t>
  </si>
  <si>
    <t>22社交活动</t>
  </si>
  <si>
    <t>住院号</t>
  </si>
  <si>
    <t>身高（cm)</t>
  </si>
  <si>
    <t>干体重BMI</t>
  </si>
  <si>
    <t>腹围（cm)</t>
  </si>
  <si>
    <t>CT腰围</t>
  </si>
  <si>
    <t>肌肉面积</t>
  </si>
  <si>
    <t>内脏脂肪</t>
  </si>
  <si>
    <t>VSR(内脏/皮下）</t>
  </si>
  <si>
    <t>SMI</t>
  </si>
  <si>
    <t>SATI</t>
  </si>
  <si>
    <t>VATI</t>
  </si>
  <si>
    <t>TATI</t>
  </si>
  <si>
    <t>握力</t>
  </si>
  <si>
    <t>Frailty值</t>
  </si>
  <si>
    <t>Frailty评分</t>
  </si>
  <si>
    <t>步速（s/5m）</t>
  </si>
  <si>
    <t>IDAL</t>
  </si>
  <si>
    <t>自身免疫性肝炎后肝硬化失代偿期，门静脉血栓形成，腹水，低蛋白血症，血小板减少，肝炎伴食管胃底静脉曲张术后，贫血，凝血功能异常</t>
  </si>
  <si>
    <t>肝脓肿，肝恶性肿瘤？隐源性肝硬化，2型糖尿病，高血压2级，胆囊术后，上呼吸道感染</t>
  </si>
  <si>
    <t>IGg相关疾病，自身免疫性胰腺炎，胰源性门脉高压，胃底静脉曲张伴出血，原发性腹膜后纤维化，输尿管狭窄，血糖升高，中度贫血，低钠血症，低氯血症，低钙血症，低蛋白血症，下肢水肿，桥本甲状腺炎，脾梗死</t>
  </si>
  <si>
    <t>酒精性肝硬化失代偿期，血性腹水，肝肿瘤，腹膜肿瘤，脾大，脾功能亢进，不完全性小肠梗阻，肺部感染，右侧胸腔积液，贫血，低蛋白血症，多发性肝囊肿，胆囊结石，冠心病，内痔术后，肾功能异常，门脉高压性胃病，十二指肠疾病，甲状腺功能减退</t>
  </si>
  <si>
    <t>肝硬化伴食管胃底静脉曲张破裂出血，乙型肝炎肝硬化失代偿期，脾大，腹水，低蛋白血症，肝细胞癌，肝恶性肿瘤介入术后，上呼吸道感染，白细胞减少，血小板减少</t>
  </si>
  <si>
    <t>杨俊海</t>
  </si>
  <si>
    <t>乙型肝炎后肝硬化失代偿期，低蛋白血症，脾大，脾功能亢进，血小板减少，白细胞减少，食管胃底静脉曲张破裂出血，重度贫血，2型糖尿病，肝恶性肿瘤术后，胆囊结石</t>
  </si>
  <si>
    <t>酒精性肝硬化失代偿期，腹腔积液，脾功能亢进，食管静脉曲张，结肠恶性肿瘤（腺癌），骨继发恶性肿瘤？腹部淋巴结继发恶性肿瘤？慢性胃炎，右肺部阴影（微结节），多发性肝囊肿，双肾单纯性肾囊肿，前列腺钙化灶，低蛋白血症，高尿酸血症，</t>
  </si>
  <si>
    <t>张义江</t>
  </si>
  <si>
    <t>酒精性肝硬化，腹水，腹腔继发恶性肿瘤？胃肠动态未定肿瘤？脾大，脾功能亢进，黄疸，低蛋白血症，高血压病2级（极高危），左肾恶性肿瘤切除术后，肛瘘术后</t>
  </si>
  <si>
    <t>酒精性肝硬化失代偿期，肝功能异常，低蛋白血症，腹水，脾大，中度贫血，脂肪肝，高甘油三酯血症，心律失常，室性期前收缩，髋关节置换术后</t>
  </si>
  <si>
    <t>李竹泉</t>
  </si>
  <si>
    <t>胰恶性肿瘤伴多发转移，肝恶性肿瘤（转移瘤），自身免疫性肝炎，酒精性肝炎？肝硬化失代偿期，低蛋白血症，腹腔积液，反流性食管炎，胃底静脉曲张，结肠息肉，慢性胃炎，内痔，类风湿关节炎，单纯性肾囊肿</t>
  </si>
  <si>
    <t>消化道出血，门脉高压性胃肠病，肝硬化失代偿期，慢性丙型病毒性肝炎，酒精性肝病，肝恶性肿瘤？，腹水，低蛋白血症，轻度贫血，凝血功能异常，胆囊术后</t>
  </si>
  <si>
    <t>乙型肝炎后肝硬化失代偿期，腹水，脾功能亢进，低蛋白血症，肝肿瘤？胸腔积液</t>
  </si>
  <si>
    <t>消化道出血，胆管恶性肿瘤，肝部继发性恶性肿瘤，胸腔继发恶性肿瘤，腹腔淋巴结继发恶性肿瘤，重度贫血，慢性丙型病毒性肝炎，肝炎后肝硬化？，腹腔积液，低蛋白血症，肺炎，胸腔积液，冠状动脉粥样硬化性心脏病，心功能不全，心绞痛，陈发行心房颤动，高凝状态，高血压病2级（极高危），下肢静脉血栓，</t>
  </si>
  <si>
    <t>细菌性肠道感染，溃疡性结肠炎？，克罗恩病？，肛瘘，乙型肝炎肝硬化，腹水，低蛋白血症，脾功能亢进，右肺恶性肿瘤？，陈旧性肺结核复燃？胸腔积液，低钾血症，脾大，2型糖尿病</t>
  </si>
  <si>
    <t>1、2</t>
  </si>
  <si>
    <t>肝硬化，心力衰竭，贫血原因待查，肺感染，肝占位性病变性质待定，2型糖尿病</t>
  </si>
  <si>
    <t>3、4</t>
  </si>
  <si>
    <t>肝硬化失代偿期，缺血性肠病，腹水，肠肿瘤？，盆腔肿瘤？，慢性胃炎，十二指肠溃疡，回肠溃疡，结缔组织病，干燥综合征，内痔，支气管炎，胸腔积液，肝功能异常，肾功能异常，低蛋白血症，贫血，电解质代谢紊乱，凝血功能异常</t>
  </si>
  <si>
    <t>肝脏恶性肿瘤，消化道出血，酒精性肝硬化伴食管胃底静脉曲张，低蛋白血症，脾大，凝血功能异常，2型糖尿病，高血压病3级（极高危），中度贫血</t>
  </si>
  <si>
    <t>乙状结肠恶性肿瘤（术后）？，多发性结肠息肉，胃息肉（多发），主动脉瓣机械瓣置换状态，肝硬化失代偿期，脾功能亢进，肝硬化伴食管静脉曲张，慢性胃炎，内痔</t>
  </si>
  <si>
    <t>吴葆兰</t>
  </si>
  <si>
    <t>消化道出血，食管静脉曲张伴有出血，肝硬化失代偿期，脾大，低蛋白血症，腹水，胃底静脉曲张，慢性胃炎，肝细胞癌，自身免疫性肝炎，2型糖尿病</t>
  </si>
  <si>
    <t>消化道出血、十二指肠球部溃疡、慢性迁延性乙型病毒性肝炎、肝硬化、肝恶性肿瘤、胃底静脉曲张、脾大、脾功能亢进、低蛋白血症</t>
  </si>
  <si>
    <t>肝硬化伴胃底静脉曲张破裂出血、原发性胆汁性肝硬化、自生免疫性肝炎、再生障碍性贫血</t>
  </si>
  <si>
    <t>慢加急性肝衰，肝硬化失代偿期，原发性胆汁性胆管炎，自身免疫性肝炎？门静脉高压，低蛋白血症，腹水，肝肿瘤？肝囊肿，重度骨质疏松，胸腔积液，脐疝，心肌酶谱异常，肿瘤标记物升高</t>
  </si>
  <si>
    <t>消化道出血、消化性溃疡？食管胃底静脉曲张破裂出血？乙肝肝硬化失代偿、脾亢</t>
  </si>
  <si>
    <t>消化道出血，食管胃底静脉曲张破裂出血？腹水，脾功能亢进，贫血，自身免疫性肝炎,肾功能异常，低蛋白血症、</t>
  </si>
  <si>
    <t>消化道出血，胃溃疡，结肠溃疡，酒精性肝硬化失代偿期，腹腔积液，EB病毒感染，中毒贫血，低蛋白血症，慢性肾盂肾炎，痛风</t>
  </si>
  <si>
    <t>消化道出血、食管贲门粘膜撕裂综合征、丙型肝炎肝硬化、肝硬化伴食管静脉曲张、食管炎、慢性胃炎、肝占位性病变、胆囊结石、结缔组织病</t>
  </si>
  <si>
    <t>侯志刚</t>
  </si>
  <si>
    <t>恶性肿瘤全身转移、胃恶性肿瘤？腹膜肿瘤、酒精性肝硬化失代偿期、腹水、肝肾综合征、胆汁淤积症、肝性脑病、凝血功能异常、电解质代谢紊乱、代谢性酸中毒、低蛋白血症、肾功能异常、肾小管酸中毒、高血压2级</t>
  </si>
  <si>
    <t>结肠癌伴出血？消化道出血、肝性脑病、肝硬化失代偿期（TIP后）、低蛋白血症、胃底静脉曲张、全血细胞减少、脾亢、多发性结肠息肉。</t>
  </si>
  <si>
    <t>赵秀岩</t>
  </si>
  <si>
    <t>肝癌</t>
  </si>
  <si>
    <t>消化道出血、食管静脉出血伴有出血、丙肝肝硬化失代偿期、2型糖尿病、冠状动脉性心脏病、高血压3级</t>
  </si>
  <si>
    <t>自免肝、PBC肝硬化、肝衰、脾亢、腹水、低蛋白血症、门静脉血栓、食管胃底静脉曲张、右肺恶性肿瘤？</t>
  </si>
  <si>
    <t>景美荣</t>
  </si>
  <si>
    <t>结肠恶性肿瘤、不完全肠梗阻、肝功能异常、肝硬化？自身免疫性肝炎？胰腺囊肿性病变、高血压3级</t>
  </si>
  <si>
    <t>王志芬</t>
  </si>
  <si>
    <t>肝硬化失代偿期、药物性肝损害、十二指肠肿物（高级版上皮内瘤变）、胃息肉（多发）、慢性胃炎、慢性肾衰竭（尿毒症期）、肾性贫血、肾性高血压、低蛋白血症、多浆膜腔积液、低蛋白血症、甲减、电解质代谢紊乱、心功能不全、类风湿关节炎、胆囊结石、单纯性肾囊肿、子宫平滑肌瘤变性？</t>
  </si>
  <si>
    <t>戴立刚</t>
  </si>
  <si>
    <t>酒精性肝硬化、肝硬化伴食管胃底静脉曲张、门静脉高压性胃肠病、结肠息肉、缺铁性贫血、右侧肾上腺腺瘤</t>
  </si>
  <si>
    <t>刘凤亭</t>
  </si>
  <si>
    <t>乙肝肝硬化失代偿期、门静脉高压、脾大、腹水、肝硬化伴食管静脉曲张（重度）、子宫附件肿瘤、蛋白尿、乳腺增生</t>
  </si>
  <si>
    <t>乙肝肝硬化失代偿期、食管胃底静脉曲张破裂出血、肝恶性肿瘤个人史、2型糖尿病、冠心病、胆囊结石、焦虑状态</t>
  </si>
  <si>
    <t>乙肝肝硬化伴胃底静脉曲张破裂出血、肝肿瘤术后、脾大、</t>
  </si>
  <si>
    <t>李青恒</t>
  </si>
  <si>
    <t>乙肝肝硬化失代偿、消化道出血、胃溃疡出血、食管静脉曲张套扎术后、胃底静脉曲张硬化术后、胃底静脉曲张组织胶治疗后、门脉高压性胃肠病、脾大、脾亢、胆囊结石、低蛋白血症、肝肿瘤术后</t>
  </si>
  <si>
    <t>酒精性肝硬化失代偿期、门脉高压性胃肠病、食管胃底静脉曲张、自身免疫性肝炎？低蛋白血症、凝血功能异常、脾功能亢进、2型糖尿病、高血压3级</t>
  </si>
  <si>
    <t>PNI</t>
  </si>
  <si>
    <t>联系方式</t>
  </si>
  <si>
    <t>MILD评分</t>
  </si>
  <si>
    <t>RBC</t>
  </si>
  <si>
    <t>PLT</t>
  </si>
  <si>
    <t>NEU</t>
  </si>
  <si>
    <t>LYN</t>
  </si>
  <si>
    <t>MON</t>
  </si>
  <si>
    <t>AFP（ng/ml)</t>
  </si>
  <si>
    <t>Fer（ng/ml)</t>
  </si>
  <si>
    <t>CEA（ng/ml)</t>
  </si>
  <si>
    <t>CA-199（U/ml)</t>
  </si>
  <si>
    <t>CA-153</t>
  </si>
  <si>
    <t>CA-125</t>
  </si>
  <si>
    <t>HE4</t>
  </si>
  <si>
    <t>CYFRA21-1</t>
  </si>
  <si>
    <t>SCC</t>
  </si>
  <si>
    <t>Pro-GRP</t>
  </si>
  <si>
    <t>T-PSA（ng/ml)</t>
  </si>
  <si>
    <t>血氨umol/L）</t>
  </si>
  <si>
    <t>血淀粉酶（U/L)</t>
  </si>
  <si>
    <t>尿淀粉酶</t>
  </si>
  <si>
    <t>血脂肪酶（U/L)</t>
  </si>
  <si>
    <t>PT</t>
  </si>
  <si>
    <t>APTT</t>
  </si>
  <si>
    <t>TT</t>
  </si>
  <si>
    <t>FIB</t>
  </si>
  <si>
    <t>D-Dimer（ng/mL)</t>
  </si>
  <si>
    <t>总蛋白（g/L）</t>
  </si>
  <si>
    <t>球蛋白</t>
  </si>
  <si>
    <t>ALT</t>
  </si>
  <si>
    <t>AST</t>
  </si>
  <si>
    <t>ALP</t>
  </si>
  <si>
    <t>GGT</t>
  </si>
  <si>
    <t>LDH</t>
  </si>
  <si>
    <t>DBIL</t>
  </si>
  <si>
    <t>ALT/AST</t>
  </si>
  <si>
    <t>ALP/GGT</t>
  </si>
  <si>
    <t>TBIL/DBIL</t>
  </si>
  <si>
    <t>TC</t>
  </si>
  <si>
    <t>TG</t>
  </si>
  <si>
    <t>HDL</t>
  </si>
  <si>
    <t>LDL</t>
  </si>
  <si>
    <t>血尿素</t>
  </si>
  <si>
    <t>尿酸</t>
  </si>
  <si>
    <t>GLU</t>
  </si>
  <si>
    <t>Ca</t>
  </si>
  <si>
    <t>K</t>
  </si>
  <si>
    <t>CL</t>
  </si>
  <si>
    <t>CO2CP</t>
  </si>
  <si>
    <t>AG</t>
  </si>
  <si>
    <t>血清铜（umol/l)</t>
  </si>
  <si>
    <t>CK</t>
  </si>
  <si>
    <t>CK-MB</t>
  </si>
  <si>
    <t>CTNT</t>
  </si>
  <si>
    <t>NT-PROBNP</t>
  </si>
  <si>
    <t>BNP</t>
  </si>
  <si>
    <t>FT3</t>
  </si>
  <si>
    <t>FT4</t>
  </si>
  <si>
    <t>TSH</t>
  </si>
  <si>
    <t>ALB白蛋白</t>
  </si>
  <si>
    <t>α-1球蛋白</t>
  </si>
  <si>
    <t>α-2球蛋白</t>
  </si>
  <si>
    <t>β-1球蛋白</t>
  </si>
  <si>
    <t>β-2球蛋白</t>
  </si>
  <si>
    <t>γ-球蛋白</t>
  </si>
  <si>
    <t>A/G</t>
  </si>
  <si>
    <t>IgG</t>
  </si>
  <si>
    <t>IgA</t>
  </si>
  <si>
    <t>IgM</t>
  </si>
  <si>
    <t>C3</t>
  </si>
  <si>
    <t>C4</t>
  </si>
  <si>
    <t>IgE</t>
  </si>
  <si>
    <t>IgG4</t>
  </si>
  <si>
    <t>CRP</t>
  </si>
  <si>
    <t>PCT</t>
  </si>
  <si>
    <t>TP</t>
  </si>
  <si>
    <t>ADA</t>
  </si>
  <si>
    <t>hs-CRP</t>
  </si>
  <si>
    <t>LAC</t>
  </si>
  <si>
    <t>＞2000</t>
  </si>
  <si>
    <t>&lt;2</t>
  </si>
  <si>
    <t>3，4</t>
  </si>
  <si>
    <t>＜0.05</t>
  </si>
  <si>
    <t>＜2</t>
  </si>
  <si>
    <t>＜9</t>
  </si>
  <si>
    <t>＜3</t>
  </si>
  <si>
    <t>＜1.54</t>
  </si>
  <si>
    <t>＞100</t>
  </si>
  <si>
    <t>45，7</t>
  </si>
  <si>
    <t>＞1200</t>
  </si>
  <si>
    <t>＜5</t>
  </si>
  <si>
    <t>＜0.003</t>
  </si>
  <si>
    <t>＞10000</t>
  </si>
  <si>
    <t>＜0.004</t>
  </si>
  <si>
    <t>3,4</t>
  </si>
  <si>
    <t>＜1</t>
  </si>
  <si>
    <t>13920393599/18622604423</t>
  </si>
  <si>
    <t>】</t>
  </si>
  <si>
    <t>&lt;0.003</t>
  </si>
  <si>
    <t>2020/18</t>
  </si>
  <si>
    <t>消化道出血</t>
  </si>
  <si>
    <t>&lt;5</t>
  </si>
  <si>
    <t>&lt;0.05</t>
  </si>
  <si>
    <t>诊断编号</t>
  </si>
  <si>
    <t>血标本（有1无0）</t>
  </si>
  <si>
    <t>出血</t>
  </si>
  <si>
    <t>编号</t>
  </si>
  <si>
    <t>记录日期</t>
  </si>
  <si>
    <t>胃镜 镜下所见</t>
  </si>
  <si>
    <t>胃镜 镜下诊断</t>
  </si>
  <si>
    <t>入院日期</t>
  </si>
  <si>
    <t>出院日期</t>
  </si>
  <si>
    <t>床号</t>
  </si>
  <si>
    <t>身高</t>
  </si>
  <si>
    <t>CT检查日期</t>
  </si>
  <si>
    <t>30天随访</t>
  </si>
  <si>
    <t>情况</t>
  </si>
  <si>
    <t>3个月随访（90天）</t>
  </si>
  <si>
    <t>半年随访（180）</t>
  </si>
  <si>
    <t>1年随访</t>
  </si>
  <si>
    <t>体重</t>
  </si>
  <si>
    <t>2019/4/8随访</t>
  </si>
  <si>
    <t>2019/4/8随访结局</t>
  </si>
  <si>
    <t>随访时间</t>
  </si>
  <si>
    <t>年龄(y）</t>
  </si>
  <si>
    <t>入院感染</t>
  </si>
  <si>
    <t>主诉</t>
  </si>
  <si>
    <t>既往史</t>
  </si>
  <si>
    <t>饮酒史</t>
  </si>
  <si>
    <t>肝炎史</t>
  </si>
  <si>
    <t>诊断</t>
  </si>
  <si>
    <t>酒精性2</t>
  </si>
  <si>
    <t>病毒性1</t>
  </si>
  <si>
    <t>乙肝DNA</t>
  </si>
  <si>
    <t>自免肝3</t>
  </si>
  <si>
    <t>PBC4</t>
  </si>
  <si>
    <t>FI02 （%）</t>
  </si>
  <si>
    <t>PaO2</t>
  </si>
  <si>
    <t>PaO2/FIO2</t>
  </si>
  <si>
    <t>呼衰</t>
  </si>
  <si>
    <t>ACLF</t>
  </si>
  <si>
    <t>肝衰</t>
  </si>
  <si>
    <t>肾衰</t>
  </si>
  <si>
    <t>心功能</t>
  </si>
  <si>
    <t>呼吸</t>
  </si>
  <si>
    <t>白蛋白(g/L)</t>
  </si>
  <si>
    <t>28-35 2</t>
  </si>
  <si>
    <t xml:space="preserve">INR </t>
  </si>
  <si>
    <t>1.7-2.3 2</t>
  </si>
  <si>
    <t>总胆红素(umol/L)</t>
  </si>
  <si>
    <t>34~51 2</t>
  </si>
  <si>
    <t>评分</t>
  </si>
  <si>
    <t>等级 7~9 B</t>
  </si>
  <si>
    <t>胆红素</t>
  </si>
  <si>
    <t>TBIL（mg/dl）</t>
  </si>
  <si>
    <t>肌酐</t>
  </si>
  <si>
    <t>Scr（mg/dl）</t>
  </si>
  <si>
    <t>结果</t>
  </si>
  <si>
    <t>评分取整数</t>
  </si>
  <si>
    <t>体温</t>
  </si>
  <si>
    <t>心率</t>
  </si>
  <si>
    <t>PaCO2</t>
  </si>
  <si>
    <t>N（109/L）</t>
  </si>
  <si>
    <t>L</t>
  </si>
  <si>
    <t>RBC(*10^12/L)</t>
  </si>
  <si>
    <t>Hb(g/L)</t>
  </si>
  <si>
    <t>PLT(*10^9/L)</t>
  </si>
  <si>
    <t>N/%</t>
  </si>
  <si>
    <t>L/%</t>
  </si>
  <si>
    <t>M%</t>
  </si>
  <si>
    <t>EO%</t>
  </si>
  <si>
    <t>RDW-CV</t>
  </si>
  <si>
    <t>RDW-SD</t>
  </si>
  <si>
    <t>PDW血小板体积分布宽度</t>
  </si>
  <si>
    <t>MPV平均血小板体积</t>
  </si>
  <si>
    <t>P-LCR（血小板比率）</t>
  </si>
  <si>
    <t>潜血 免疫</t>
  </si>
  <si>
    <t>红细胞</t>
  </si>
  <si>
    <t>白细胞</t>
  </si>
  <si>
    <t>NIT</t>
  </si>
  <si>
    <t>比重</t>
  </si>
  <si>
    <t>粘蛋白定型试验</t>
  </si>
  <si>
    <t>红细胞计数10^6/L</t>
  </si>
  <si>
    <t>有核细胞计数10^6/L</t>
  </si>
  <si>
    <t>多核细胞%</t>
  </si>
  <si>
    <t>单个核细胞%</t>
  </si>
  <si>
    <t>Cl</t>
  </si>
  <si>
    <t>ALB%</t>
  </si>
  <si>
    <t>a1球蛋白</t>
  </si>
  <si>
    <t>a2球蛋白</t>
  </si>
  <si>
    <t>b球蛋白</t>
  </si>
  <si>
    <t>r蛋白</t>
  </si>
  <si>
    <t>总蛋白</t>
  </si>
  <si>
    <t>ALB(g/L)</t>
  </si>
  <si>
    <t>GLO(g/L)</t>
  </si>
  <si>
    <t>ALKP</t>
  </si>
  <si>
    <t>PT-INR</t>
  </si>
  <si>
    <t>DDimer</t>
  </si>
  <si>
    <t>转铁蛋白TRF</t>
  </si>
  <si>
    <t>Fer</t>
  </si>
  <si>
    <t>血清铁</t>
  </si>
  <si>
    <t>总铁结合力</t>
  </si>
  <si>
    <t>不饱和铁结合力</t>
  </si>
  <si>
    <t>饱和铁结合度</t>
  </si>
  <si>
    <t>血清铜</t>
  </si>
  <si>
    <t>ESR</t>
  </si>
  <si>
    <t>AFP0-20ng/ml</t>
  </si>
  <si>
    <t>Fer 4.6-204ng/ml</t>
  </si>
  <si>
    <t>CEA0-5ng/ml</t>
  </si>
  <si>
    <t>CA19-90-37U/ml</t>
  </si>
  <si>
    <t>CA242(0-20U/ml)</t>
  </si>
  <si>
    <t>PSA</t>
  </si>
  <si>
    <t>CA125</t>
  </si>
  <si>
    <t>HE4&lt;150PM</t>
  </si>
  <si>
    <t>ANA</t>
  </si>
  <si>
    <t>口服止血药</t>
  </si>
  <si>
    <t>静脉止血药</t>
  </si>
  <si>
    <t>硬化剂</t>
  </si>
  <si>
    <t>套扎</t>
  </si>
  <si>
    <t>马玉敏</t>
  </si>
  <si>
    <t>（2015）食管可见数条曲张静脉，迂曲，局部串珠状，红色征（+），经贲门延及胃底，胃底见3条曲张静脉，局部膨大呈瘤状，红色征（+）。胃体脑回状，橘红色，粘膜水肿。胃角形态完整。胃窦粘膜欠光滑，水肿，可见多发息肉样隆起，NBI：局部深染，腺管开口欠规整，检1，渗血明显，和谐夹闭合创面，冲洗，无活动性出血。幽门变形，粘膜水肿，糜烂，NBI：局部深染，腺管开口欠规整，大弯侧检1。十二指肠球部粘膜光滑，未见溃疡。球后未见异常。
操作记录：胃底曲张静脉分3点三明治法（聚桂醇+组织粘合剂+聚桂醇）注射治疗，分别注射组织粘合剂1ml、1ml和0.5ml，曲张静脉变硬，冲洗，无出血。自贲门螺旋式向上套扎食管曲张静脉，共4点，曲张静脉变平，无出血。患者未诉明显不适，术毕。</t>
  </si>
  <si>
    <t>食管曲张静脉（套扎治疗）；
胃底静脉曲张（组织粘合剂注射治疗）；
胃多发息肉；
门脉高压性胃病；
幽门黏膜病变性质待定</t>
  </si>
  <si>
    <t>黑便5天</t>
  </si>
  <si>
    <t>食管胃底静脉曲张破裂出血、门脉高压性胃病、胃息肉、原发性胆汁性肝硬化、腹水、低蛋白血症、电解质紊乱、贫血</t>
  </si>
  <si>
    <t>韩仙桃</t>
  </si>
  <si>
    <t>食管中下段可见多发瘢痕，可见静脉显露，贲门闭合良好，胃底未见曲张静脉，粘膜光滑，胃体脑回状，橘红色。胃角形态完整。胃窦黏膜粗糙，多发充血条带，汇聚于幽门口，可见活动性渗血。幽门可见，圆形，开闭自如，粘膜光滑，色泽淡红。十二指肠球部粘膜光滑，未见溃疡。球后未见异常。</t>
  </si>
  <si>
    <t>门脉高压性胃病
胃窦毛细血管扩张症</t>
  </si>
  <si>
    <t>未接</t>
  </si>
  <si>
    <t>肝硬化8年，贫血2年</t>
  </si>
  <si>
    <t>自身免疫性肝硬化、门脉高压性胃病、脾大、肝囊肿、结肠息肉切除术后、冠心病</t>
  </si>
  <si>
    <t>元毓华</t>
  </si>
  <si>
    <t>转接</t>
  </si>
  <si>
    <t>发现肝硬化1年，意识不清1周</t>
  </si>
  <si>
    <t>肝硬化失代偿期、自身免疫性肝病？肝性脑病、脾亢、食管胃底静脉曲张、2型糖尿病、高血压2级、脑萎缩、胆囊结石+肾囊肿、双下肢静脉曲张、陈旧性脑梗死</t>
  </si>
  <si>
    <t>叶方文</t>
  </si>
  <si>
    <t>食管距门齿25cm至贲门可见4条曲张静脉，蛇形迂曲，红色征，35cm表面可见血凝块，贲门闭合良好，胃底可见约3*3cm不规则曲张静脉，红色征，胃体脑回状，橘红色。胃角形态完整。胃窦粘膜光滑，蠕动正常，色泽红白相间。幽门可见，圆形，开闭自如，粘膜光滑，色泽淡红。十二指肠球部前壁可见约0.4*0.3cm的息肉样隆起，检1，质软。球后未见异常。
操作记录：食管距门齿25cm至贲门可见4条曲张静脉，蛇形迂曲，红色征，35cm表面可见血凝块，自下而上螺旋式套扎7处，无出血。胃底可见约3*3cm不规则曲张静脉，红色征，以聚桂醇-组织胶-聚桂醇的三明治法（聚桂醇20ml+组织胶8支/4ml）分两点注射于病变处，局部肿胀、变白变硬，无明显出血。</t>
  </si>
  <si>
    <t>食管静脉曲张套扎术
胃底静脉曲张组织胶注射术
慢性胃炎
十二指肠球息肉？</t>
  </si>
  <si>
    <t>恶心伴间断呕血3次5日</t>
  </si>
  <si>
    <t>肝硬化失代偿期、食管静脉曲张套扎术、胃底静脉曲张组织胶注射术、脾大、腹水、低蛋白血症、慢性乙肝、</t>
  </si>
  <si>
    <t>阳性</t>
  </si>
  <si>
    <t>再入院  0</t>
  </si>
  <si>
    <t>发现黑便1周左右</t>
  </si>
  <si>
    <t>上消化道出血、食管胃底静脉曲张、胃毛细血管扩张、肝硬化失代偿、隐源性肝硬化、门腔静脉分流术后、十二指肠球炎、慢性胃炎、2糖尿病、高血压1、肝囊肿、轻度贫血</t>
  </si>
  <si>
    <t>张砚桥</t>
  </si>
  <si>
    <t>2018-12死亡</t>
  </si>
  <si>
    <t>腹胀1周</t>
  </si>
  <si>
    <t>肝癌、乙肝后肝硬化、食管静脉曲张、门脉扩张、脾大、低蛋白血症、慢性胃炎伴糜烂、低钾血症、菌血症?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</si>
</sst>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 numFmtId="177" formatCode="0;[Red]0"/>
    <numFmt numFmtId="178" formatCode="0.000_ "/>
    <numFmt numFmtId="179" formatCode="0.0000_ "/>
    <numFmt numFmtId="180" formatCode="0.000000_ "/>
    <numFmt numFmtId="181" formatCode="0.00_ "/>
    <numFmt numFmtId="182" formatCode="0_ "/>
    <numFmt numFmtId="183" formatCode="0.00_);[Red]\(0.00\)"/>
    <numFmt numFmtId="184" formatCode="yyyy/m/d;@"/>
    <numFmt numFmtId="185" formatCode="0.00000000_);[Red]\(0.00000000\)"/>
    <numFmt numFmtId="186" formatCode="0_);[Red]\(0\)"/>
    <numFmt numFmtId="187" formatCode="0.0_);[Red]\(0.0\)"/>
  </numFmts>
  <fonts count="40">
    <font>
      <sz val="11"/>
      <name val="等线"/>
      <charset val="134"/>
    </font>
    <font>
      <sz val="11"/>
      <color rgb="FF000000"/>
      <name val="等线"/>
      <charset val="134"/>
    </font>
    <font>
      <sz val="14"/>
      <color rgb="FF000000"/>
      <name val="楷体-简"/>
      <charset val="134"/>
    </font>
    <font>
      <sz val="14"/>
      <name val="楷体-简"/>
      <charset val="134"/>
    </font>
    <font>
      <sz val="12"/>
      <name val="宋体"/>
      <charset val="134"/>
    </font>
    <font>
      <sz val="14"/>
      <color rgb="FFFF0000"/>
      <name val="楷体-简"/>
      <charset val="134"/>
    </font>
    <font>
      <sz val="10"/>
      <name val="宋体"/>
      <charset val="134"/>
    </font>
    <font>
      <sz val="11"/>
      <color indexed="8"/>
      <name val="宋体"/>
      <charset val="134"/>
    </font>
    <font>
      <sz val="11"/>
      <color rgb="FFC00000"/>
      <name val="等线"/>
      <charset val="134"/>
    </font>
    <font>
      <sz val="11"/>
      <color rgb="FFFF0000"/>
      <name val="等线"/>
      <charset val="134"/>
    </font>
    <font>
      <sz val="11"/>
      <color rgb="FF000000"/>
      <name val="宋体"/>
      <charset val="134"/>
    </font>
    <font>
      <sz val="11"/>
      <color rgb="FF262626"/>
      <name val="等线"/>
      <charset val="134"/>
    </font>
    <font>
      <sz val="11"/>
      <name val="等线5"/>
      <charset val="134"/>
    </font>
    <font>
      <sz val="11"/>
      <name val="宋体"/>
      <charset val="134"/>
    </font>
    <font>
      <sz val="12"/>
      <color rgb="FF000000"/>
      <name val="宋体"/>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汉仪书宋二KW"/>
      <charset val="134"/>
    </font>
    <font>
      <sz val="11"/>
      <color rgb="FF262626"/>
      <name val="汉仪书宋二KW"/>
      <charset val="134"/>
    </font>
    <font>
      <b/>
      <sz val="9"/>
      <name val="宋体"/>
      <charset val="134"/>
    </font>
    <font>
      <sz val="9"/>
      <name val="宋体"/>
      <charset val="134"/>
    </font>
  </fonts>
  <fills count="78">
    <fill>
      <patternFill patternType="none"/>
    </fill>
    <fill>
      <patternFill patternType="gray125"/>
    </fill>
    <fill>
      <patternFill patternType="solid">
        <fgColor rgb="FF00B0F0"/>
        <bgColor indexed="64"/>
      </patternFill>
    </fill>
    <fill>
      <patternFill patternType="solid">
        <fgColor rgb="FFD5DCE4"/>
        <bgColor indexed="64"/>
      </patternFill>
    </fill>
    <fill>
      <patternFill patternType="solid">
        <fgColor rgb="FFBDD7EE"/>
        <bgColor indexed="64"/>
      </patternFill>
    </fill>
    <fill>
      <patternFill patternType="solid">
        <fgColor rgb="FFB4C7E7"/>
        <bgColor indexed="64"/>
      </patternFill>
    </fill>
    <fill>
      <patternFill patternType="solid">
        <fgColor rgb="FFDEEAF6"/>
        <bgColor indexed="64"/>
      </patternFill>
    </fill>
    <fill>
      <patternFill patternType="solid">
        <fgColor rgb="FF9DC2E5"/>
        <bgColor indexed="64"/>
      </patternFill>
    </fill>
    <fill>
      <patternFill patternType="solid">
        <fgColor rgb="FFFFE598"/>
        <bgColor indexed="64"/>
      </patternFill>
    </fill>
    <fill>
      <patternFill patternType="solid">
        <fgColor rgb="FFC5E0B3"/>
        <bgColor indexed="64"/>
      </patternFill>
    </fill>
    <fill>
      <patternFill patternType="solid">
        <fgColor rgb="FFF7CAAC"/>
        <bgColor indexed="64"/>
      </patternFill>
    </fill>
    <fill>
      <patternFill patternType="solid">
        <fgColor rgb="FF8BE8FF"/>
        <bgColor indexed="64"/>
      </patternFill>
    </fill>
    <fill>
      <patternFill patternType="solid">
        <fgColor rgb="FFEDC0E6"/>
        <bgColor indexed="64"/>
      </patternFill>
    </fill>
    <fill>
      <patternFill patternType="solid">
        <fgColor rgb="FFE4A2F5"/>
        <bgColor indexed="64"/>
      </patternFill>
    </fill>
    <fill>
      <patternFill patternType="solid">
        <fgColor rgb="FFFFA5A5"/>
        <bgColor indexed="64"/>
      </patternFill>
    </fill>
    <fill>
      <patternFill patternType="solid">
        <fgColor rgb="FFD9E3F3"/>
        <bgColor indexed="64"/>
      </patternFill>
    </fill>
    <fill>
      <patternFill patternType="solid">
        <fgColor rgb="FFFFF2CB"/>
        <bgColor indexed="64"/>
      </patternFill>
    </fill>
    <fill>
      <patternFill patternType="solid">
        <fgColor rgb="FFD4F3BC"/>
        <bgColor indexed="64"/>
      </patternFill>
    </fill>
    <fill>
      <patternFill patternType="solid">
        <fgColor rgb="FFD0B5E9"/>
        <bgColor indexed="64"/>
      </patternFill>
    </fill>
    <fill>
      <patternFill patternType="solid">
        <fgColor rgb="FFD97BCB"/>
        <bgColor indexed="64"/>
      </patternFill>
    </fill>
    <fill>
      <patternFill patternType="solid">
        <fgColor rgb="FFFFF57D"/>
        <bgColor indexed="64"/>
      </patternFill>
    </fill>
    <fill>
      <patternFill patternType="solid">
        <fgColor rgb="FFE2EFD9"/>
        <bgColor indexed="64"/>
      </patternFill>
    </fill>
    <fill>
      <patternFill patternType="solid">
        <fgColor rgb="FFF8DDC1"/>
        <bgColor indexed="64"/>
      </patternFill>
    </fill>
    <fill>
      <patternFill patternType="solid">
        <fgColor rgb="FFFF0000"/>
        <bgColor indexed="64"/>
      </patternFill>
    </fill>
    <fill>
      <patternFill patternType="solid">
        <fgColor rgb="FFFFFF00"/>
        <bgColor indexed="64"/>
      </patternFill>
    </fill>
    <fill>
      <patternFill patternType="solid">
        <fgColor rgb="FFCC3300"/>
        <bgColor indexed="64"/>
      </patternFill>
    </fill>
    <fill>
      <patternFill patternType="solid">
        <fgColor rgb="FF92D050"/>
        <bgColor indexed="64"/>
      </patternFill>
    </fill>
    <fill>
      <patternFill patternType="solid">
        <fgColor rgb="FFFFC000"/>
        <bgColor indexed="64"/>
      </patternFill>
    </fill>
    <fill>
      <patternFill patternType="solid">
        <fgColor rgb="FFC00000"/>
        <bgColor indexed="64"/>
      </patternFill>
    </fill>
    <fill>
      <patternFill patternType="solid">
        <fgColor rgb="FFFBE4D5"/>
        <bgColor indexed="64"/>
      </patternFill>
    </fill>
    <fill>
      <patternFill patternType="solid">
        <fgColor rgb="FFEB6E61"/>
        <bgColor indexed="64"/>
      </patternFill>
    </fill>
    <fill>
      <patternFill patternType="solid">
        <fgColor rgb="FFA8D08D"/>
        <bgColor indexed="64"/>
      </patternFill>
    </fill>
    <fill>
      <patternFill patternType="solid">
        <fgColor rgb="FF7F7F7F"/>
        <bgColor indexed="64"/>
      </patternFill>
    </fill>
    <fill>
      <patternFill patternType="solid">
        <fgColor rgb="FF2F75B6"/>
        <bgColor indexed="64"/>
      </patternFill>
    </fill>
    <fill>
      <patternFill patternType="solid">
        <fgColor rgb="FF7030A0"/>
        <bgColor indexed="64"/>
      </patternFill>
    </fill>
    <fill>
      <patternFill patternType="solid">
        <fgColor rgb="FFBF8F00"/>
        <bgColor indexed="64"/>
      </patternFill>
    </fill>
    <fill>
      <patternFill patternType="solid">
        <fgColor rgb="FFED7D31"/>
        <bgColor indexed="64"/>
      </patternFill>
    </fill>
    <fill>
      <patternFill patternType="solid">
        <fgColor rgb="FF9BC2E6"/>
        <bgColor indexed="64"/>
      </patternFill>
    </fill>
    <fill>
      <patternFill patternType="solid">
        <fgColor rgb="FF808080"/>
        <bgColor indexed="64"/>
      </patternFill>
    </fill>
    <fill>
      <patternFill patternType="solid">
        <fgColor rgb="FF767171"/>
        <bgColor indexed="64"/>
      </patternFill>
    </fill>
    <fill>
      <patternFill patternType="solid">
        <fgColor rgb="FFAFABAB"/>
        <bgColor indexed="64"/>
      </patternFill>
    </fill>
    <fill>
      <patternFill patternType="solid">
        <fgColor rgb="FF595959"/>
        <bgColor indexed="64"/>
      </patternFill>
    </fill>
    <fill>
      <patternFill patternType="solid">
        <fgColor rgb="FF7C7C7C"/>
        <bgColor indexed="64"/>
      </patternFill>
    </fill>
    <fill>
      <patternFill patternType="solid">
        <fgColor rgb="FFF4B083"/>
        <bgColor indexed="64"/>
      </patternFill>
    </fill>
    <fill>
      <patternFill patternType="solid">
        <fgColor rgb="FF00B050"/>
        <bgColor indexed="64"/>
      </patternFill>
    </fill>
    <fill>
      <patternFill patternType="solid">
        <fgColor rgb="FFFFFFFF"/>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5" fillId="0" borderId="0">
      <protection locked="0"/>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47"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48" borderId="5" applyNumberFormat="0" applyAlignment="0" applyProtection="0">
      <alignment vertical="center"/>
    </xf>
    <xf numFmtId="0" fontId="26" fillId="49" borderId="6" applyNumberFormat="0" applyAlignment="0" applyProtection="0">
      <alignment vertical="center"/>
    </xf>
    <xf numFmtId="0" fontId="27" fillId="49" borderId="5" applyNumberFormat="0" applyAlignment="0" applyProtection="0">
      <alignment vertical="center"/>
    </xf>
    <xf numFmtId="0" fontId="28" fillId="50"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51" borderId="0" applyNumberFormat="0" applyBorder="0" applyAlignment="0" applyProtection="0">
      <alignment vertical="center"/>
    </xf>
    <xf numFmtId="0" fontId="32" fillId="52" borderId="0" applyNumberFormat="0" applyBorder="0" applyAlignment="0" applyProtection="0">
      <alignment vertical="center"/>
    </xf>
    <xf numFmtId="0" fontId="33" fillId="53" borderId="0" applyNumberFormat="0" applyBorder="0" applyAlignment="0" applyProtection="0">
      <alignment vertical="center"/>
    </xf>
    <xf numFmtId="0" fontId="34" fillId="54" borderId="0" applyNumberFormat="0" applyBorder="0" applyAlignment="0" applyProtection="0">
      <alignment vertical="center"/>
    </xf>
    <xf numFmtId="0" fontId="35" fillId="55" borderId="0" applyNumberFormat="0" applyBorder="0" applyAlignment="0" applyProtection="0">
      <alignment vertical="center"/>
    </xf>
    <xf numFmtId="0" fontId="35" fillId="56" borderId="0" applyNumberFormat="0" applyBorder="0" applyAlignment="0" applyProtection="0">
      <alignment vertical="center"/>
    </xf>
    <xf numFmtId="0" fontId="34" fillId="57" borderId="0" applyNumberFormat="0" applyBorder="0" applyAlignment="0" applyProtection="0">
      <alignment vertical="center"/>
    </xf>
    <xf numFmtId="0" fontId="34" fillId="58" borderId="0" applyNumberFormat="0" applyBorder="0" applyAlignment="0" applyProtection="0">
      <alignment vertical="center"/>
    </xf>
    <xf numFmtId="0" fontId="35" fillId="59" borderId="0" applyNumberFormat="0" applyBorder="0" applyAlignment="0" applyProtection="0">
      <alignment vertical="center"/>
    </xf>
    <xf numFmtId="0" fontId="35" fillId="60" borderId="0" applyNumberFormat="0" applyBorder="0" applyAlignment="0" applyProtection="0">
      <alignment vertical="center"/>
    </xf>
    <xf numFmtId="0" fontId="34" fillId="61" borderId="0" applyNumberFormat="0" applyBorder="0" applyAlignment="0" applyProtection="0">
      <alignment vertical="center"/>
    </xf>
    <xf numFmtId="0" fontId="34" fillId="62" borderId="0" applyNumberFormat="0" applyBorder="0" applyAlignment="0" applyProtection="0">
      <alignment vertical="center"/>
    </xf>
    <xf numFmtId="0" fontId="35" fillId="63" borderId="0" applyNumberFormat="0" applyBorder="0" applyAlignment="0" applyProtection="0">
      <alignment vertical="center"/>
    </xf>
    <xf numFmtId="0" fontId="35" fillId="64" borderId="0" applyNumberFormat="0" applyBorder="0" applyAlignment="0" applyProtection="0">
      <alignment vertical="center"/>
    </xf>
    <xf numFmtId="0" fontId="34" fillId="65" borderId="0" applyNumberFormat="0" applyBorder="0" applyAlignment="0" applyProtection="0">
      <alignment vertical="center"/>
    </xf>
    <xf numFmtId="0" fontId="34" fillId="66" borderId="0" applyNumberFormat="0" applyBorder="0" applyAlignment="0" applyProtection="0">
      <alignment vertical="center"/>
    </xf>
    <xf numFmtId="0" fontId="35" fillId="67" borderId="0" applyNumberFormat="0" applyBorder="0" applyAlignment="0" applyProtection="0">
      <alignment vertical="center"/>
    </xf>
    <xf numFmtId="0" fontId="35" fillId="68" borderId="0" applyNumberFormat="0" applyBorder="0" applyAlignment="0" applyProtection="0">
      <alignment vertical="center"/>
    </xf>
    <xf numFmtId="0" fontId="34" fillId="69" borderId="0" applyNumberFormat="0" applyBorder="0" applyAlignment="0" applyProtection="0">
      <alignment vertical="center"/>
    </xf>
    <xf numFmtId="0" fontId="34" fillId="70" borderId="0" applyNumberFormat="0" applyBorder="0" applyAlignment="0" applyProtection="0">
      <alignment vertical="center"/>
    </xf>
    <xf numFmtId="0" fontId="35" fillId="71" borderId="0" applyNumberFormat="0" applyBorder="0" applyAlignment="0" applyProtection="0">
      <alignment vertical="center"/>
    </xf>
    <xf numFmtId="0" fontId="35" fillId="72" borderId="0" applyNumberFormat="0" applyBorder="0" applyAlignment="0" applyProtection="0">
      <alignment vertical="center"/>
    </xf>
    <xf numFmtId="0" fontId="34" fillId="73" borderId="0" applyNumberFormat="0" applyBorder="0" applyAlignment="0" applyProtection="0">
      <alignment vertical="center"/>
    </xf>
    <xf numFmtId="0" fontId="34" fillId="74" borderId="0" applyNumberFormat="0" applyBorder="0" applyAlignment="0" applyProtection="0">
      <alignment vertical="center"/>
    </xf>
    <xf numFmtId="0" fontId="35" fillId="75" borderId="0" applyNumberFormat="0" applyBorder="0" applyAlignment="0" applyProtection="0">
      <alignment vertical="center"/>
    </xf>
    <xf numFmtId="0" fontId="35" fillId="76" borderId="0" applyNumberFormat="0" applyBorder="0" applyAlignment="0" applyProtection="0">
      <alignment vertical="center"/>
    </xf>
    <xf numFmtId="0" fontId="34" fillId="77" borderId="0" applyNumberFormat="0" applyBorder="0" applyAlignment="0" applyProtection="0">
      <alignment vertical="center"/>
    </xf>
    <xf numFmtId="0" fontId="4" fillId="0" borderId="0">
      <protection locked="0"/>
    </xf>
    <xf numFmtId="0" fontId="1" fillId="0" borderId="0">
      <protection locked="0"/>
    </xf>
  </cellStyleXfs>
  <cellXfs count="328">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2" fillId="2" borderId="0" xfId="0" applyFont="1" applyFill="1">
      <alignment vertical="center"/>
    </xf>
    <xf numFmtId="0" fontId="2" fillId="3" borderId="0" xfId="0" applyFont="1" applyFill="1">
      <alignment vertical="center"/>
    </xf>
    <xf numFmtId="0" fontId="3" fillId="4" borderId="0" xfId="49" applyFont="1" applyFill="1" applyAlignment="1" applyProtection="1">
      <alignment vertical="center"/>
    </xf>
    <xf numFmtId="0" fontId="3" fillId="5" borderId="0" xfId="49" applyNumberFormat="1" applyFont="1" applyFill="1" applyAlignment="1" applyProtection="1">
      <alignment vertical="center"/>
    </xf>
    <xf numFmtId="0" fontId="3" fillId="5" borderId="0" xfId="49" applyFont="1" applyFill="1" applyAlignment="1" applyProtection="1">
      <alignment vertical="center"/>
    </xf>
    <xf numFmtId="0" fontId="4" fillId="0" borderId="0" xfId="49" applyAlignment="1" applyProtection="1">
      <alignment vertical="center"/>
    </xf>
    <xf numFmtId="0" fontId="3" fillId="5" borderId="1" xfId="49" applyFont="1" applyFill="1" applyBorder="1" applyAlignment="1" applyProtection="1">
      <alignment vertical="center"/>
    </xf>
    <xf numFmtId="0" fontId="3" fillId="5" borderId="1" xfId="49" applyNumberFormat="1" applyFont="1" applyFill="1" applyBorder="1" applyAlignment="1" applyProtection="1">
      <alignment vertical="center"/>
    </xf>
    <xf numFmtId="0" fontId="3" fillId="6" borderId="0" xfId="49" applyFont="1" applyFill="1" applyAlignment="1" applyProtection="1">
      <alignment vertical="center"/>
    </xf>
    <xf numFmtId="0" fontId="3" fillId="7" borderId="0" xfId="49" applyFont="1" applyFill="1" applyAlignment="1" applyProtection="1">
      <alignment vertical="center"/>
    </xf>
    <xf numFmtId="0" fontId="3" fillId="8" borderId="0" xfId="49" applyFont="1" applyFill="1" applyAlignment="1" applyProtection="1">
      <alignment vertical="center"/>
    </xf>
    <xf numFmtId="0" fontId="2" fillId="9" borderId="0" xfId="49" applyFont="1" applyFill="1" applyAlignment="1" applyProtection="1">
      <alignment vertical="center"/>
    </xf>
    <xf numFmtId="0" fontId="3" fillId="9" borderId="0" xfId="49" applyFont="1" applyFill="1" applyAlignment="1" applyProtection="1">
      <alignment vertical="center"/>
    </xf>
    <xf numFmtId="0" fontId="3" fillId="10" borderId="0" xfId="49" applyFont="1" applyFill="1" applyAlignment="1" applyProtection="1">
      <alignment vertical="center"/>
    </xf>
    <xf numFmtId="0" fontId="3" fillId="11" borderId="0" xfId="49" applyFont="1" applyFill="1" applyAlignment="1" applyProtection="1">
      <alignment vertical="center"/>
    </xf>
    <xf numFmtId="0" fontId="3" fillId="12" borderId="0" xfId="49" applyFont="1" applyFill="1" applyAlignment="1" applyProtection="1">
      <alignment vertical="center"/>
    </xf>
    <xf numFmtId="0" fontId="3" fillId="13" borderId="0" xfId="49" applyFont="1" applyFill="1" applyAlignment="1" applyProtection="1">
      <alignment vertical="center"/>
    </xf>
    <xf numFmtId="0" fontId="3" fillId="14" borderId="0" xfId="49" applyFont="1" applyFill="1" applyAlignment="1" applyProtection="1">
      <alignment vertical="center"/>
    </xf>
    <xf numFmtId="0" fontId="3" fillId="15" borderId="0" xfId="49" applyFont="1" applyFill="1" applyAlignment="1" applyProtection="1">
      <alignment vertical="center"/>
    </xf>
    <xf numFmtId="0" fontId="3" fillId="16" borderId="0" xfId="49" applyFont="1" applyFill="1" applyAlignment="1" applyProtection="1">
      <alignment vertical="center"/>
    </xf>
    <xf numFmtId="0" fontId="3" fillId="17" borderId="0" xfId="49" applyFont="1" applyFill="1" applyAlignment="1" applyProtection="1">
      <alignment vertical="center"/>
    </xf>
    <xf numFmtId="0" fontId="3" fillId="18" borderId="0" xfId="49" applyFont="1" applyFill="1" applyAlignment="1" applyProtection="1">
      <alignment vertical="center"/>
    </xf>
    <xf numFmtId="0" fontId="5" fillId="8" borderId="0" xfId="49" applyFont="1" applyFill="1" applyAlignment="1" applyProtection="1">
      <alignment vertical="center"/>
    </xf>
    <xf numFmtId="0" fontId="3" fillId="19" borderId="0" xfId="49" applyFont="1" applyFill="1" applyAlignment="1" applyProtection="1">
      <alignment vertical="center"/>
    </xf>
    <xf numFmtId="0" fontId="3" fillId="20" borderId="0" xfId="49" applyFont="1" applyFill="1" applyAlignment="1" applyProtection="1">
      <alignment vertical="center"/>
    </xf>
    <xf numFmtId="0" fontId="3" fillId="21" borderId="0" xfId="49" applyFont="1" applyFill="1" applyAlignment="1" applyProtection="1">
      <alignment vertical="center"/>
    </xf>
    <xf numFmtId="0" fontId="3" fillId="22" borderId="0" xfId="49" applyFont="1" applyFill="1" applyAlignment="1" applyProtection="1">
      <alignment vertical="center"/>
    </xf>
    <xf numFmtId="0" fontId="6" fillId="0" borderId="0" xfId="0" applyNumberFormat="1" applyFont="1" applyFill="1" applyBorder="1" applyAlignment="1">
      <alignment wrapText="1"/>
    </xf>
    <xf numFmtId="0" fontId="6" fillId="0" borderId="0" xfId="0" applyNumberFormat="1" applyFont="1" applyFill="1" applyBorder="1" applyAlignment="1"/>
    <xf numFmtId="14" fontId="2" fillId="0" borderId="0" xfId="0" applyNumberFormat="1" applyFont="1" applyFill="1">
      <alignment vertical="center"/>
    </xf>
    <xf numFmtId="0" fontId="2" fillId="0" borderId="0" xfId="0" applyNumberFormat="1" applyFont="1" applyFill="1">
      <alignment vertical="center"/>
    </xf>
    <xf numFmtId="0" fontId="2" fillId="0" borderId="1" xfId="0" applyFont="1" applyFill="1" applyBorder="1">
      <alignment vertical="center"/>
    </xf>
    <xf numFmtId="0" fontId="2" fillId="0" borderId="1" xfId="0" applyNumberFormat="1" applyFont="1" applyFill="1" applyBorder="1">
      <alignment vertical="center"/>
    </xf>
    <xf numFmtId="0" fontId="3" fillId="0" borderId="0" xfId="49" applyFont="1" applyFill="1" applyAlignment="1" applyProtection="1">
      <alignment vertical="center"/>
    </xf>
    <xf numFmtId="0" fontId="2" fillId="23" borderId="1" xfId="0" applyFont="1" applyFill="1" applyBorder="1">
      <alignment vertical="center"/>
    </xf>
    <xf numFmtId="0" fontId="2" fillId="23" borderId="1" xfId="0" applyNumberFormat="1" applyFont="1" applyFill="1" applyBorder="1">
      <alignment vertical="center"/>
    </xf>
    <xf numFmtId="14" fontId="2" fillId="2" borderId="0" xfId="0" applyNumberFormat="1" applyFont="1" applyFill="1">
      <alignment vertical="center"/>
    </xf>
    <xf numFmtId="0" fontId="2" fillId="2" borderId="0" xfId="0" applyNumberFormat="1" applyFont="1" applyFill="1">
      <alignment vertical="center"/>
    </xf>
    <xf numFmtId="0" fontId="2" fillId="2" borderId="1" xfId="0" applyFont="1" applyFill="1" applyBorder="1">
      <alignment vertical="center"/>
    </xf>
    <xf numFmtId="0" fontId="2" fillId="2" borderId="1" xfId="0" applyNumberFormat="1" applyFont="1" applyFill="1" applyBorder="1">
      <alignment vertical="center"/>
    </xf>
    <xf numFmtId="0" fontId="3" fillId="2" borderId="0" xfId="49" applyFont="1" applyFill="1" applyAlignment="1" applyProtection="1">
      <alignment vertical="center"/>
    </xf>
    <xf numFmtId="0" fontId="1" fillId="7" borderId="0" xfId="0" applyFont="1" applyFill="1">
      <alignment vertical="center"/>
    </xf>
    <xf numFmtId="0" fontId="1" fillId="24" borderId="0" xfId="0" applyFont="1" applyFill="1">
      <alignment vertical="center"/>
    </xf>
    <xf numFmtId="176" fontId="1" fillId="7" borderId="0" xfId="0" applyNumberFormat="1" applyFont="1" applyFill="1">
      <alignment vertical="center"/>
    </xf>
    <xf numFmtId="177" fontId="1" fillId="7" borderId="0" xfId="0" applyNumberFormat="1" applyFont="1" applyFill="1">
      <alignment vertical="center"/>
    </xf>
    <xf numFmtId="178" fontId="1" fillId="7" borderId="0" xfId="0" applyNumberFormat="1" applyFont="1" applyFill="1">
      <alignment vertical="center"/>
    </xf>
    <xf numFmtId="179" fontId="1" fillId="7" borderId="0" xfId="0" applyNumberFormat="1" applyFont="1" applyFill="1">
      <alignment vertical="center"/>
    </xf>
    <xf numFmtId="180" fontId="1" fillId="7" borderId="0" xfId="0" applyNumberFormat="1" applyFont="1" applyFill="1">
      <alignment vertical="center"/>
    </xf>
    <xf numFmtId="181" fontId="1" fillId="7" borderId="0" xfId="0" applyNumberFormat="1" applyFont="1" applyFill="1">
      <alignment vertical="center"/>
    </xf>
    <xf numFmtId="182" fontId="1" fillId="7" borderId="0" xfId="0" applyNumberFormat="1" applyFont="1" applyFill="1">
      <alignment vertical="center"/>
    </xf>
    <xf numFmtId="183" fontId="1" fillId="7" borderId="0" xfId="0" applyNumberFormat="1" applyFont="1" applyFill="1">
      <alignment vertical="center"/>
    </xf>
    <xf numFmtId="176" fontId="1" fillId="0" borderId="0" xfId="0" applyNumberFormat="1" applyFont="1">
      <alignment vertical="center"/>
    </xf>
    <xf numFmtId="177" fontId="1" fillId="0" borderId="0" xfId="0" applyNumberFormat="1" applyFont="1">
      <alignment vertical="center"/>
    </xf>
    <xf numFmtId="178" fontId="1" fillId="0" borderId="0" xfId="0" applyNumberFormat="1" applyFont="1">
      <alignment vertical="center"/>
    </xf>
    <xf numFmtId="179" fontId="1" fillId="0" borderId="0" xfId="0" applyNumberFormat="1" applyFont="1">
      <alignment vertical="center"/>
    </xf>
    <xf numFmtId="180" fontId="1" fillId="0" borderId="0" xfId="0" applyNumberFormat="1" applyFont="1">
      <alignment vertical="center"/>
    </xf>
    <xf numFmtId="0" fontId="1" fillId="25" borderId="0" xfId="0" applyFont="1" applyFill="1">
      <alignment vertical="center"/>
    </xf>
    <xf numFmtId="181" fontId="1" fillId="0" borderId="0" xfId="0" applyNumberFormat="1" applyFont="1">
      <alignment vertical="center"/>
    </xf>
    <xf numFmtId="14" fontId="1" fillId="0" borderId="0" xfId="0" applyNumberFormat="1" applyFont="1">
      <alignment vertical="center"/>
    </xf>
    <xf numFmtId="182" fontId="1" fillId="0" borderId="0" xfId="0" applyNumberFormat="1" applyFont="1">
      <alignment vertical="center"/>
    </xf>
    <xf numFmtId="183" fontId="1" fillId="0" borderId="0" xfId="0" applyNumberFormat="1" applyFont="1">
      <alignment vertical="center"/>
    </xf>
    <xf numFmtId="0" fontId="1" fillId="26" borderId="0" xfId="0" applyFont="1" applyFill="1">
      <alignment vertical="center"/>
    </xf>
    <xf numFmtId="0" fontId="1" fillId="27" borderId="0" xfId="0" applyFont="1" applyFill="1">
      <alignment vertical="center"/>
    </xf>
    <xf numFmtId="178" fontId="1" fillId="0" borderId="0" xfId="0" applyNumberFormat="1" applyFont="1" applyFill="1">
      <alignment vertical="center"/>
    </xf>
    <xf numFmtId="180" fontId="1" fillId="0" borderId="0" xfId="0" applyNumberFormat="1" applyFont="1" applyFill="1">
      <alignment vertical="center"/>
    </xf>
    <xf numFmtId="0" fontId="1" fillId="28" borderId="0" xfId="0" applyFont="1" applyFill="1">
      <alignment vertical="center"/>
    </xf>
    <xf numFmtId="184" fontId="1" fillId="0" borderId="0" xfId="0" applyNumberFormat="1" applyFont="1">
      <alignment vertical="center"/>
    </xf>
    <xf numFmtId="179" fontId="1" fillId="0" borderId="0" xfId="0" applyNumberFormat="1" applyFont="1" applyFill="1">
      <alignment vertical="center"/>
    </xf>
    <xf numFmtId="0" fontId="1" fillId="0" borderId="0" xfId="0" applyFont="1">
      <alignment vertical="center"/>
    </xf>
    <xf numFmtId="176" fontId="1" fillId="24" borderId="0" xfId="0" applyNumberFormat="1" applyFont="1" applyFill="1">
      <alignment vertical="center"/>
    </xf>
    <xf numFmtId="177" fontId="1" fillId="24" borderId="0" xfId="0" applyNumberFormat="1" applyFont="1" applyFill="1">
      <alignment vertical="center"/>
    </xf>
    <xf numFmtId="178" fontId="1" fillId="24" borderId="0" xfId="0" applyNumberFormat="1" applyFont="1" applyFill="1">
      <alignment vertical="center"/>
    </xf>
    <xf numFmtId="179" fontId="1" fillId="24" borderId="0" xfId="0" applyNumberFormat="1" applyFont="1" applyFill="1">
      <alignment vertical="center"/>
    </xf>
    <xf numFmtId="180" fontId="1" fillId="24" borderId="0" xfId="0" applyNumberFormat="1" applyFont="1" applyFill="1">
      <alignment vertical="center"/>
    </xf>
    <xf numFmtId="181" fontId="1" fillId="24" borderId="0" xfId="0" applyNumberFormat="1" applyFont="1" applyFill="1">
      <alignment vertical="center"/>
    </xf>
    <xf numFmtId="14" fontId="1" fillId="24" borderId="0" xfId="0" applyNumberFormat="1" applyFont="1" applyFill="1">
      <alignment vertical="center"/>
    </xf>
    <xf numFmtId="182" fontId="1" fillId="24" borderId="0" xfId="0" applyNumberFormat="1" applyFont="1" applyFill="1">
      <alignment vertical="center"/>
    </xf>
    <xf numFmtId="183" fontId="1" fillId="24" borderId="0" xfId="0" applyNumberFormat="1" applyFont="1" applyFill="1">
      <alignment vertical="center"/>
    </xf>
    <xf numFmtId="177" fontId="1" fillId="0" borderId="0" xfId="0" applyNumberFormat="1" applyFont="1" applyAlignment="1">
      <alignment horizontal="right" vertical="center"/>
    </xf>
    <xf numFmtId="0" fontId="1" fillId="0" borderId="0" xfId="0" applyFont="1" applyAlignment="1">
      <alignment horizontal="right" vertical="center"/>
    </xf>
    <xf numFmtId="0" fontId="0" fillId="0" borderId="0" xfId="0" applyFont="1">
      <alignment vertical="center"/>
    </xf>
    <xf numFmtId="176" fontId="1" fillId="0" borderId="0" xfId="0" applyNumberFormat="1" applyFont="1" applyAlignment="1">
      <alignment horizontal="right" vertical="center"/>
    </xf>
    <xf numFmtId="0" fontId="1" fillId="0" borderId="0" xfId="0" applyNumberFormat="1" applyFont="1">
      <alignment vertical="center"/>
    </xf>
    <xf numFmtId="0" fontId="7" fillId="0" borderId="0" xfId="0" applyNumberFormat="1" applyFont="1" applyFill="1" applyBorder="1">
      <alignment vertical="center"/>
    </xf>
    <xf numFmtId="0" fontId="8" fillId="0" borderId="0" xfId="0" applyFont="1">
      <alignment vertical="center"/>
    </xf>
    <xf numFmtId="0" fontId="1" fillId="29" borderId="0" xfId="0" applyFont="1" applyFill="1">
      <alignment vertical="center"/>
    </xf>
    <xf numFmtId="0" fontId="1" fillId="16" borderId="0" xfId="0" applyFont="1" applyFill="1">
      <alignment vertical="center"/>
    </xf>
    <xf numFmtId="0" fontId="8" fillId="0" borderId="0" xfId="0" applyFont="1" applyAlignment="1">
      <alignment horizontal="right" vertical="center"/>
    </xf>
    <xf numFmtId="181" fontId="8" fillId="0" borderId="0" xfId="0" applyNumberFormat="1" applyFont="1">
      <alignment vertical="center"/>
    </xf>
    <xf numFmtId="0" fontId="9" fillId="0" borderId="0" xfId="0" applyFont="1">
      <alignment vertical="center"/>
    </xf>
    <xf numFmtId="183" fontId="1" fillId="0" borderId="0" xfId="0" applyNumberFormat="1" applyFont="1" applyAlignment="1">
      <alignment horizontal="right" vertical="center"/>
    </xf>
    <xf numFmtId="0" fontId="0" fillId="0" borderId="0" xfId="0" applyFill="1">
      <alignment vertical="center"/>
    </xf>
    <xf numFmtId="0" fontId="1" fillId="30" borderId="0" xfId="0" applyFont="1" applyFill="1">
      <alignment vertical="center"/>
    </xf>
    <xf numFmtId="0" fontId="1" fillId="31" borderId="0" xfId="0" applyFont="1" applyFill="1">
      <alignment vertical="center"/>
    </xf>
    <xf numFmtId="0" fontId="1" fillId="10" borderId="0" xfId="0" applyFont="1" applyFill="1" applyAlignment="1">
      <alignment horizontal="center" vertical="center"/>
    </xf>
    <xf numFmtId="0" fontId="1" fillId="5" borderId="0" xfId="0" applyNumberFormat="1" applyFont="1" applyFill="1" applyAlignment="1">
      <alignment horizontal="center" vertical="center"/>
    </xf>
    <xf numFmtId="0" fontId="1" fillId="32" borderId="0" xfId="0" applyFont="1" applyFill="1">
      <alignment vertical="center"/>
    </xf>
    <xf numFmtId="0" fontId="1" fillId="33" borderId="0" xfId="0" applyFont="1" applyFill="1">
      <alignment vertical="center"/>
    </xf>
    <xf numFmtId="58" fontId="1" fillId="0" borderId="0" xfId="0" applyNumberFormat="1" applyFont="1">
      <alignment vertical="center"/>
    </xf>
    <xf numFmtId="0" fontId="1" fillId="34" borderId="0" xfId="0" applyFont="1" applyFill="1">
      <alignment vertical="center"/>
    </xf>
    <xf numFmtId="0" fontId="1" fillId="7" borderId="0" xfId="0" applyFont="1" applyFill="1" applyAlignment="1">
      <alignment horizontal="center" vertical="center"/>
    </xf>
    <xf numFmtId="0" fontId="1" fillId="35" borderId="0" xfId="0" applyFont="1" applyFill="1">
      <alignment vertical="center"/>
    </xf>
    <xf numFmtId="0" fontId="1" fillId="10" borderId="0" xfId="0" applyFont="1" applyFill="1">
      <alignment vertical="center"/>
    </xf>
    <xf numFmtId="0" fontId="1" fillId="9" borderId="0" xfId="0" applyFont="1" applyFill="1">
      <alignment vertical="center"/>
    </xf>
    <xf numFmtId="0" fontId="1" fillId="5" borderId="0" xfId="0" applyFont="1" applyFill="1">
      <alignment vertical="center"/>
    </xf>
    <xf numFmtId="0" fontId="1" fillId="36" borderId="0" xfId="0" applyFont="1" applyFill="1">
      <alignment vertical="center"/>
    </xf>
    <xf numFmtId="0" fontId="1" fillId="0" borderId="0" xfId="0" applyNumberFormat="1" applyFont="1" applyFill="1">
      <alignment vertical="center"/>
    </xf>
    <xf numFmtId="0" fontId="0" fillId="0" borderId="0" xfId="0" applyAlignment="1">
      <alignment horizontal="center" vertical="center"/>
    </xf>
    <xf numFmtId="0" fontId="0" fillId="23" borderId="0" xfId="0" applyFill="1">
      <alignment vertical="center"/>
    </xf>
    <xf numFmtId="0" fontId="10" fillId="0" borderId="0" xfId="0" applyFont="1">
      <alignment vertical="center"/>
    </xf>
    <xf numFmtId="0" fontId="1" fillId="0" borderId="0" xfId="0" applyFont="1" applyAlignment="1">
      <alignment horizontal="center" vertical="center"/>
    </xf>
    <xf numFmtId="0" fontId="0" fillId="0" borderId="0" xfId="0" applyFont="1" applyFill="1" applyBorder="1" applyAlignment="1">
      <alignment horizontal="center" vertical="center"/>
    </xf>
    <xf numFmtId="180" fontId="0"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Font="1" applyBorder="1" applyAlignment="1">
      <alignment horizontal="center" vertical="center"/>
    </xf>
    <xf numFmtId="0" fontId="0" fillId="0" borderId="0" xfId="0" applyFill="1" applyAlignment="1">
      <alignment horizontal="center" vertical="center"/>
    </xf>
    <xf numFmtId="0" fontId="1" fillId="0" borderId="0" xfId="0" applyFont="1" applyBorder="1" applyAlignment="1">
      <alignment horizontal="center" vertical="center"/>
    </xf>
    <xf numFmtId="0" fontId="0" fillId="37" borderId="0" xfId="0" applyFont="1" applyFill="1" applyBorder="1" applyAlignment="1">
      <alignment horizontal="center" vertical="center"/>
    </xf>
    <xf numFmtId="0" fontId="11" fillId="32" borderId="0" xfId="0" applyFont="1" applyFill="1" applyBorder="1" applyAlignment="1">
      <alignment horizontal="center" vertical="center"/>
    </xf>
    <xf numFmtId="0" fontId="0" fillId="24" borderId="0" xfId="0" applyFont="1" applyFill="1" applyBorder="1" applyAlignment="1">
      <alignment horizontal="center" vertical="center"/>
    </xf>
    <xf numFmtId="0" fontId="0" fillId="34" borderId="0" xfId="0" applyFont="1" applyFill="1" applyBorder="1" applyAlignment="1">
      <alignment horizontal="center" vertical="center"/>
    </xf>
    <xf numFmtId="0" fontId="0" fillId="38" borderId="0" xfId="0" applyFont="1" applyFill="1" applyBorder="1" applyAlignment="1">
      <alignment horizontal="center" vertical="center"/>
    </xf>
    <xf numFmtId="0" fontId="0" fillId="32" borderId="0" xfId="0" applyFont="1" applyFill="1" applyBorder="1" applyAlignment="1">
      <alignment horizontal="center" vertical="center"/>
    </xf>
    <xf numFmtId="0" fontId="0" fillId="33" borderId="0" xfId="0" applyFont="1" applyFill="1" applyBorder="1" applyAlignment="1">
      <alignment horizontal="center" vertical="center"/>
    </xf>
    <xf numFmtId="0" fontId="1" fillId="38" borderId="0" xfId="0" applyFont="1" applyFill="1" applyBorder="1" applyAlignment="1">
      <alignment horizontal="center" vertical="center"/>
    </xf>
    <xf numFmtId="0" fontId="0" fillId="39" borderId="0" xfId="0" applyFont="1" applyFill="1" applyBorder="1" applyAlignment="1">
      <alignment horizontal="center" vertical="center"/>
    </xf>
    <xf numFmtId="0" fontId="0" fillId="40" borderId="0" xfId="0" applyFont="1" applyFill="1" applyBorder="1" applyAlignment="1">
      <alignment horizontal="center" vertical="center"/>
    </xf>
    <xf numFmtId="0" fontId="0" fillId="0" borderId="0" xfId="0" applyFont="1" applyBorder="1" applyAlignment="1" applyProtection="1">
      <alignment horizontal="center" vertical="center"/>
      <protection locked="0"/>
    </xf>
    <xf numFmtId="0" fontId="1" fillId="32" borderId="0" xfId="0" applyFont="1" applyFill="1" applyBorder="1" applyAlignment="1">
      <alignment horizontal="center" vertical="center"/>
    </xf>
    <xf numFmtId="0" fontId="1" fillId="34" borderId="0" xfId="0" applyFont="1" applyFill="1" applyBorder="1" applyAlignment="1">
      <alignment horizontal="center" vertical="center"/>
    </xf>
    <xf numFmtId="0" fontId="0" fillId="41" borderId="0" xfId="0" applyFont="1" applyFill="1" applyBorder="1" applyAlignment="1">
      <alignment horizontal="center" vertical="center"/>
    </xf>
    <xf numFmtId="0" fontId="0" fillId="42" borderId="0" xfId="0" applyFont="1" applyFill="1" applyBorder="1" applyAlignment="1">
      <alignment horizontal="center" vertical="center"/>
    </xf>
    <xf numFmtId="176" fontId="0" fillId="0" borderId="0" xfId="0" applyNumberFormat="1" applyFont="1" applyBorder="1" applyAlignment="1">
      <alignment horizontal="center" vertical="center"/>
    </xf>
    <xf numFmtId="183" fontId="0" fillId="0" borderId="0" xfId="0" applyNumberFormat="1" applyFont="1" applyFill="1" applyBorder="1" applyAlignment="1">
      <alignment horizontal="center" vertical="center"/>
    </xf>
    <xf numFmtId="182" fontId="0" fillId="0" borderId="0" xfId="0" applyNumberFormat="1" applyFont="1" applyBorder="1" applyAlignment="1">
      <alignment horizontal="center" vertical="center"/>
    </xf>
    <xf numFmtId="182" fontId="0" fillId="0" borderId="0" xfId="0" applyNumberFormat="1" applyFont="1" applyFill="1" applyBorder="1" applyAlignment="1">
      <alignment horizontal="center" vertical="center"/>
    </xf>
    <xf numFmtId="0" fontId="0" fillId="0" borderId="0" xfId="0" applyFont="1" applyBorder="1" applyAlignment="1">
      <alignment horizontal="left" vertical="center"/>
    </xf>
    <xf numFmtId="185" fontId="0" fillId="0" borderId="0" xfId="0" applyNumberFormat="1" applyFont="1" applyBorder="1" applyAlignment="1">
      <alignment horizontal="center" vertical="center"/>
    </xf>
    <xf numFmtId="186" fontId="0" fillId="0" borderId="0" xfId="0" applyNumberFormat="1" applyFont="1" applyBorder="1" applyAlignment="1">
      <alignment horizontal="center" vertical="center"/>
    </xf>
    <xf numFmtId="187" fontId="0" fillId="0" borderId="0" xfId="0" applyNumberFormat="1" applyFont="1" applyBorder="1" applyAlignment="1">
      <alignment horizontal="center" vertical="center"/>
    </xf>
    <xf numFmtId="0" fontId="0" fillId="43" borderId="0" xfId="0" applyFont="1" applyFill="1" applyBorder="1" applyAlignment="1">
      <alignment horizontal="center" vertical="center"/>
    </xf>
    <xf numFmtId="0" fontId="0" fillId="44" borderId="0" xfId="0" applyFont="1" applyFill="1" applyBorder="1" applyAlignment="1">
      <alignment horizontal="center" vertical="center"/>
    </xf>
    <xf numFmtId="0" fontId="0" fillId="27" borderId="0" xfId="0" applyFont="1" applyFill="1" applyBorder="1" applyAlignment="1">
      <alignment horizontal="center" vertical="center"/>
    </xf>
    <xf numFmtId="0" fontId="0" fillId="26" borderId="0" xfId="0" applyFont="1" applyFill="1" applyBorder="1" applyAlignment="1">
      <alignment horizontal="center" vertical="center"/>
    </xf>
    <xf numFmtId="186" fontId="0" fillId="26" borderId="0" xfId="0" applyNumberFormat="1" applyFont="1" applyFill="1" applyBorder="1" applyAlignment="1">
      <alignment horizontal="center" vertical="center"/>
    </xf>
    <xf numFmtId="183" fontId="0" fillId="24" borderId="0" xfId="0" applyNumberFormat="1" applyFont="1" applyFill="1" applyBorder="1" applyAlignment="1">
      <alignment horizontal="center" vertical="center"/>
    </xf>
    <xf numFmtId="176" fontId="0" fillId="37" borderId="0" xfId="0" applyNumberFormat="1" applyFont="1" applyFill="1" applyBorder="1" applyAlignment="1">
      <alignment horizontal="center" vertical="center"/>
    </xf>
    <xf numFmtId="183" fontId="0" fillId="37" borderId="0" xfId="0" applyNumberFormat="1" applyFont="1" applyFill="1" applyBorder="1" applyAlignment="1">
      <alignment horizontal="center" vertical="center"/>
    </xf>
    <xf numFmtId="182" fontId="0" fillId="37" borderId="0" xfId="0" applyNumberFormat="1" applyFont="1" applyFill="1" applyBorder="1" applyAlignment="1">
      <alignment horizontal="center" vertical="center"/>
    </xf>
    <xf numFmtId="185" fontId="1" fillId="37" borderId="0" xfId="0" applyNumberFormat="1" applyFont="1" applyFill="1" applyBorder="1" applyAlignment="1">
      <alignment horizontal="center" vertical="center"/>
    </xf>
    <xf numFmtId="186" fontId="1" fillId="37" borderId="0" xfId="0" applyNumberFormat="1" applyFont="1" applyFill="1" applyBorder="1" applyAlignment="1">
      <alignment horizontal="center" vertical="center"/>
    </xf>
    <xf numFmtId="0" fontId="1" fillId="37" borderId="0" xfId="0" applyFont="1" applyFill="1" applyBorder="1" applyAlignment="1">
      <alignment horizontal="center" vertical="center"/>
    </xf>
    <xf numFmtId="186" fontId="0" fillId="37" borderId="0" xfId="0" applyNumberFormat="1" applyFont="1" applyFill="1" applyBorder="1" applyAlignment="1">
      <alignment horizontal="center" vertical="center"/>
    </xf>
    <xf numFmtId="187" fontId="0" fillId="37" borderId="0" xfId="0" applyNumberFormat="1" applyFont="1" applyFill="1" applyBorder="1" applyAlignment="1">
      <alignment horizontal="center" vertical="center"/>
    </xf>
    <xf numFmtId="0" fontId="0" fillId="25" borderId="0" xfId="0" applyFont="1" applyFill="1" applyBorder="1" applyAlignment="1">
      <alignment horizontal="center" vertical="center"/>
    </xf>
    <xf numFmtId="14" fontId="0" fillId="0" borderId="0" xfId="0" applyNumberFormat="1" applyFont="1" applyBorder="1" applyAlignment="1">
      <alignment horizontal="center" vertical="center"/>
    </xf>
    <xf numFmtId="185" fontId="0" fillId="0" borderId="0" xfId="0" applyNumberFormat="1" applyFont="1" applyFill="1" applyBorder="1" applyAlignment="1">
      <alignment horizontal="center" vertical="center"/>
    </xf>
    <xf numFmtId="186" fontId="0" fillId="0" borderId="0" xfId="0" applyNumberFormat="1" applyFont="1" applyFill="1" applyBorder="1" applyAlignment="1">
      <alignment horizontal="center" vertical="center"/>
    </xf>
    <xf numFmtId="187" fontId="0" fillId="0" borderId="0" xfId="0" applyNumberFormat="1" applyFont="1" applyFill="1" applyBorder="1" applyAlignment="1">
      <alignment horizontal="center" vertical="center"/>
    </xf>
    <xf numFmtId="176" fontId="11" fillId="32" borderId="0" xfId="0" applyNumberFormat="1" applyFont="1" applyFill="1" applyBorder="1" applyAlignment="1">
      <alignment horizontal="center" vertical="center"/>
    </xf>
    <xf numFmtId="183" fontId="11" fillId="0" borderId="0" xfId="0" applyNumberFormat="1" applyFont="1" applyFill="1" applyBorder="1" applyAlignment="1">
      <alignment horizontal="center" vertical="center"/>
    </xf>
    <xf numFmtId="14" fontId="11" fillId="32" borderId="0" xfId="0" applyNumberFormat="1" applyFont="1" applyFill="1" applyBorder="1" applyAlignment="1">
      <alignment horizontal="center" vertical="center"/>
    </xf>
    <xf numFmtId="182" fontId="11" fillId="32" borderId="0" xfId="0" applyNumberFormat="1" applyFont="1" applyFill="1" applyBorder="1" applyAlignment="1">
      <alignment horizontal="center" vertical="center"/>
    </xf>
    <xf numFmtId="182" fontId="11" fillId="0" borderId="0" xfId="0" applyNumberFormat="1" applyFont="1" applyFill="1" applyBorder="1" applyAlignment="1">
      <alignment horizontal="center" vertical="center"/>
    </xf>
    <xf numFmtId="0" fontId="11" fillId="32" borderId="0" xfId="0" applyFont="1" applyFill="1" applyBorder="1" applyAlignment="1">
      <alignment horizontal="left" vertical="center"/>
    </xf>
    <xf numFmtId="0" fontId="11" fillId="0" borderId="0" xfId="0" applyFont="1" applyFill="1" applyBorder="1" applyAlignment="1">
      <alignment horizontal="center" vertical="center"/>
    </xf>
    <xf numFmtId="186" fontId="11" fillId="0" borderId="0" xfId="0" applyNumberFormat="1" applyFont="1" applyFill="1" applyBorder="1" applyAlignment="1">
      <alignment horizontal="center" vertical="center"/>
    </xf>
    <xf numFmtId="187" fontId="11" fillId="0" borderId="0" xfId="0" applyNumberFormat="1" applyFont="1" applyFill="1" applyBorder="1" applyAlignment="1">
      <alignment horizontal="center" vertical="center"/>
    </xf>
    <xf numFmtId="176" fontId="0" fillId="24" borderId="0" xfId="0" applyNumberFormat="1" applyFont="1" applyFill="1" applyBorder="1" applyAlignment="1">
      <alignment horizontal="center" vertical="center"/>
    </xf>
    <xf numFmtId="14" fontId="0" fillId="24" borderId="0" xfId="0" applyNumberFormat="1" applyFont="1" applyFill="1" applyBorder="1" applyAlignment="1">
      <alignment horizontal="center" vertical="center"/>
    </xf>
    <xf numFmtId="182" fontId="0" fillId="24" borderId="0" xfId="0" applyNumberFormat="1" applyFont="1" applyFill="1" applyBorder="1" applyAlignment="1">
      <alignment horizontal="center" vertical="center"/>
    </xf>
    <xf numFmtId="0" fontId="0" fillId="24" borderId="0" xfId="0" applyFont="1" applyFill="1" applyBorder="1" applyAlignment="1">
      <alignment horizontal="left" vertical="center"/>
    </xf>
    <xf numFmtId="0" fontId="1" fillId="24" borderId="0" xfId="0" applyFont="1" applyFill="1" applyBorder="1" applyAlignment="1">
      <alignment horizontal="center" vertical="center"/>
    </xf>
    <xf numFmtId="176" fontId="0" fillId="34" borderId="0" xfId="0" applyNumberFormat="1" applyFont="1" applyFill="1" applyBorder="1" applyAlignment="1">
      <alignment horizontal="center" vertical="center"/>
    </xf>
    <xf numFmtId="14" fontId="0" fillId="34" borderId="0" xfId="0" applyNumberFormat="1" applyFont="1" applyFill="1" applyBorder="1" applyAlignment="1">
      <alignment horizontal="center" vertical="center"/>
    </xf>
    <xf numFmtId="182" fontId="0" fillId="34" borderId="0" xfId="0" applyNumberFormat="1" applyFont="1" applyFill="1" applyBorder="1" applyAlignment="1">
      <alignment horizontal="center" vertical="center"/>
    </xf>
    <xf numFmtId="0" fontId="0" fillId="34" borderId="0" xfId="0" applyFont="1" applyFill="1" applyBorder="1" applyAlignment="1">
      <alignment horizontal="left" vertical="center"/>
    </xf>
    <xf numFmtId="176" fontId="0" fillId="38" borderId="0" xfId="0" applyNumberFormat="1" applyFont="1" applyFill="1" applyBorder="1" applyAlignment="1">
      <alignment horizontal="center" vertical="center"/>
    </xf>
    <xf numFmtId="183" fontId="0" fillId="38" borderId="0" xfId="0" applyNumberFormat="1" applyFont="1" applyFill="1" applyBorder="1" applyAlignment="1">
      <alignment horizontal="center" vertical="center"/>
    </xf>
    <xf numFmtId="14" fontId="0" fillId="38" borderId="0" xfId="0" applyNumberFormat="1" applyFont="1" applyFill="1" applyBorder="1" applyAlignment="1">
      <alignment horizontal="center" vertical="center"/>
    </xf>
    <xf numFmtId="182" fontId="0" fillId="38" borderId="0" xfId="0" applyNumberFormat="1" applyFont="1" applyFill="1" applyBorder="1" applyAlignment="1">
      <alignment horizontal="center" vertical="center"/>
    </xf>
    <xf numFmtId="0" fontId="0" fillId="38" borderId="0" xfId="0" applyFont="1" applyFill="1" applyBorder="1" applyAlignment="1">
      <alignment horizontal="left" vertical="center"/>
    </xf>
    <xf numFmtId="176" fontId="0" fillId="32" borderId="0" xfId="0" applyNumberFormat="1" applyFont="1" applyFill="1" applyBorder="1" applyAlignment="1">
      <alignment horizontal="center" vertical="center"/>
    </xf>
    <xf numFmtId="14" fontId="0" fillId="32" borderId="0" xfId="0" applyNumberFormat="1" applyFont="1" applyFill="1" applyBorder="1" applyAlignment="1">
      <alignment horizontal="center" vertical="center"/>
    </xf>
    <xf numFmtId="182" fontId="0" fillId="32" borderId="0" xfId="0" applyNumberFormat="1" applyFont="1" applyFill="1" applyBorder="1" applyAlignment="1">
      <alignment horizontal="center" vertical="center"/>
    </xf>
    <xf numFmtId="0" fontId="0" fillId="32" borderId="0" xfId="0" applyFont="1" applyFill="1" applyBorder="1" applyAlignment="1">
      <alignment horizontal="left" vertical="center"/>
    </xf>
    <xf numFmtId="183" fontId="0" fillId="34" borderId="0" xfId="0" applyNumberFormat="1" applyFont="1" applyFill="1" applyBorder="1" applyAlignment="1">
      <alignment horizontal="center" vertical="center"/>
    </xf>
    <xf numFmtId="176" fontId="0" fillId="33" borderId="0" xfId="0" applyNumberFormat="1" applyFont="1" applyFill="1" applyBorder="1" applyAlignment="1">
      <alignment horizontal="center" vertical="center"/>
    </xf>
    <xf numFmtId="14" fontId="0" fillId="33" borderId="0" xfId="0" applyNumberFormat="1" applyFont="1" applyFill="1" applyBorder="1" applyAlignment="1">
      <alignment horizontal="center" vertical="center"/>
    </xf>
    <xf numFmtId="182" fontId="0" fillId="33" borderId="0" xfId="0" applyNumberFormat="1" applyFont="1" applyFill="1" applyBorder="1" applyAlignment="1">
      <alignment horizontal="center" vertical="center"/>
    </xf>
    <xf numFmtId="0" fontId="0" fillId="33" borderId="0" xfId="0" applyFont="1" applyFill="1" applyBorder="1" applyAlignment="1">
      <alignment horizontal="left" vertical="center"/>
    </xf>
    <xf numFmtId="0" fontId="1" fillId="33" borderId="0" xfId="0" applyFont="1" applyFill="1" applyBorder="1" applyAlignment="1">
      <alignment horizontal="center" vertical="center"/>
    </xf>
    <xf numFmtId="0" fontId="0" fillId="28" borderId="0" xfId="0" applyFont="1" applyFill="1" applyBorder="1" applyAlignment="1">
      <alignment horizontal="center" vertical="center"/>
    </xf>
    <xf numFmtId="184" fontId="0" fillId="32" borderId="0" xfId="0" applyNumberFormat="1" applyFont="1" applyFill="1" applyBorder="1" applyAlignment="1">
      <alignment horizontal="center" vertical="center"/>
    </xf>
    <xf numFmtId="176" fontId="1" fillId="38" borderId="0" xfId="0" applyNumberFormat="1" applyFont="1" applyFill="1" applyBorder="1" applyAlignment="1">
      <alignment horizontal="center" vertical="center"/>
    </xf>
    <xf numFmtId="183" fontId="1" fillId="38" borderId="0" xfId="0" applyNumberFormat="1" applyFont="1" applyFill="1" applyBorder="1" applyAlignment="1">
      <alignment horizontal="center" vertical="center"/>
    </xf>
    <xf numFmtId="14" fontId="1" fillId="38" borderId="0" xfId="0" applyNumberFormat="1" applyFont="1" applyFill="1" applyBorder="1" applyAlignment="1">
      <alignment horizontal="center" vertical="center"/>
    </xf>
    <xf numFmtId="182" fontId="1" fillId="38" borderId="0" xfId="0" applyNumberFormat="1" applyFont="1" applyFill="1" applyBorder="1" applyAlignment="1">
      <alignment horizontal="center" vertical="center"/>
    </xf>
    <xf numFmtId="0" fontId="1" fillId="38" borderId="0" xfId="0" applyFont="1" applyFill="1" applyBorder="1" applyAlignment="1">
      <alignment horizontal="left" vertical="center"/>
    </xf>
    <xf numFmtId="186" fontId="1" fillId="0" borderId="0" xfId="0" applyNumberFormat="1" applyFont="1" applyFill="1" applyBorder="1" applyAlignment="1">
      <alignment horizontal="center" vertical="center"/>
    </xf>
    <xf numFmtId="187" fontId="1" fillId="0" borderId="0" xfId="0" applyNumberFormat="1" applyFont="1" applyFill="1" applyBorder="1" applyAlignment="1">
      <alignment horizontal="center" vertical="center"/>
    </xf>
    <xf numFmtId="176" fontId="0" fillId="39" borderId="0" xfId="0" applyNumberFormat="1" applyFont="1" applyFill="1" applyBorder="1" applyAlignment="1">
      <alignment horizontal="center" vertical="center"/>
    </xf>
    <xf numFmtId="183" fontId="0" fillId="39" borderId="0" xfId="0" applyNumberFormat="1" applyFont="1" applyFill="1" applyBorder="1" applyAlignment="1">
      <alignment horizontal="center" vertical="center"/>
    </xf>
    <xf numFmtId="14" fontId="0" fillId="39" borderId="0" xfId="0" applyNumberFormat="1" applyFont="1" applyFill="1" applyBorder="1" applyAlignment="1">
      <alignment horizontal="center" vertical="center"/>
    </xf>
    <xf numFmtId="182" fontId="0" fillId="39" borderId="0" xfId="0" applyNumberFormat="1" applyFont="1" applyFill="1" applyBorder="1" applyAlignment="1">
      <alignment horizontal="center" vertical="center"/>
    </xf>
    <xf numFmtId="0" fontId="0" fillId="39" borderId="0" xfId="0" applyFont="1" applyFill="1" applyBorder="1" applyAlignment="1">
      <alignment horizontal="left" vertical="center"/>
    </xf>
    <xf numFmtId="0" fontId="1" fillId="39" borderId="0" xfId="0" applyFont="1" applyFill="1" applyBorder="1" applyAlignment="1">
      <alignment horizontal="center" vertical="center"/>
    </xf>
    <xf numFmtId="14" fontId="0" fillId="0" borderId="0" xfId="0" applyNumberFormat="1" applyFont="1" applyFill="1" applyBorder="1" applyAlignment="1">
      <alignment horizontal="center" vertical="center"/>
    </xf>
    <xf numFmtId="176" fontId="0" fillId="0" borderId="0" xfId="0" applyNumberFormat="1" applyFont="1" applyFill="1" applyBorder="1" applyAlignment="1">
      <alignment horizontal="center" vertical="center"/>
    </xf>
    <xf numFmtId="177" fontId="0" fillId="0" borderId="0" xfId="0" applyNumberFormat="1" applyFont="1" applyFill="1" applyBorder="1" applyAlignment="1">
      <alignment horizontal="center" vertical="center"/>
    </xf>
    <xf numFmtId="0" fontId="0" fillId="0" borderId="0" xfId="0" applyFont="1" applyFill="1" applyBorder="1" applyAlignment="1">
      <alignment horizontal="left" vertical="center"/>
    </xf>
    <xf numFmtId="183" fontId="0" fillId="0" borderId="0" xfId="0" applyNumberFormat="1" applyFont="1" applyBorder="1" applyAlignment="1">
      <alignment horizontal="center" vertical="center"/>
    </xf>
    <xf numFmtId="181" fontId="0" fillId="0" borderId="0" xfId="0" applyNumberFormat="1" applyFont="1" applyFill="1" applyBorder="1" applyAlignment="1">
      <alignment horizontal="center" vertical="center"/>
    </xf>
    <xf numFmtId="183" fontId="0" fillId="32" borderId="0" xfId="0" applyNumberFormat="1" applyFont="1" applyFill="1" applyBorder="1" applyAlignment="1">
      <alignment horizontal="center" vertical="center"/>
    </xf>
    <xf numFmtId="176" fontId="0" fillId="40" borderId="0" xfId="0" applyNumberFormat="1" applyFont="1" applyFill="1" applyBorder="1" applyAlignment="1">
      <alignment horizontal="center" vertical="center"/>
    </xf>
    <xf numFmtId="183" fontId="0" fillId="40" borderId="0" xfId="0" applyNumberFormat="1" applyFont="1" applyFill="1" applyBorder="1" applyAlignment="1">
      <alignment horizontal="center" vertical="center"/>
    </xf>
    <xf numFmtId="14" fontId="0" fillId="40" borderId="0" xfId="0" applyNumberFormat="1" applyFont="1" applyFill="1" applyBorder="1" applyAlignment="1">
      <alignment horizontal="center" vertical="center"/>
    </xf>
    <xf numFmtId="182" fontId="0" fillId="40" borderId="0" xfId="0" applyNumberFormat="1" applyFont="1" applyFill="1" applyBorder="1" applyAlignment="1">
      <alignment horizontal="center" vertical="center"/>
    </xf>
    <xf numFmtId="0" fontId="0" fillId="40" borderId="0" xfId="0" applyFont="1" applyFill="1" applyBorder="1" applyAlignment="1">
      <alignment horizontal="left" vertical="center"/>
    </xf>
    <xf numFmtId="0" fontId="1" fillId="40" borderId="0" xfId="0" applyFont="1" applyFill="1" applyBorder="1" applyAlignment="1">
      <alignment horizontal="center" vertical="center"/>
    </xf>
    <xf numFmtId="0" fontId="12" fillId="34" borderId="0" xfId="0" applyFont="1" applyFill="1" applyBorder="1" applyAlignment="1">
      <alignment horizontal="center" vertical="center"/>
    </xf>
    <xf numFmtId="0" fontId="10" fillId="0" borderId="0" xfId="0" applyNumberFormat="1" applyFont="1" applyAlignment="1">
      <alignment horizontal="center" vertical="center"/>
    </xf>
    <xf numFmtId="176" fontId="0" fillId="0" borderId="0" xfId="0" applyNumberFormat="1" applyFont="1" applyBorder="1" applyAlignment="1" applyProtection="1">
      <alignment horizontal="center" vertical="center"/>
      <protection locked="0"/>
    </xf>
    <xf numFmtId="183" fontId="0" fillId="0" borderId="0" xfId="0" applyNumberFormat="1" applyFont="1" applyFill="1" applyBorder="1" applyAlignment="1" applyProtection="1">
      <alignment horizontal="center" vertical="center"/>
      <protection locked="0"/>
    </xf>
    <xf numFmtId="14" fontId="0" fillId="0" borderId="0" xfId="0" applyNumberFormat="1" applyFont="1" applyBorder="1" applyAlignment="1" applyProtection="1">
      <alignment horizontal="center" vertical="center"/>
      <protection locked="0"/>
    </xf>
    <xf numFmtId="182" fontId="0" fillId="0" borderId="0" xfId="0" applyNumberFormat="1" applyFont="1" applyBorder="1" applyAlignment="1" applyProtection="1">
      <alignment horizontal="center" vertical="center"/>
      <protection locked="0"/>
    </xf>
    <xf numFmtId="0" fontId="0" fillId="0" borderId="0" xfId="0" applyFont="1" applyBorder="1" applyAlignment="1" applyProtection="1">
      <alignment horizontal="left" vertical="center"/>
      <protection locked="0"/>
    </xf>
    <xf numFmtId="0" fontId="0" fillId="0" borderId="0" xfId="0" applyFont="1" applyFill="1" applyBorder="1" applyAlignment="1" applyProtection="1">
      <alignment horizontal="center" vertical="center"/>
      <protection locked="0"/>
    </xf>
    <xf numFmtId="186" fontId="0" fillId="0" borderId="0" xfId="0" applyNumberFormat="1" applyFont="1" applyFill="1" applyBorder="1" applyAlignment="1" applyProtection="1">
      <alignment horizontal="center" vertical="center"/>
      <protection locked="0"/>
    </xf>
    <xf numFmtId="187" fontId="0" fillId="0" borderId="0" xfId="0" applyNumberFormat="1" applyFont="1" applyFill="1" applyBorder="1" applyAlignment="1" applyProtection="1">
      <alignment horizontal="center" vertical="center"/>
      <protection locked="0"/>
    </xf>
    <xf numFmtId="0" fontId="1" fillId="0" borderId="0" xfId="0" applyFont="1" applyBorder="1" applyAlignment="1" applyProtection="1">
      <alignment horizontal="center" vertical="center"/>
      <protection locked="0"/>
    </xf>
    <xf numFmtId="49" fontId="0" fillId="0" borderId="0" xfId="0" applyNumberFormat="1" applyFont="1" applyBorder="1" applyAlignment="1">
      <alignment horizontal="center" vertical="center"/>
    </xf>
    <xf numFmtId="49" fontId="0" fillId="40" borderId="0"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xf>
    <xf numFmtId="49" fontId="0" fillId="32" borderId="0" xfId="0" applyNumberFormat="1" applyFont="1" applyFill="1" applyBorder="1" applyAlignment="1">
      <alignment horizontal="center" vertical="center"/>
    </xf>
    <xf numFmtId="49" fontId="0" fillId="34" borderId="0" xfId="0" applyNumberFormat="1" applyFont="1" applyFill="1" applyBorder="1" applyAlignment="1">
      <alignment horizontal="center" vertical="center"/>
    </xf>
    <xf numFmtId="49" fontId="0" fillId="45" borderId="0" xfId="50" applyNumberFormat="1" applyFont="1" applyFill="1" applyBorder="1" applyAlignment="1" applyProtection="1">
      <alignment horizontal="center" vertical="center"/>
    </xf>
    <xf numFmtId="185" fontId="0" fillId="32" borderId="0" xfId="0" applyNumberFormat="1" applyFont="1" applyFill="1" applyBorder="1" applyAlignment="1">
      <alignment horizontal="center" vertical="center"/>
    </xf>
    <xf numFmtId="186" fontId="0" fillId="32" borderId="0" xfId="0" applyNumberFormat="1" applyFont="1" applyFill="1" applyBorder="1" applyAlignment="1">
      <alignment horizontal="center" vertical="center"/>
    </xf>
    <xf numFmtId="187" fontId="0" fillId="32" borderId="0" xfId="0" applyNumberFormat="1" applyFont="1" applyFill="1" applyBorder="1" applyAlignment="1">
      <alignment horizontal="center" vertical="center"/>
    </xf>
    <xf numFmtId="49" fontId="1" fillId="32" borderId="0" xfId="0" applyNumberFormat="1" applyFont="1" applyFill="1" applyBorder="1" applyAlignment="1">
      <alignment horizontal="center" vertical="center"/>
    </xf>
    <xf numFmtId="176" fontId="1" fillId="32" borderId="0" xfId="0" applyNumberFormat="1" applyFont="1" applyFill="1" applyBorder="1" applyAlignment="1">
      <alignment horizontal="center" vertical="center"/>
    </xf>
    <xf numFmtId="183" fontId="1" fillId="32" borderId="0" xfId="0" applyNumberFormat="1" applyFont="1" applyFill="1" applyBorder="1" applyAlignment="1">
      <alignment horizontal="center" vertical="center"/>
    </xf>
    <xf numFmtId="14" fontId="1" fillId="32" borderId="0" xfId="0" applyNumberFormat="1" applyFont="1" applyFill="1" applyBorder="1" applyAlignment="1">
      <alignment horizontal="center" vertical="center"/>
    </xf>
    <xf numFmtId="182" fontId="1" fillId="32" borderId="0" xfId="0" applyNumberFormat="1" applyFont="1" applyFill="1" applyBorder="1" applyAlignment="1">
      <alignment horizontal="center" vertical="center"/>
    </xf>
    <xf numFmtId="0" fontId="1" fillId="32" borderId="0" xfId="0" applyFont="1" applyFill="1" applyBorder="1" applyAlignment="1">
      <alignment horizontal="left" vertical="center"/>
    </xf>
    <xf numFmtId="0" fontId="13" fillId="0" borderId="0" xfId="0" applyFont="1" applyBorder="1" applyAlignment="1">
      <alignment horizontal="center" vertical="center"/>
    </xf>
    <xf numFmtId="176" fontId="1" fillId="34" borderId="0" xfId="0" applyNumberFormat="1" applyFont="1" applyFill="1" applyBorder="1" applyAlignment="1">
      <alignment horizontal="center" vertical="center"/>
    </xf>
    <xf numFmtId="183" fontId="1" fillId="34" borderId="0" xfId="0" applyNumberFormat="1" applyFont="1" applyFill="1" applyBorder="1" applyAlignment="1">
      <alignment horizontal="center" vertical="center"/>
    </xf>
    <xf numFmtId="14" fontId="1" fillId="34" borderId="0" xfId="0" applyNumberFormat="1" applyFont="1" applyFill="1" applyBorder="1" applyAlignment="1">
      <alignment horizontal="center" vertical="center"/>
    </xf>
    <xf numFmtId="182" fontId="1" fillId="34" borderId="0" xfId="0" applyNumberFormat="1" applyFont="1" applyFill="1" applyBorder="1" applyAlignment="1">
      <alignment horizontal="center" vertical="center"/>
    </xf>
    <xf numFmtId="0" fontId="1" fillId="34" borderId="0" xfId="0" applyFont="1" applyFill="1" applyBorder="1" applyAlignment="1">
      <alignment horizontal="left" vertical="center"/>
    </xf>
    <xf numFmtId="0" fontId="10" fillId="32" borderId="0" xfId="0" applyNumberFormat="1" applyFont="1" applyFill="1">
      <alignment vertical="center"/>
    </xf>
    <xf numFmtId="0" fontId="0" fillId="46" borderId="0" xfId="0" applyFont="1" applyFill="1" applyBorder="1" applyAlignment="1">
      <alignment horizontal="center" vertical="center"/>
    </xf>
    <xf numFmtId="0" fontId="0" fillId="27" borderId="0" xfId="0" applyFill="1" applyAlignment="1">
      <alignment horizontal="center" vertical="center"/>
    </xf>
    <xf numFmtId="2" fontId="0" fillId="0" borderId="0" xfId="0" applyNumberFormat="1" applyFont="1" applyFill="1" applyBorder="1" applyAlignment="1">
      <alignment horizontal="center" vertical="center"/>
    </xf>
    <xf numFmtId="176" fontId="0" fillId="41" borderId="0" xfId="0" applyNumberFormat="1" applyFont="1" applyFill="1" applyBorder="1" applyAlignment="1">
      <alignment horizontal="center" vertical="center"/>
    </xf>
    <xf numFmtId="183" fontId="0" fillId="41" borderId="0" xfId="0" applyNumberFormat="1" applyFont="1" applyFill="1" applyBorder="1" applyAlignment="1">
      <alignment horizontal="center" vertical="center"/>
    </xf>
    <xf numFmtId="14" fontId="0" fillId="41" borderId="0" xfId="0" applyNumberFormat="1" applyFont="1" applyFill="1" applyBorder="1" applyAlignment="1">
      <alignment horizontal="center" vertical="center"/>
    </xf>
    <xf numFmtId="182" fontId="0" fillId="41" borderId="0" xfId="0" applyNumberFormat="1" applyFont="1" applyFill="1" applyBorder="1" applyAlignment="1">
      <alignment horizontal="center" vertical="center"/>
    </xf>
    <xf numFmtId="0" fontId="0" fillId="41" borderId="0" xfId="0" applyFont="1" applyFill="1" applyBorder="1" applyAlignment="1">
      <alignment horizontal="left" vertical="center"/>
    </xf>
    <xf numFmtId="0" fontId="1" fillId="41" borderId="0" xfId="0" applyFont="1" applyFill="1" applyBorder="1" applyAlignment="1">
      <alignment horizontal="center" vertical="center"/>
    </xf>
    <xf numFmtId="0" fontId="1" fillId="0" borderId="0" xfId="0" applyFont="1" applyFill="1" applyBorder="1" applyAlignment="1">
      <alignment horizontal="left" vertical="center"/>
    </xf>
    <xf numFmtId="185" fontId="0" fillId="34" borderId="0" xfId="0" applyNumberFormat="1" applyFont="1" applyFill="1" applyBorder="1" applyAlignment="1">
      <alignment horizontal="center" vertical="center"/>
    </xf>
    <xf numFmtId="186" fontId="0" fillId="34" borderId="0" xfId="0" applyNumberFormat="1" applyFont="1" applyFill="1" applyBorder="1" applyAlignment="1">
      <alignment horizontal="center" vertical="center"/>
    </xf>
    <xf numFmtId="187" fontId="0" fillId="34" borderId="0" xfId="0" applyNumberFormat="1" applyFont="1" applyFill="1" applyBorder="1" applyAlignment="1">
      <alignment horizontal="center" vertical="center"/>
    </xf>
    <xf numFmtId="179" fontId="0" fillId="0" borderId="0" xfId="0" applyNumberFormat="1" applyFont="1" applyFill="1" applyBorder="1" applyAlignment="1">
      <alignment horizontal="center" vertical="center"/>
    </xf>
    <xf numFmtId="0" fontId="1" fillId="0" borderId="0" xfId="0" applyFont="1" applyBorder="1" applyAlignment="1">
      <alignment horizontal="left" vertical="center"/>
    </xf>
    <xf numFmtId="0" fontId="0" fillId="34" borderId="0" xfId="0" applyFill="1" applyAlignment="1">
      <alignment horizontal="center" vertical="center"/>
    </xf>
    <xf numFmtId="0" fontId="1" fillId="32" borderId="0" xfId="0" applyFont="1" applyFill="1" applyAlignment="1">
      <alignment horizontal="center" vertical="center"/>
    </xf>
    <xf numFmtId="0" fontId="0" fillId="32" borderId="0" xfId="0" applyFill="1" applyAlignment="1">
      <alignment horizontal="center" vertical="center"/>
    </xf>
    <xf numFmtId="0" fontId="0" fillId="38" borderId="0" xfId="0" applyFill="1" applyAlignment="1">
      <alignment horizontal="center" vertical="center"/>
    </xf>
    <xf numFmtId="176" fontId="1" fillId="0" borderId="0" xfId="0" applyNumberFormat="1" applyFont="1" applyBorder="1" applyAlignment="1">
      <alignment horizontal="center" vertical="center"/>
    </xf>
    <xf numFmtId="183" fontId="1" fillId="0" borderId="0" xfId="0" applyNumberFormat="1" applyFont="1" applyFill="1" applyBorder="1" applyAlignment="1">
      <alignment horizontal="center" vertical="center"/>
    </xf>
    <xf numFmtId="14" fontId="1" fillId="0" borderId="0" xfId="0" applyNumberFormat="1" applyFont="1" applyBorder="1" applyAlignment="1">
      <alignment horizontal="center" vertical="center"/>
    </xf>
    <xf numFmtId="182" fontId="1" fillId="0" borderId="0" xfId="0" applyNumberFormat="1" applyFont="1" applyBorder="1" applyAlignment="1">
      <alignment horizontal="center" vertical="center"/>
    </xf>
    <xf numFmtId="182" fontId="1" fillId="0" borderId="0" xfId="0" applyNumberFormat="1" applyFont="1" applyFill="1" applyBorder="1" applyAlignment="1">
      <alignment horizontal="center" vertical="center"/>
    </xf>
    <xf numFmtId="0" fontId="1" fillId="28" borderId="0" xfId="0" applyFont="1" applyFill="1" applyBorder="1" applyAlignment="1">
      <alignment horizontal="center" vertical="center"/>
    </xf>
    <xf numFmtId="14" fontId="1" fillId="0" borderId="0" xfId="0" applyNumberFormat="1" applyFont="1" applyAlignment="1">
      <alignment horizontal="center" vertical="center"/>
    </xf>
    <xf numFmtId="0" fontId="10" fillId="0" borderId="0" xfId="0" applyFont="1" applyAlignment="1">
      <alignment horizontal="center" vertical="center"/>
    </xf>
    <xf numFmtId="0" fontId="0" fillId="0" borderId="0" xfId="0" applyFont="1" applyFill="1" applyBorder="1" applyAlignment="1">
      <alignment horizontal="center" vertical="center" wrapText="1"/>
    </xf>
    <xf numFmtId="0" fontId="10" fillId="34" borderId="0" xfId="0" applyFont="1" applyFill="1" applyAlignment="1">
      <alignment horizontal="center" vertical="center"/>
    </xf>
    <xf numFmtId="0" fontId="1" fillId="34" borderId="0" xfId="0" applyFont="1" applyFill="1" applyAlignment="1">
      <alignment horizontal="center" vertical="center"/>
    </xf>
    <xf numFmtId="14" fontId="1" fillId="34" borderId="0" xfId="0" applyNumberFormat="1" applyFont="1" applyFill="1" applyAlignment="1">
      <alignment horizontal="center" vertical="center"/>
    </xf>
    <xf numFmtId="0" fontId="10" fillId="42" borderId="0" xfId="0" applyFont="1" applyFill="1" applyAlignment="1">
      <alignment horizontal="center" vertical="center"/>
    </xf>
    <xf numFmtId="0" fontId="1" fillId="42" borderId="0" xfId="0" applyFont="1" applyFill="1" applyAlignment="1">
      <alignment horizontal="center" vertical="center"/>
    </xf>
    <xf numFmtId="183" fontId="0" fillId="42" borderId="0" xfId="0" applyNumberFormat="1" applyFont="1" applyFill="1" applyBorder="1" applyAlignment="1">
      <alignment horizontal="center" vertical="center"/>
    </xf>
    <xf numFmtId="14" fontId="1" fillId="42" borderId="0" xfId="0" applyNumberFormat="1" applyFont="1" applyFill="1" applyAlignment="1">
      <alignment horizontal="center" vertical="center"/>
    </xf>
    <xf numFmtId="14" fontId="0" fillId="42" borderId="0" xfId="0" applyNumberFormat="1" applyFont="1" applyFill="1" applyBorder="1" applyAlignment="1">
      <alignment horizontal="center" vertical="center"/>
    </xf>
    <xf numFmtId="182" fontId="0" fillId="42" borderId="0" xfId="0" applyNumberFormat="1" applyFont="1" applyFill="1" applyBorder="1" applyAlignment="1">
      <alignment horizontal="center" vertical="center"/>
    </xf>
    <xf numFmtId="0" fontId="1" fillId="42" borderId="0" xfId="0" applyFont="1" applyFill="1" applyBorder="1" applyAlignment="1">
      <alignment horizontal="left" vertical="center"/>
    </xf>
    <xf numFmtId="0" fontId="1" fillId="42" borderId="0" xfId="0" applyFont="1" applyFill="1" applyBorder="1" applyAlignment="1">
      <alignment horizontal="center" vertical="center"/>
    </xf>
    <xf numFmtId="0" fontId="10" fillId="32" borderId="0" xfId="0" applyFont="1" applyFill="1" applyAlignment="1">
      <alignment horizontal="center" vertical="center"/>
    </xf>
    <xf numFmtId="14" fontId="1" fillId="32" borderId="0" xfId="0" applyNumberFormat="1" applyFont="1" applyFill="1" applyAlignment="1">
      <alignment horizontal="center" vertical="center"/>
    </xf>
    <xf numFmtId="0" fontId="10" fillId="0" borderId="0" xfId="0" applyFont="1" applyFill="1" applyAlignment="1">
      <alignment horizontal="center" vertical="center"/>
    </xf>
    <xf numFmtId="0" fontId="1" fillId="0" borderId="0" xfId="0" applyFont="1" applyFill="1" applyAlignment="1">
      <alignment horizontal="center" vertical="center"/>
    </xf>
    <xf numFmtId="14" fontId="1" fillId="0" borderId="0" xfId="0" applyNumberFormat="1" applyFont="1" applyFill="1" applyAlignment="1">
      <alignment horizontal="center" vertical="center"/>
    </xf>
    <xf numFmtId="0" fontId="10" fillId="39" borderId="0" xfId="0" applyFont="1" applyFill="1" applyAlignment="1">
      <alignment horizontal="center" vertical="center"/>
    </xf>
    <xf numFmtId="0" fontId="1" fillId="39" borderId="0" xfId="0" applyFont="1" applyFill="1" applyAlignment="1">
      <alignment horizontal="center" vertical="center"/>
    </xf>
    <xf numFmtId="14" fontId="1" fillId="39" borderId="0" xfId="0" applyNumberFormat="1" applyFont="1" applyFill="1" applyAlignment="1">
      <alignment horizontal="center" vertical="center"/>
    </xf>
    <xf numFmtId="0" fontId="1" fillId="39" borderId="0" xfId="0" applyFont="1" applyFill="1" applyBorder="1" applyAlignment="1">
      <alignment horizontal="left" vertical="center"/>
    </xf>
    <xf numFmtId="0" fontId="0" fillId="0" borderId="0" xfId="0" applyFont="1" applyFill="1" applyBorder="1">
      <alignment vertical="center"/>
    </xf>
    <xf numFmtId="0" fontId="10" fillId="24" borderId="0" xfId="0" applyFont="1" applyFill="1" applyAlignment="1">
      <alignment horizontal="center" vertical="center"/>
    </xf>
    <xf numFmtId="0" fontId="1" fillId="24" borderId="0" xfId="0" applyFont="1" applyFill="1" applyAlignment="1">
      <alignment horizontal="center" vertical="center"/>
    </xf>
    <xf numFmtId="14" fontId="1" fillId="24" borderId="0" xfId="0" applyNumberFormat="1" applyFont="1" applyFill="1" applyAlignment="1">
      <alignment horizontal="center" vertical="center"/>
    </xf>
    <xf numFmtId="0" fontId="1" fillId="0" borderId="0" xfId="0" applyNumberFormat="1" applyFont="1" applyAlignment="1">
      <alignment horizontal="center" vertical="center"/>
    </xf>
    <xf numFmtId="0" fontId="1" fillId="34" borderId="0" xfId="0" applyNumberFormat="1" applyFont="1" applyFill="1" applyAlignment="1">
      <alignment horizontal="center" vertical="center"/>
    </xf>
    <xf numFmtId="0" fontId="1" fillId="32" borderId="0" xfId="0" applyNumberFormat="1" applyFont="1" applyFill="1" applyAlignment="1">
      <alignment horizontal="center" vertical="center"/>
    </xf>
    <xf numFmtId="0" fontId="14" fillId="0" borderId="0" xfId="0" applyFont="1" applyFill="1" applyAlignment="1">
      <alignment horizontal="center" vertical="center"/>
    </xf>
    <xf numFmtId="0" fontId="1" fillId="0" borderId="0" xfId="0" applyNumberFormat="1" applyFont="1" applyFill="1" applyAlignment="1">
      <alignment horizontal="center" vertical="center"/>
    </xf>
    <xf numFmtId="182" fontId="1" fillId="0" borderId="0" xfId="0" applyNumberFormat="1" applyFont="1" applyFill="1" applyBorder="1" applyAlignment="1">
      <alignment horizontal="left" vertical="center"/>
    </xf>
    <xf numFmtId="0" fontId="1" fillId="32" borderId="0" xfId="0" applyFont="1" applyFill="1" applyBorder="1" applyAlignment="1">
      <alignment horizontal="left" vertical="center" wrapText="1"/>
    </xf>
    <xf numFmtId="49" fontId="1" fillId="0" borderId="0" xfId="0" applyNumberFormat="1" applyFont="1" applyBorder="1" applyAlignment="1">
      <alignment horizontal="center" vertical="center"/>
    </xf>
    <xf numFmtId="49" fontId="1" fillId="0" borderId="0" xfId="0" applyNumberFormat="1" applyFont="1" applyBorder="1" applyAlignment="1">
      <alignment horizontal="left" vertical="center"/>
    </xf>
    <xf numFmtId="49" fontId="0" fillId="24" borderId="0" xfId="0" applyNumberFormat="1" applyFont="1" applyFill="1" applyBorder="1" applyAlignment="1">
      <alignment horizontal="center" vertical="center"/>
    </xf>
    <xf numFmtId="49" fontId="1" fillId="24" borderId="0" xfId="0" applyNumberFormat="1" applyFont="1" applyFill="1" applyBorder="1" applyAlignment="1">
      <alignment horizontal="center" vertical="center"/>
    </xf>
    <xf numFmtId="49" fontId="1" fillId="24" borderId="0" xfId="0" applyNumberFormat="1" applyFont="1" applyFill="1" applyBorder="1" applyAlignment="1">
      <alignment horizontal="left" vertical="center"/>
    </xf>
    <xf numFmtId="49" fontId="1" fillId="32" borderId="0" xfId="0" applyNumberFormat="1" applyFont="1" applyFill="1" applyBorder="1" applyAlignment="1">
      <alignment horizontal="left" vertical="center"/>
    </xf>
    <xf numFmtId="49" fontId="1" fillId="34" borderId="0" xfId="0" applyNumberFormat="1" applyFont="1" applyFill="1" applyBorder="1" applyAlignment="1">
      <alignment horizontal="center" vertical="center"/>
    </xf>
    <xf numFmtId="0" fontId="10" fillId="23" borderId="0" xfId="0" applyFont="1" applyFill="1" applyAlignment="1">
      <alignment horizontal="center" vertical="center"/>
    </xf>
    <xf numFmtId="187" fontId="1" fillId="0" borderId="0" xfId="0" applyNumberFormat="1" applyFont="1" applyBorder="1" applyAlignment="1">
      <alignment horizontal="center" vertical="center"/>
    </xf>
    <xf numFmtId="49" fontId="0" fillId="39" borderId="0" xfId="0" applyNumberFormat="1" applyFont="1" applyFill="1" applyBorder="1" applyAlignment="1">
      <alignment horizontal="center" vertical="center"/>
    </xf>
    <xf numFmtId="186" fontId="0" fillId="39" borderId="0" xfId="0" applyNumberFormat="1" applyFont="1" applyFill="1" applyBorder="1" applyAlignment="1">
      <alignment horizontal="center" vertical="center"/>
    </xf>
    <xf numFmtId="187" fontId="0" fillId="39" borderId="0" xfId="0" applyNumberFormat="1" applyFont="1" applyFill="1" applyBorder="1" applyAlignment="1">
      <alignment horizontal="center" vertical="center"/>
    </xf>
    <xf numFmtId="0" fontId="0" fillId="34" borderId="0" xfId="0" applyFill="1">
      <alignment vertical="center"/>
    </xf>
    <xf numFmtId="0" fontId="6" fillId="0" borderId="0" xfId="0" applyNumberFormat="1" applyFont="1" applyFill="1" applyBorder="1" applyAlignment="1" quotePrefix="1">
      <alignment wrapText="1"/>
    </xf>
    <xf numFmtId="0" fontId="6" fillId="0" borderId="0" xfId="0" applyNumberFormat="1" applyFont="1" applyFill="1" applyBorder="1" applyAlignment="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2">
    <dxf>
      <fill>
        <patternFill patternType="solid">
          <bgColor rgb="FFFFC000"/>
        </patternFill>
      </fill>
    </dxf>
    <dxf>
      <fill>
        <patternFill patternType="solid">
          <bgColor rgb="FFFF0C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895"/>
  <sheetViews>
    <sheetView tabSelected="1" zoomScale="90" zoomScaleNormal="90" workbookViewId="0">
      <pane xSplit="1" ySplit="2" topLeftCell="R3" activePane="bottomRight" state="frozen"/>
      <selection/>
      <selection pane="topRight"/>
      <selection pane="bottomLeft"/>
      <selection pane="bottomRight" activeCell="AE557" sqref="AE557"/>
    </sheetView>
  </sheetViews>
  <sheetFormatPr defaultColWidth="14" defaultRowHeight="14.25"/>
  <cols>
    <col min="1" max="1" width="14.25" style="117" customWidth="1"/>
    <col min="2" max="3" width="14" style="117" customWidth="1" outlineLevel="1"/>
    <col min="4" max="4" width="14" style="135" hidden="1" customWidth="1" outlineLevel="1"/>
    <col min="5" max="5" width="14" style="117" hidden="1" customWidth="1" outlineLevel="1"/>
    <col min="6" max="6" width="12.6333333333333" style="136" customWidth="1" outlineLevel="1"/>
    <col min="7" max="8" width="14" style="117" customWidth="1" outlineLevel="1"/>
    <col min="9" max="9" width="14" style="117" customWidth="1"/>
    <col min="10" max="11" width="14" style="117" customWidth="1" outlineLevel="1"/>
    <col min="12" max="12" width="14" style="137" customWidth="1" outlineLevel="1"/>
    <col min="13" max="13" width="14" style="138" customWidth="1" outlineLevel="1"/>
    <col min="14" max="14" width="52.45" style="139" customWidth="1" outlineLevel="1"/>
    <col min="15" max="24" width="14" style="117" customWidth="1" outlineLevel="1"/>
    <col min="25" max="30" width="14" style="117" hidden="1" customWidth="1" outlineLevel="1"/>
    <col min="31" max="31" width="14" style="117" customWidth="1" outlineLevel="1"/>
    <col min="32" max="32" width="14" style="117" hidden="1" customWidth="1" outlineLevel="1"/>
    <col min="33" max="35" width="14" style="114" hidden="1" customWidth="1" outlineLevel="1"/>
    <col min="36" max="36" width="14" style="140" hidden="1" customWidth="1" outlineLevel="1"/>
    <col min="37" max="37" width="14" style="141" customWidth="1" outlineLevel="1"/>
    <col min="38" max="39" width="14" style="141" hidden="1" customWidth="1" outlineLevel="1"/>
    <col min="40" max="41" width="14" style="117" hidden="1" customWidth="1" outlineLevel="1"/>
    <col min="42" max="44" width="14" style="117" customWidth="1" outlineLevel="1"/>
    <col min="45" max="45" width="14" style="141" customWidth="1" outlineLevel="1"/>
    <col min="46" max="46" width="14" style="142" hidden="1" customWidth="1" outlineLevel="1"/>
    <col min="47" max="51" width="14" style="117" customWidth="1" outlineLevel="1"/>
    <col min="52" max="16152" width="14" style="117" customWidth="1"/>
    <col min="16153" max="16384" width="14" style="117"/>
  </cols>
  <sheetData>
    <row r="1" ht="15" customHeight="1" spans="1:52">
      <c r="A1" s="119"/>
      <c r="G1" s="122" t="s">
        <v>0</v>
      </c>
      <c r="O1" s="143" t="s">
        <v>1</v>
      </c>
      <c r="P1" s="143"/>
      <c r="Q1" s="143"/>
      <c r="R1" s="143"/>
      <c r="S1" s="143"/>
      <c r="T1" s="144" t="s">
        <v>2</v>
      </c>
      <c r="U1" s="144"/>
      <c r="V1" s="144"/>
      <c r="W1" s="144"/>
      <c r="Y1" s="145" t="s">
        <v>3</v>
      </c>
      <c r="Z1" s="145"/>
      <c r="AA1" s="145"/>
      <c r="AB1" s="145"/>
      <c r="AC1" s="145"/>
      <c r="AD1" s="145"/>
      <c r="AE1" s="145"/>
      <c r="AF1" s="145"/>
      <c r="AG1" s="146" t="s">
        <v>4</v>
      </c>
      <c r="AH1" s="146"/>
      <c r="AI1" s="146"/>
      <c r="AJ1" s="146"/>
      <c r="AK1" s="147"/>
      <c r="AL1" s="147"/>
      <c r="AM1" s="147"/>
      <c r="AN1" s="146"/>
      <c r="AO1" s="146"/>
      <c r="AP1" s="122" t="s">
        <v>5</v>
      </c>
      <c r="AQ1" s="122"/>
      <c r="AR1" s="145" t="s">
        <v>6</v>
      </c>
      <c r="AS1" s="148" t="s">
        <v>7</v>
      </c>
      <c r="AT1" s="122"/>
      <c r="AU1" s="145" t="s">
        <v>8</v>
      </c>
      <c r="AV1" s="122"/>
      <c r="AW1" s="119"/>
      <c r="AX1" s="119"/>
      <c r="AZ1" s="116"/>
    </row>
    <row r="2" s="120" customFormat="1" ht="15" customHeight="1" spans="1:52">
      <c r="A2" s="120" t="s">
        <v>9</v>
      </c>
      <c r="B2" s="120" t="s">
        <v>10</v>
      </c>
      <c r="C2" s="120" t="s">
        <v>11</v>
      </c>
      <c r="D2" s="149" t="s">
        <v>12</v>
      </c>
      <c r="E2" s="120" t="s">
        <v>13</v>
      </c>
      <c r="F2" s="150" t="s">
        <v>14</v>
      </c>
      <c r="G2" s="120" t="s">
        <v>0</v>
      </c>
      <c r="H2" s="120" t="s">
        <v>15</v>
      </c>
      <c r="I2" s="120" t="s">
        <v>16</v>
      </c>
      <c r="J2" s="120" t="s">
        <v>17</v>
      </c>
      <c r="K2" s="120" t="s">
        <v>18</v>
      </c>
      <c r="L2" s="151" t="s">
        <v>19</v>
      </c>
      <c r="M2" s="151" t="s">
        <v>20</v>
      </c>
      <c r="N2" s="120" t="s">
        <v>21</v>
      </c>
      <c r="O2" s="120" t="s">
        <v>22</v>
      </c>
      <c r="P2" s="120" t="s">
        <v>23</v>
      </c>
      <c r="Q2" s="120" t="s">
        <v>24</v>
      </c>
      <c r="R2" s="120" t="s">
        <v>25</v>
      </c>
      <c r="S2" s="120" t="s">
        <v>26</v>
      </c>
      <c r="T2" s="120" t="s">
        <v>27</v>
      </c>
      <c r="U2" s="120" t="s">
        <v>28</v>
      </c>
      <c r="V2" s="120" t="s">
        <v>29</v>
      </c>
      <c r="W2" s="120" t="s">
        <v>30</v>
      </c>
      <c r="X2" s="120" t="s">
        <v>31</v>
      </c>
      <c r="Y2" s="120" t="s">
        <v>32</v>
      </c>
      <c r="Z2" s="120" t="s">
        <v>27</v>
      </c>
      <c r="AA2" s="120" t="s">
        <v>27</v>
      </c>
      <c r="AB2" s="120" t="s">
        <v>33</v>
      </c>
      <c r="AC2" s="120" t="s">
        <v>34</v>
      </c>
      <c r="AD2" s="120" t="s">
        <v>35</v>
      </c>
      <c r="AE2" s="120" t="s">
        <v>3</v>
      </c>
      <c r="AF2" s="120" t="s">
        <v>36</v>
      </c>
      <c r="AG2" s="120" t="s">
        <v>37</v>
      </c>
      <c r="AH2" s="120" t="s">
        <v>38</v>
      </c>
      <c r="AI2" s="120" t="s">
        <v>35</v>
      </c>
      <c r="AJ2" s="152" t="s">
        <v>39</v>
      </c>
      <c r="AK2" s="153" t="s">
        <v>4</v>
      </c>
      <c r="AL2" s="153" t="s">
        <v>40</v>
      </c>
      <c r="AM2" s="153" t="s">
        <v>41</v>
      </c>
      <c r="AN2" s="120" t="s">
        <v>42</v>
      </c>
      <c r="AO2" s="120" t="s">
        <v>36</v>
      </c>
      <c r="AP2" s="154" t="s">
        <v>43</v>
      </c>
      <c r="AQ2" s="154" t="s">
        <v>44</v>
      </c>
      <c r="AR2" s="120" t="s">
        <v>35</v>
      </c>
      <c r="AS2" s="155" t="s">
        <v>45</v>
      </c>
      <c r="AT2" s="156" t="s">
        <v>37</v>
      </c>
      <c r="AU2" s="120" t="s">
        <v>38</v>
      </c>
      <c r="AV2" s="120" t="s">
        <v>41</v>
      </c>
      <c r="AZ2" s="154" t="s">
        <v>46</v>
      </c>
    </row>
    <row r="3" ht="13.9" customHeight="1" spans="1:52">
      <c r="A3" s="122" t="s">
        <v>47</v>
      </c>
      <c r="B3" s="117" t="s">
        <v>48</v>
      </c>
      <c r="C3" s="117">
        <v>60</v>
      </c>
      <c r="D3" s="135">
        <v>1.77</v>
      </c>
      <c r="E3" s="117">
        <v>70</v>
      </c>
      <c r="F3" s="136">
        <f>E3/(D3*D3)</f>
        <v>22.343515592582</v>
      </c>
      <c r="G3" s="157">
        <v>4</v>
      </c>
      <c r="H3" s="158">
        <v>43748</v>
      </c>
      <c r="I3" s="158">
        <v>43752</v>
      </c>
      <c r="J3" s="158">
        <v>43774</v>
      </c>
      <c r="K3" s="158"/>
      <c r="L3" s="137">
        <v>1</v>
      </c>
      <c r="M3" s="138">
        <f>DATEDIF(I3,J3,"D")</f>
        <v>22</v>
      </c>
      <c r="N3" s="139" t="s">
        <v>49</v>
      </c>
      <c r="O3" s="117">
        <v>1</v>
      </c>
      <c r="Q3" s="117">
        <v>1</v>
      </c>
      <c r="T3" s="114">
        <v>1</v>
      </c>
      <c r="U3" s="114">
        <v>0</v>
      </c>
      <c r="V3" s="114">
        <v>1</v>
      </c>
      <c r="W3" s="114"/>
      <c r="X3" s="114">
        <v>1</v>
      </c>
      <c r="Y3" s="114">
        <v>1</v>
      </c>
      <c r="Z3" s="114"/>
      <c r="AA3" s="114">
        <v>2</v>
      </c>
      <c r="AB3" s="114">
        <f>_xlfn.IFS(AT3&gt;51,3,AT3&gt;=34,2,AT3&lt;34,1)</f>
        <v>3</v>
      </c>
      <c r="AC3" s="114">
        <f>_xlfn.IFS(AS3&lt;28,3,AS3=28-35,2,AS3&gt;35,1)</f>
        <v>3</v>
      </c>
      <c r="AD3" s="114">
        <v>2</v>
      </c>
      <c r="AE3" s="120" t="s">
        <v>3</v>
      </c>
      <c r="AF3" s="116" t="s">
        <v>50</v>
      </c>
      <c r="AG3" s="114">
        <f t="shared" ref="AG3:AG8" si="0">AT3/17.1</f>
        <v>8.29824561403509</v>
      </c>
      <c r="AH3" s="114">
        <f>AU3/88.4</f>
        <v>0.735294117647059</v>
      </c>
      <c r="AI3" s="114">
        <f>AR3</f>
        <v>1.8</v>
      </c>
      <c r="AJ3" s="159">
        <f>LN(IF(AG3&gt;=1,AG3,1))*3.8+LN(IF(AH3&gt;=1,AH3,1))*9.6+11.2*LN(IF(AI3&gt;=1,AI3,1))+6.4*AN3</f>
        <v>21.0241783054018</v>
      </c>
      <c r="AK3" s="160">
        <f t="shared" ref="AK3:AK12" si="1">IF(AND(AG3&gt;0,AH3&gt;0,AI3&gt;0),AJ3,"")</f>
        <v>21.0241783054018</v>
      </c>
      <c r="AL3" s="160">
        <f>AK3+1.59*(135-AM3)</f>
        <v>21.0241783054018</v>
      </c>
      <c r="AM3" s="160">
        <f>IF(AV3&gt;135,135,IF(AV3&lt;120,120,AV3))</f>
        <v>135</v>
      </c>
      <c r="AN3" s="114">
        <v>1</v>
      </c>
      <c r="AO3" s="114">
        <f>_xlfn.IFS(AJ3&lt;15,1,AJ3=15-18,2,AJ3&gt;18,3)</f>
        <v>3</v>
      </c>
      <c r="AP3" s="114">
        <v>4.23</v>
      </c>
      <c r="AQ3" s="114">
        <v>126</v>
      </c>
      <c r="AR3" s="114">
        <v>1.8</v>
      </c>
      <c r="AS3" s="160">
        <v>21</v>
      </c>
      <c r="AT3" s="161">
        <v>141.9</v>
      </c>
      <c r="AU3" s="114">
        <v>65</v>
      </c>
      <c r="AV3" s="114">
        <v>140</v>
      </c>
      <c r="AZ3" s="119" t="s">
        <v>51</v>
      </c>
    </row>
    <row r="4" s="121" customFormat="1" spans="1:52">
      <c r="A4" s="121" t="s">
        <v>52</v>
      </c>
      <c r="B4" s="121" t="s">
        <v>53</v>
      </c>
      <c r="C4" s="121">
        <v>68</v>
      </c>
      <c r="D4" s="162">
        <v>1.6</v>
      </c>
      <c r="E4" s="121">
        <v>75</v>
      </c>
      <c r="F4" s="163">
        <f>E4/(D4*D4)</f>
        <v>29.296875</v>
      </c>
      <c r="G4" s="121">
        <v>4</v>
      </c>
      <c r="H4" s="164">
        <v>43754</v>
      </c>
      <c r="I4" s="164">
        <v>43754</v>
      </c>
      <c r="J4" s="164">
        <v>43766</v>
      </c>
      <c r="K4" s="164">
        <v>44000</v>
      </c>
      <c r="L4" s="165">
        <v>1</v>
      </c>
      <c r="M4" s="166">
        <f>DATEDIF(I4,J4,"D")</f>
        <v>12</v>
      </c>
      <c r="N4" s="167" t="s">
        <v>54</v>
      </c>
      <c r="Q4" s="121">
        <v>1</v>
      </c>
      <c r="R4" s="121">
        <v>1</v>
      </c>
      <c r="T4" s="168">
        <v>1</v>
      </c>
      <c r="U4" s="168">
        <v>0</v>
      </c>
      <c r="V4" s="168">
        <v>1</v>
      </c>
      <c r="W4" s="168"/>
      <c r="X4" s="168">
        <v>1</v>
      </c>
      <c r="Y4" s="168">
        <v>1</v>
      </c>
      <c r="Z4" s="168"/>
      <c r="AA4" s="168">
        <v>2</v>
      </c>
      <c r="AB4" s="168">
        <f>_xlfn.IFS(AT4&gt;51,3,AT4&gt;=34,2,AT4&lt;34,1)</f>
        <v>3</v>
      </c>
      <c r="AC4" s="168">
        <f>_xlfn.IFS(AS4&lt;28,3,AS4=28-35,2,AS4&gt;35,1)</f>
        <v>3</v>
      </c>
      <c r="AD4" s="168">
        <v>2</v>
      </c>
      <c r="AE4" s="120" t="s">
        <v>3</v>
      </c>
      <c r="AF4" s="116" t="s">
        <v>50</v>
      </c>
      <c r="AG4" s="114">
        <f t="shared" si="0"/>
        <v>3.30409356725146</v>
      </c>
      <c r="AH4" s="114">
        <f>AU4/88.4</f>
        <v>0.961538461538461</v>
      </c>
      <c r="AI4" s="114">
        <f>AR4</f>
        <v>1.76</v>
      </c>
      <c r="AJ4" s="159">
        <f>LN(IF(AJ2&gt;=1,AG4,1))*3.8+LN(IF(AH4&gt;=1,AH4,1))*9.6+11.2*LN(IF(AI4&gt;=1,AI4,1))+6.4*AN4</f>
        <v>10.873130925007</v>
      </c>
      <c r="AK4" s="160">
        <f t="shared" si="1"/>
        <v>10.873130925007</v>
      </c>
      <c r="AL4" s="160">
        <f>AK4+1.59*(135-AM4)</f>
        <v>10.873130925007</v>
      </c>
      <c r="AM4" s="160">
        <f>IF(AV4&gt;135,135,IF(AV4&lt;120,120,AV4))</f>
        <v>135</v>
      </c>
      <c r="AN4" s="168">
        <v>0</v>
      </c>
      <c r="AO4" s="168">
        <v>1</v>
      </c>
      <c r="AP4" s="168">
        <v>4.4</v>
      </c>
      <c r="AQ4" s="168">
        <v>105</v>
      </c>
      <c r="AR4" s="168">
        <v>1.76</v>
      </c>
      <c r="AS4" s="169">
        <v>22</v>
      </c>
      <c r="AT4" s="170">
        <v>56.5</v>
      </c>
      <c r="AU4" s="168">
        <v>85</v>
      </c>
      <c r="AV4" s="168">
        <v>138</v>
      </c>
      <c r="AZ4" s="121" t="s">
        <v>55</v>
      </c>
    </row>
    <row r="5" s="122" customFormat="1" spans="1:52">
      <c r="A5" s="122" t="s">
        <v>56</v>
      </c>
      <c r="B5" s="122" t="s">
        <v>53</v>
      </c>
      <c r="C5" s="122">
        <v>70</v>
      </c>
      <c r="D5" s="171">
        <v>1.65</v>
      </c>
      <c r="E5" s="122">
        <v>70</v>
      </c>
      <c r="F5" s="148">
        <f>E5/(D5*D5)</f>
        <v>25.7116620752984</v>
      </c>
      <c r="G5" s="122">
        <v>0</v>
      </c>
      <c r="H5" s="172">
        <v>43756</v>
      </c>
      <c r="I5" s="172">
        <v>43756</v>
      </c>
      <c r="J5" s="172">
        <v>43760</v>
      </c>
      <c r="K5" s="172"/>
      <c r="L5" s="173">
        <v>1</v>
      </c>
      <c r="M5" s="173">
        <f>DATEDIF(I5,J5,"D")</f>
        <v>4</v>
      </c>
      <c r="N5" s="174" t="s">
        <v>57</v>
      </c>
      <c r="Q5" s="122">
        <v>1</v>
      </c>
      <c r="T5" s="114">
        <v>0</v>
      </c>
      <c r="U5" s="114">
        <v>0</v>
      </c>
      <c r="V5" s="114">
        <v>1</v>
      </c>
      <c r="W5" s="114"/>
      <c r="X5" s="114">
        <v>1</v>
      </c>
      <c r="Y5" s="114">
        <v>1</v>
      </c>
      <c r="Z5" s="114" t="s">
        <v>58</v>
      </c>
      <c r="AA5" s="114">
        <v>1</v>
      </c>
      <c r="AB5" s="114">
        <f>_xlfn.IFS(AT5&gt;51,3,AT5&gt;=34,2,AT5&lt;34,1)</f>
        <v>2</v>
      </c>
      <c r="AC5" s="114">
        <f>_xlfn.IFS(AS5&lt;28,3,AS5=28-35,2,AS5&gt;35,1)</f>
        <v>1</v>
      </c>
      <c r="AD5" s="114">
        <f>_xlfn.IFS(AR5&lt;1.7,1,AR5=1.7-2.3,2,AR5&gt;2.3,3)</f>
        <v>1</v>
      </c>
      <c r="AE5" s="120" t="s">
        <v>3</v>
      </c>
      <c r="AF5" s="116" t="s">
        <v>59</v>
      </c>
      <c r="AG5" s="114">
        <f t="shared" si="0"/>
        <v>2.12865497076023</v>
      </c>
      <c r="AH5" s="114">
        <f>AU5/88.4</f>
        <v>0.588235294117647</v>
      </c>
      <c r="AI5" s="114">
        <f>AR5</f>
        <v>1.16</v>
      </c>
      <c r="AJ5" s="159">
        <f>LN(IF(AG5&gt;=1,AG5,1))*3.8+LN(IF(AH5&gt;=1,AH5,1))*9.6+11.2*LN(IF(AI5&gt;=1,AI5,1))+6.4*AN5</f>
        <v>10.9331672396342</v>
      </c>
      <c r="AK5" s="160">
        <f t="shared" si="1"/>
        <v>10.9331672396342</v>
      </c>
      <c r="AL5" s="160">
        <f>AK5+1.59*(135-AM5)</f>
        <v>10.9331672396342</v>
      </c>
      <c r="AM5" s="160">
        <f>IF(AV5&gt;135,135,IF(AV5&lt;120,120,AV5))</f>
        <v>135</v>
      </c>
      <c r="AN5" s="114">
        <v>1</v>
      </c>
      <c r="AO5" s="114">
        <f>_xlfn.IFS(AJ5&lt;15,1,AJ5=15-18,2,AJ5&gt;18,3)</f>
        <v>1</v>
      </c>
      <c r="AP5" s="114">
        <v>2.5</v>
      </c>
      <c r="AQ5" s="114">
        <v>100</v>
      </c>
      <c r="AR5" s="114">
        <v>1.16</v>
      </c>
      <c r="AS5" s="160">
        <v>38</v>
      </c>
      <c r="AT5" s="161">
        <v>36.4</v>
      </c>
      <c r="AU5" s="114">
        <v>52</v>
      </c>
      <c r="AV5" s="114">
        <v>140</v>
      </c>
      <c r="AZ5" s="175" t="s">
        <v>60</v>
      </c>
    </row>
    <row r="6" spans="1:52">
      <c r="A6" s="122" t="s">
        <v>61</v>
      </c>
      <c r="B6" s="117" t="s">
        <v>53</v>
      </c>
      <c r="C6" s="117">
        <v>67</v>
      </c>
      <c r="D6" s="135">
        <v>1.65</v>
      </c>
      <c r="E6" s="117">
        <v>93</v>
      </c>
      <c r="F6" s="136">
        <f>E6/(D6*D6)</f>
        <v>34.1597796143251</v>
      </c>
      <c r="G6" s="157">
        <v>5</v>
      </c>
      <c r="H6" s="158">
        <v>43756</v>
      </c>
      <c r="I6" s="158">
        <v>43756</v>
      </c>
      <c r="J6" s="158">
        <v>43767</v>
      </c>
      <c r="K6" s="158"/>
      <c r="L6" s="137">
        <v>1</v>
      </c>
      <c r="M6" s="138">
        <f>DATEDIF(I6,J6,"D")</f>
        <v>11</v>
      </c>
      <c r="N6" s="139" t="s">
        <v>62</v>
      </c>
      <c r="Q6" s="117">
        <v>1</v>
      </c>
      <c r="T6" s="114">
        <v>1</v>
      </c>
      <c r="U6" s="114">
        <v>0</v>
      </c>
      <c r="V6" s="114">
        <v>1</v>
      </c>
      <c r="W6" s="114"/>
      <c r="X6" s="114">
        <v>1</v>
      </c>
      <c r="Y6" s="114">
        <v>1</v>
      </c>
      <c r="Z6" s="114"/>
      <c r="AA6" s="114">
        <v>3</v>
      </c>
      <c r="AB6" s="114">
        <f>_xlfn.IFS(AT6&gt;51,3,AT6&gt;=34,2,AT6&lt;34,1)</f>
        <v>1</v>
      </c>
      <c r="AC6" s="114">
        <f>_xlfn.IFS(AS6&lt;28,3,AS6=28-35,2,AS6&gt;35,1)</f>
        <v>3</v>
      </c>
      <c r="AD6" s="114">
        <f>_xlfn.IFS(AD8&lt;1.7,1,AR6=1.7-2.3,2,AR6&gt;2.3,3)</f>
        <v>1</v>
      </c>
      <c r="AE6" s="120" t="s">
        <v>3</v>
      </c>
      <c r="AF6" s="116" t="s">
        <v>63</v>
      </c>
      <c r="AG6" s="114">
        <f t="shared" si="0"/>
        <v>0.467836257309941</v>
      </c>
      <c r="AH6" s="114">
        <f>AU6/88.4</f>
        <v>1.60633484162896</v>
      </c>
      <c r="AI6" s="114">
        <f>AR6</f>
        <v>1.09</v>
      </c>
      <c r="AJ6" s="159">
        <f>LN(IF(AJ5&gt;=1,AG6,1))*3.8+LN(IF(AH6&gt;=1,AH6,1))*9.6+11.2*LN(IF(AI6&gt;=1,AI6,1))+6.4*AN6</f>
        <v>9.02853873934399</v>
      </c>
      <c r="AK6" s="160">
        <f t="shared" si="1"/>
        <v>9.02853873934399</v>
      </c>
      <c r="AL6" s="160">
        <f>AK6+1.59*(135-AM6)</f>
        <v>9.02853873934399</v>
      </c>
      <c r="AM6" s="160">
        <f>IF(AV6&gt;135,135,IF(AV6&lt;120,120,AV6))</f>
        <v>135</v>
      </c>
      <c r="AN6" s="114">
        <v>1</v>
      </c>
      <c r="AO6" s="114">
        <f>_xlfn.IFS(AJ6&lt;15,1,AJ6=15-18,2,AJ6&gt;18,3)</f>
        <v>1</v>
      </c>
      <c r="AP6" s="114">
        <v>3.93</v>
      </c>
      <c r="AQ6" s="114">
        <v>55</v>
      </c>
      <c r="AR6" s="114">
        <v>1.09</v>
      </c>
      <c r="AS6" s="160">
        <v>26</v>
      </c>
      <c r="AT6" s="161">
        <v>8</v>
      </c>
      <c r="AU6" s="114">
        <v>142</v>
      </c>
      <c r="AV6" s="114">
        <v>141</v>
      </c>
      <c r="AZ6" s="119" t="s">
        <v>64</v>
      </c>
    </row>
    <row r="7" s="123" customFormat="1" customHeight="1" spans="1:52">
      <c r="A7" s="123" t="s">
        <v>65</v>
      </c>
      <c r="B7" s="123" t="s">
        <v>48</v>
      </c>
      <c r="C7" s="123">
        <v>55</v>
      </c>
      <c r="D7" s="176">
        <v>1.75</v>
      </c>
      <c r="E7" s="123">
        <v>93</v>
      </c>
      <c r="F7" s="136">
        <f>E7/(D7*D7)</f>
        <v>30.3673469387755</v>
      </c>
      <c r="G7" s="123">
        <v>6</v>
      </c>
      <c r="H7" s="177">
        <v>43759</v>
      </c>
      <c r="I7" s="177">
        <v>43754</v>
      </c>
      <c r="J7" s="177">
        <v>43760</v>
      </c>
      <c r="K7" s="177"/>
      <c r="L7" s="178">
        <v>1</v>
      </c>
      <c r="M7" s="138">
        <f>DATEDIF(I7,J7,"D")</f>
        <v>6</v>
      </c>
      <c r="N7" s="179" t="s">
        <v>66</v>
      </c>
      <c r="P7" s="123">
        <v>1</v>
      </c>
      <c r="T7" s="114">
        <v>0</v>
      </c>
      <c r="U7" s="114">
        <v>0</v>
      </c>
      <c r="V7" s="114">
        <v>1</v>
      </c>
      <c r="W7" s="114"/>
      <c r="X7" s="114">
        <v>1</v>
      </c>
      <c r="Y7" s="114">
        <v>1</v>
      </c>
      <c r="Z7" s="114" t="s">
        <v>58</v>
      </c>
      <c r="AA7" s="114">
        <v>1</v>
      </c>
      <c r="AB7" s="114">
        <f>_xlfn.IFS(AT7&gt;51,3,AT7&gt;=34,2,AT7&lt;34,1)</f>
        <v>1</v>
      </c>
      <c r="AC7" s="114">
        <v>2</v>
      </c>
      <c r="AD7" s="114">
        <f>_xlfn.IFS(AR7&lt;1.7,1,AR7=1.7-2.3,2,AR7&gt;2.3,3)</f>
        <v>1</v>
      </c>
      <c r="AE7" s="120" t="s">
        <v>3</v>
      </c>
      <c r="AF7" s="116" t="s">
        <v>59</v>
      </c>
      <c r="AG7" s="114">
        <f t="shared" si="0"/>
        <v>0.426900584795322</v>
      </c>
      <c r="AH7" s="114">
        <f>AU7/88.4</f>
        <v>0.610859728506787</v>
      </c>
      <c r="AI7" s="114">
        <f>AR7</f>
        <v>1.12</v>
      </c>
      <c r="AJ7" s="159">
        <f>LN(IF(AG7&gt;=1,AG7,1))*3.8+LN(IF(AH7&gt;=1,AH7,1))*9.6+11.2*LN(IF(AI7&gt;=1,AI7,1))+6.4*AN7</f>
        <v>1.26928127543844</v>
      </c>
      <c r="AK7" s="160">
        <f t="shared" si="1"/>
        <v>1.26928127543844</v>
      </c>
      <c r="AL7" s="160">
        <f>AK7+1.59*(135-AM7)</f>
        <v>1.26928127543844</v>
      </c>
      <c r="AM7" s="160">
        <f>IF(AV7&gt;135,135,IF(AV7&lt;120,120,AV7))</f>
        <v>135</v>
      </c>
      <c r="AN7" s="114">
        <v>0</v>
      </c>
      <c r="AO7" s="114">
        <f>_xlfn.IFS(AJ7&lt;15,1,AJ7=15-18,2,AJ7&gt;18,3)</f>
        <v>1</v>
      </c>
      <c r="AP7" s="114">
        <v>5.39</v>
      </c>
      <c r="AQ7" s="114">
        <v>110</v>
      </c>
      <c r="AR7" s="114">
        <v>1.12</v>
      </c>
      <c r="AS7" s="160">
        <v>35</v>
      </c>
      <c r="AT7" s="161">
        <v>7.3</v>
      </c>
      <c r="AU7" s="114">
        <v>54</v>
      </c>
      <c r="AV7" s="114">
        <v>143</v>
      </c>
      <c r="AZ7" s="132" t="s">
        <v>58</v>
      </c>
    </row>
    <row r="8" s="124" customFormat="1" spans="1:52">
      <c r="A8" s="124" t="s">
        <v>67</v>
      </c>
      <c r="B8" s="124" t="s">
        <v>53</v>
      </c>
      <c r="C8" s="124">
        <v>66</v>
      </c>
      <c r="D8" s="180">
        <v>1.57</v>
      </c>
      <c r="E8" s="124">
        <v>84.5</v>
      </c>
      <c r="F8" s="181">
        <f>E8/(D8*D8)</f>
        <v>34.2813095865958</v>
      </c>
      <c r="G8" s="124">
        <v>1</v>
      </c>
      <c r="H8" s="182">
        <v>43759</v>
      </c>
      <c r="I8" s="182">
        <v>43759</v>
      </c>
      <c r="J8" s="182">
        <v>43764</v>
      </c>
      <c r="K8" s="182"/>
      <c r="L8" s="183">
        <v>1</v>
      </c>
      <c r="M8" s="183">
        <f>DATEDIF(I8,J8,"D")</f>
        <v>5</v>
      </c>
      <c r="N8" s="184" t="s">
        <v>68</v>
      </c>
      <c r="S8" s="124">
        <v>1</v>
      </c>
      <c r="T8" s="114">
        <v>0</v>
      </c>
      <c r="U8" s="114">
        <v>0</v>
      </c>
      <c r="V8" s="114">
        <v>1</v>
      </c>
      <c r="W8" s="114"/>
      <c r="X8" s="114">
        <v>1</v>
      </c>
      <c r="Y8" s="114">
        <v>1</v>
      </c>
      <c r="Z8" s="114" t="s">
        <v>58</v>
      </c>
      <c r="AA8" s="114">
        <v>1</v>
      </c>
      <c r="AB8" s="114">
        <f>_xlfn.IFS(AT8&gt;51,3,AT8&gt;=34,2,AT8&lt;34,1)</f>
        <v>1</v>
      </c>
      <c r="AC8" s="114">
        <f>_xlfn.IFS(AS8&lt;28,3,AS8=28-35,2,AS8&gt;35,1)</f>
        <v>1</v>
      </c>
      <c r="AD8" s="114">
        <f>_xlfn.IFS(AR8&lt;1.7,1,AR8=1.7-2.3,2,AR8&gt;2.3,3)</f>
        <v>1</v>
      </c>
      <c r="AE8" s="114">
        <f>Y8+AA8+AB8+AC8+AD8</f>
        <v>5</v>
      </c>
      <c r="AF8" s="116" t="s">
        <v>59</v>
      </c>
      <c r="AG8" s="114">
        <f t="shared" si="0"/>
        <v>1.08187134502924</v>
      </c>
      <c r="AH8" s="114">
        <f>AU8/88.4</f>
        <v>0.576923076923077</v>
      </c>
      <c r="AI8" s="114">
        <f>AR8</f>
        <v>1.16</v>
      </c>
      <c r="AJ8" s="159">
        <f>LN(IF(AG8&gt;=1,AG8,1))*3.8+LN(IF(AH8&gt;=1,AH8,1))*9.6+11.2*LN(IF(AI8&gt;=1,AI8,1))+6.4*AN8</f>
        <v>8.36133467791219</v>
      </c>
      <c r="AK8" s="160">
        <f t="shared" si="1"/>
        <v>8.36133467791219</v>
      </c>
      <c r="AL8" s="160">
        <f>AK8+1.59*(135-AM8)</f>
        <v>8.36133467791219</v>
      </c>
      <c r="AM8" s="160">
        <f>IF(AV8&gt;135,135,IF(AV8&lt;120,120,AV8))</f>
        <v>135</v>
      </c>
      <c r="AN8" s="114">
        <v>1</v>
      </c>
      <c r="AO8" s="114">
        <f>_xlfn.IFS(AJ8&lt;15,1,AJ8=15-18,2,AJ8&gt;18,3)</f>
        <v>1</v>
      </c>
      <c r="AP8" s="114">
        <v>1.78</v>
      </c>
      <c r="AQ8" s="114">
        <v>104</v>
      </c>
      <c r="AR8" s="114">
        <v>1.16</v>
      </c>
      <c r="AS8" s="160">
        <v>39</v>
      </c>
      <c r="AT8" s="161">
        <v>18.5</v>
      </c>
      <c r="AU8" s="114">
        <v>51</v>
      </c>
      <c r="AV8" s="114">
        <v>144</v>
      </c>
      <c r="AZ8" s="127" t="s">
        <v>69</v>
      </c>
    </row>
    <row r="9" s="125" customFormat="1" spans="1:52">
      <c r="A9" s="125" t="s">
        <v>70</v>
      </c>
      <c r="B9" s="125" t="s">
        <v>53</v>
      </c>
      <c r="C9" s="125">
        <v>75</v>
      </c>
      <c r="D9" s="185">
        <v>1.6</v>
      </c>
      <c r="F9" s="136"/>
      <c r="G9" s="125">
        <v>2</v>
      </c>
      <c r="H9" s="186">
        <v>43762</v>
      </c>
      <c r="I9" s="186">
        <v>43762</v>
      </c>
      <c r="J9" s="186">
        <v>43781</v>
      </c>
      <c r="K9" s="186">
        <v>43882</v>
      </c>
      <c r="L9" s="187">
        <v>1</v>
      </c>
      <c r="M9" s="187">
        <f>DATEDIF(I9,J9,"D")</f>
        <v>19</v>
      </c>
      <c r="N9" s="188" t="s">
        <v>71</v>
      </c>
      <c r="S9" s="125">
        <v>1</v>
      </c>
      <c r="T9" s="114">
        <v>1</v>
      </c>
      <c r="U9" s="114">
        <v>0</v>
      </c>
      <c r="V9" s="114">
        <v>1</v>
      </c>
      <c r="W9" s="114"/>
      <c r="X9" s="114">
        <v>1</v>
      </c>
      <c r="Y9" s="114">
        <v>1</v>
      </c>
      <c r="Z9" s="114"/>
      <c r="AA9" s="114">
        <v>3</v>
      </c>
      <c r="AB9" s="114">
        <f>_xlfn.IFS(AT9&gt;51,3,AT9&gt;=34,2,AT9&lt;34,1)</f>
        <v>1</v>
      </c>
      <c r="AC9" s="114">
        <f>_xlfn.IFS(AS9&lt;28,3,AS9=28-35,2,AS9&gt;35,1)</f>
        <v>3</v>
      </c>
      <c r="AD9" s="114">
        <f>_xlfn.IFS(AR9&lt;1.7,1,AR9=1.7-2.3,2,AR9&gt;2.3,3)</f>
        <v>1</v>
      </c>
      <c r="AE9" s="114">
        <f>Y9+AA9+AB9+AC9+AD9</f>
        <v>9</v>
      </c>
      <c r="AF9" s="116" t="s">
        <v>63</v>
      </c>
      <c r="AG9" s="114">
        <f>AT9/17.1</f>
        <v>0.871345029239766</v>
      </c>
      <c r="AH9" s="114">
        <f>AU9/88.4</f>
        <v>0.8710407239819</v>
      </c>
      <c r="AI9" s="114">
        <f>AR9</f>
        <v>1.27</v>
      </c>
      <c r="AJ9" s="159">
        <f>LN(IF(AG9&gt;=1,AG9,1))*3.8+LN(IF(AH9&gt;=1,AH9,1))*9.6+11.2*LN(IF(AI9&gt;=1,AI9,1))+6.4*AN9</f>
        <v>9.0769892852696</v>
      </c>
      <c r="AK9" s="160">
        <f t="shared" si="1"/>
        <v>9.0769892852696</v>
      </c>
      <c r="AL9" s="160">
        <f>AK9+1.59*(135-AM9)</f>
        <v>24.9769892852696</v>
      </c>
      <c r="AM9" s="160">
        <f>IF(AV9&gt;135,135,IF(AV9&lt;120,120,AV9))</f>
        <v>125</v>
      </c>
      <c r="AN9" s="114">
        <v>1</v>
      </c>
      <c r="AO9" s="114">
        <f>_xlfn.IFS(AJ9&lt;15,1,AJ9=15-18,2,AJ9&gt;18,3)</f>
        <v>1</v>
      </c>
      <c r="AP9" s="114">
        <v>2.63</v>
      </c>
      <c r="AQ9" s="114">
        <v>76</v>
      </c>
      <c r="AR9" s="114">
        <v>1.27</v>
      </c>
      <c r="AS9" s="160">
        <v>27</v>
      </c>
      <c r="AT9" s="161">
        <v>14.9</v>
      </c>
      <c r="AU9" s="114">
        <v>77</v>
      </c>
      <c r="AV9" s="114">
        <v>125</v>
      </c>
      <c r="AZ9" s="131" t="s">
        <v>72</v>
      </c>
    </row>
    <row r="10" s="125" customFormat="1" customHeight="1" spans="1:52">
      <c r="A10" s="125" t="s">
        <v>73</v>
      </c>
      <c r="B10" s="125" t="s">
        <v>48</v>
      </c>
      <c r="C10" s="125">
        <v>68</v>
      </c>
      <c r="D10" s="185">
        <v>1.76</v>
      </c>
      <c r="E10" s="125">
        <v>60</v>
      </c>
      <c r="F10" s="136">
        <f>E10/(D10*D10)</f>
        <v>19.3698347107438</v>
      </c>
      <c r="G10" s="125">
        <v>6</v>
      </c>
      <c r="H10" s="186">
        <v>43773</v>
      </c>
      <c r="I10" s="186">
        <v>43773</v>
      </c>
      <c r="J10" s="186">
        <v>43785</v>
      </c>
      <c r="K10" s="186">
        <v>44076</v>
      </c>
      <c r="L10" s="187">
        <v>1</v>
      </c>
      <c r="M10" s="187">
        <f>DATEDIF(I10,J10,"D")</f>
        <v>12</v>
      </c>
      <c r="N10" s="188" t="s">
        <v>74</v>
      </c>
      <c r="P10" s="125">
        <v>1</v>
      </c>
      <c r="T10" s="114">
        <v>1</v>
      </c>
      <c r="U10" s="114">
        <v>0</v>
      </c>
      <c r="V10" s="114">
        <v>1</v>
      </c>
      <c r="W10" s="114"/>
      <c r="X10" s="114">
        <v>1</v>
      </c>
      <c r="Y10" s="114">
        <v>1</v>
      </c>
      <c r="Z10" s="114"/>
      <c r="AA10" s="114">
        <v>2</v>
      </c>
      <c r="AB10" s="114">
        <f>_xlfn.IFS(AT10&gt;51,3,AT10&gt;=34,2,AT10&lt;34,1)</f>
        <v>1</v>
      </c>
      <c r="AC10" s="114">
        <v>2</v>
      </c>
      <c r="AD10" s="114">
        <f>_xlfn.IFS(AR10&lt;1.7,1,AR10=1.7-2.3,2,AR10&gt;2.3,3)</f>
        <v>1</v>
      </c>
      <c r="AE10" s="114">
        <f>Y10+AA10+AB10+AC10+AD10</f>
        <v>7</v>
      </c>
      <c r="AF10" s="116" t="s">
        <v>63</v>
      </c>
      <c r="AG10" s="114">
        <f>AT10/17.1</f>
        <v>0.426900584795322</v>
      </c>
      <c r="AH10" s="114">
        <f>AU10/88.4</f>
        <v>3.72171945701357</v>
      </c>
      <c r="AI10" s="114">
        <f>AR10</f>
        <v>1.33</v>
      </c>
      <c r="AJ10" s="159">
        <f>LN(IF(AG10&gt;=1,AG10,1))*3.8+LN(IF(AH10&gt;=1,AH10,1))*9.6+11.2*LN(IF(AI10&gt;=1,AI10,1))+6.4*AN10</f>
        <v>15.810187651786</v>
      </c>
      <c r="AK10" s="160">
        <f>IF(AND(AG10&gt;0,AH10&gt;0,AI10&gt;0),AJ10,"")</f>
        <v>15.810187651786</v>
      </c>
      <c r="AL10" s="160">
        <f>AK10+1.59*(135-AM10)</f>
        <v>15.810187651786</v>
      </c>
      <c r="AM10" s="160">
        <f>IF(AV10&gt;135,135,IF(AV10&lt;120,120,AV10))</f>
        <v>135</v>
      </c>
      <c r="AN10" s="114">
        <v>0</v>
      </c>
      <c r="AO10" s="114">
        <v>2</v>
      </c>
      <c r="AP10" s="114">
        <v>2.55</v>
      </c>
      <c r="AQ10" s="114">
        <v>77</v>
      </c>
      <c r="AR10" s="114">
        <v>1.33</v>
      </c>
      <c r="AS10" s="160">
        <v>33</v>
      </c>
      <c r="AT10" s="161">
        <v>7.3</v>
      </c>
      <c r="AU10" s="114">
        <v>329</v>
      </c>
      <c r="AV10" s="114">
        <v>139</v>
      </c>
      <c r="AZ10" s="131" t="s">
        <v>75</v>
      </c>
    </row>
    <row r="11" s="123" customFormat="1" customHeight="1" spans="1:52">
      <c r="A11" s="123" t="s">
        <v>76</v>
      </c>
      <c r="B11" s="123" t="s">
        <v>48</v>
      </c>
      <c r="C11" s="123">
        <v>58</v>
      </c>
      <c r="D11" s="176">
        <v>1.69</v>
      </c>
      <c r="E11" s="123">
        <v>76</v>
      </c>
      <c r="F11" s="189">
        <f>E11/(D11*D11)</f>
        <v>26.609712545079</v>
      </c>
      <c r="G11" s="123">
        <v>0</v>
      </c>
      <c r="H11" s="177">
        <v>43773</v>
      </c>
      <c r="I11" s="177">
        <v>43770</v>
      </c>
      <c r="J11" s="177">
        <v>43785</v>
      </c>
      <c r="K11" s="177"/>
      <c r="L11" s="178">
        <v>1</v>
      </c>
      <c r="M11" s="178">
        <f>DATEDIF(I11,J11,"D")</f>
        <v>15</v>
      </c>
      <c r="N11" s="179" t="s">
        <v>77</v>
      </c>
      <c r="O11" s="123">
        <v>1</v>
      </c>
      <c r="T11" s="114">
        <v>0</v>
      </c>
      <c r="U11" s="114">
        <v>0</v>
      </c>
      <c r="V11" s="114">
        <v>0</v>
      </c>
      <c r="W11" s="114"/>
      <c r="X11" s="114">
        <v>0</v>
      </c>
      <c r="Y11" s="114">
        <v>1</v>
      </c>
      <c r="Z11" s="114" t="s">
        <v>58</v>
      </c>
      <c r="AA11" s="114">
        <v>1</v>
      </c>
      <c r="AB11" s="114">
        <f>_xlfn.IFS(AT11&gt;51,3,AT11&gt;=34,2,AT11&lt;34,1)</f>
        <v>1</v>
      </c>
      <c r="AC11" s="114">
        <v>2</v>
      </c>
      <c r="AD11" s="114">
        <f>_xlfn.IFS(AR11&lt;1.7,1,AR11=1.7-2.3,2,AR11&gt;2.3,3)</f>
        <v>1</v>
      </c>
      <c r="AE11" s="114">
        <f>Y11+AA11+AB11+AC11+AD11</f>
        <v>6</v>
      </c>
      <c r="AF11" s="116" t="s">
        <v>59</v>
      </c>
      <c r="AG11" s="114">
        <f>AT11/17.1</f>
        <v>0.654970760233918</v>
      </c>
      <c r="AH11" s="114">
        <f>AU11/88.4</f>
        <v>0.735294117647059</v>
      </c>
      <c r="AI11" s="114">
        <f>AR11</f>
        <v>1.12</v>
      </c>
      <c r="AJ11" s="159">
        <f>LN(IF(AG11&gt;=1,AG11,1))*3.8+LN(IF(AH11&gt;=1,AH11,1))*9.6+11.2*LN(IF(AI11&gt;=1,AI11,1))+6.4*AN11</f>
        <v>7.66928127543844</v>
      </c>
      <c r="AK11" s="160">
        <f>IF(AND(AG11&gt;0,AH11&gt;0,AI11&gt;0),AJ11,"")</f>
        <v>7.66928127543844</v>
      </c>
      <c r="AL11" s="160">
        <f>AK11+1.59*(135-AM11)</f>
        <v>7.66928127543844</v>
      </c>
      <c r="AM11" s="160">
        <f>IF(AV11&gt;135,135,IF(AV11&lt;120,120,AV11))</f>
        <v>135</v>
      </c>
      <c r="AN11" s="114">
        <v>1</v>
      </c>
      <c r="AO11" s="114">
        <f>_xlfn.IFS(AJ11&lt;15,1,AJ11=15-18,2,AJ11&gt;18,3)</f>
        <v>1</v>
      </c>
      <c r="AP11" s="114">
        <v>4.43</v>
      </c>
      <c r="AQ11" s="114">
        <v>111</v>
      </c>
      <c r="AR11" s="114">
        <v>1.12</v>
      </c>
      <c r="AS11" s="160">
        <v>34</v>
      </c>
      <c r="AT11" s="161">
        <v>11.2</v>
      </c>
      <c r="AU11" s="114">
        <v>65</v>
      </c>
      <c r="AV11" s="114">
        <v>144</v>
      </c>
      <c r="AZ11" s="132" t="s">
        <v>78</v>
      </c>
    </row>
    <row r="12" ht="19.15" customHeight="1" spans="1:52">
      <c r="A12" s="117" t="s">
        <v>79</v>
      </c>
      <c r="B12" s="117" t="s">
        <v>48</v>
      </c>
      <c r="C12" s="117">
        <v>45</v>
      </c>
      <c r="D12" s="135">
        <v>1.7</v>
      </c>
      <c r="E12" s="117">
        <v>65</v>
      </c>
      <c r="F12" s="136">
        <f>E12/(D12*D12)</f>
        <v>22.4913494809689</v>
      </c>
      <c r="G12" s="145">
        <v>1</v>
      </c>
      <c r="H12" s="158">
        <v>43773</v>
      </c>
      <c r="I12" s="158">
        <v>43771</v>
      </c>
      <c r="J12" s="158">
        <v>43787</v>
      </c>
      <c r="K12" s="158"/>
      <c r="L12" s="137">
        <v>1</v>
      </c>
      <c r="M12" s="137">
        <f>DATEDIF(I12,J12,"D")</f>
        <v>16</v>
      </c>
      <c r="N12" s="139" t="s">
        <v>80</v>
      </c>
      <c r="O12" s="117">
        <v>1</v>
      </c>
      <c r="Q12" s="117">
        <v>1</v>
      </c>
      <c r="R12" s="117">
        <v>1</v>
      </c>
      <c r="T12" s="114">
        <v>1</v>
      </c>
      <c r="U12" s="114">
        <v>0</v>
      </c>
      <c r="V12" s="114">
        <v>1</v>
      </c>
      <c r="W12" s="114">
        <v>1</v>
      </c>
      <c r="X12" s="114">
        <v>1</v>
      </c>
      <c r="Y12" s="114">
        <v>1</v>
      </c>
      <c r="Z12" s="114"/>
      <c r="AA12" s="114">
        <v>2</v>
      </c>
      <c r="AB12" s="114">
        <f>_xlfn.IFS(AT12&gt;51,3,AT12&gt;=34,2,AT12&lt;34,1)</f>
        <v>1</v>
      </c>
      <c r="AC12" s="114">
        <v>1</v>
      </c>
      <c r="AD12" s="114">
        <f>_xlfn.IFS(AR12&lt;1.7,1,AR12=1.7-2.3,2,AR12&gt;2.3,3)</f>
        <v>1</v>
      </c>
      <c r="AE12" s="114">
        <f>Y12+AA12+AB12+AC12+AD12</f>
        <v>6</v>
      </c>
      <c r="AF12" s="116" t="s">
        <v>59</v>
      </c>
      <c r="AG12" s="114">
        <f>AT12/17.1</f>
        <v>0.695906432748538</v>
      </c>
      <c r="AH12" s="114">
        <f>AU12/88.4</f>
        <v>0.791855203619909</v>
      </c>
      <c r="AI12" s="114">
        <f>AR12</f>
        <v>1.27</v>
      </c>
      <c r="AJ12" s="159">
        <f>LN(IF(AG12&gt;=1,AG12,1))*3.8+LN(IF(AH12&gt;=1,AH12,1))*9.6+11.2*LN(IF(AI12&gt;=1,AI12,1))+6.4*AN12</f>
        <v>2.6769892852696</v>
      </c>
      <c r="AK12" s="160">
        <f>IF(AND(AG12&gt;0,AH12&gt;0,AI12&gt;0),AJ12,"")</f>
        <v>2.6769892852696</v>
      </c>
      <c r="AL12" s="160">
        <f>AK12+1.59*(135-AM12)</f>
        <v>2.6769892852696</v>
      </c>
      <c r="AM12" s="160">
        <f>IF(AV12&gt;135,135,IF(AV12&lt;120,120,AV12))</f>
        <v>135</v>
      </c>
      <c r="AN12" s="114">
        <v>0</v>
      </c>
      <c r="AO12" s="114">
        <f>_xlfn.IFS(AJ12&lt;15,1,AJ12=15-18,2,AJ12&gt;18,3)</f>
        <v>1</v>
      </c>
      <c r="AP12" s="114">
        <v>1.22</v>
      </c>
      <c r="AQ12" s="114">
        <v>74</v>
      </c>
      <c r="AR12" s="114">
        <v>1.27</v>
      </c>
      <c r="AS12" s="160">
        <v>36</v>
      </c>
      <c r="AT12" s="161">
        <v>11.9</v>
      </c>
      <c r="AU12" s="114">
        <v>70</v>
      </c>
      <c r="AV12" s="114">
        <v>143</v>
      </c>
      <c r="AZ12" s="119" t="s">
        <v>81</v>
      </c>
    </row>
    <row r="13" s="124" customFormat="1" spans="1:52">
      <c r="A13" s="124" t="s">
        <v>82</v>
      </c>
      <c r="B13" s="124" t="s">
        <v>53</v>
      </c>
      <c r="C13" s="124">
        <v>69</v>
      </c>
      <c r="D13" s="180">
        <v>1.6</v>
      </c>
      <c r="E13" s="124">
        <v>60</v>
      </c>
      <c r="F13" s="181">
        <f>E13/(D13*D13)</f>
        <v>23.4375</v>
      </c>
      <c r="G13" s="124">
        <v>0</v>
      </c>
      <c r="H13" s="182">
        <v>43774</v>
      </c>
      <c r="I13" s="182">
        <v>43773</v>
      </c>
      <c r="J13" s="182">
        <v>43783</v>
      </c>
      <c r="K13" s="182"/>
      <c r="L13" s="183">
        <v>1</v>
      </c>
      <c r="M13" s="183">
        <f>DATEDIF(I13,J13,"D")</f>
        <v>10</v>
      </c>
      <c r="N13" s="184" t="s">
        <v>83</v>
      </c>
      <c r="Q13" s="124">
        <v>1</v>
      </c>
      <c r="R13" s="124">
        <v>1</v>
      </c>
      <c r="T13" s="114">
        <v>0</v>
      </c>
      <c r="U13" s="114">
        <v>0</v>
      </c>
      <c r="V13" s="114">
        <v>0</v>
      </c>
      <c r="W13" s="114">
        <v>1</v>
      </c>
      <c r="X13" s="114">
        <v>0</v>
      </c>
      <c r="Y13" s="114">
        <v>1</v>
      </c>
      <c r="Z13" s="114" t="s">
        <v>58</v>
      </c>
      <c r="AA13" s="114">
        <v>1</v>
      </c>
      <c r="AB13" s="114">
        <f>_xlfn.IFS(AT13&gt;51,3,AT13&gt;=34,2,AT13&lt;34,1)</f>
        <v>1</v>
      </c>
      <c r="AC13" s="114">
        <v>2</v>
      </c>
      <c r="AD13" s="114">
        <v>1</v>
      </c>
      <c r="AE13" s="114">
        <f>Y13+AA13+AB13+AC13+AD13</f>
        <v>6</v>
      </c>
      <c r="AF13" s="116" t="s">
        <v>59</v>
      </c>
      <c r="AG13" s="114">
        <f>AT13/17.1</f>
        <v>1.86549707602339</v>
      </c>
      <c r="AH13" s="114">
        <f>AU13/88.4</f>
        <v>0.441176470588235</v>
      </c>
      <c r="AI13" s="114">
        <f>AR13</f>
        <v>1.2</v>
      </c>
      <c r="AJ13" s="159">
        <f>LN(IF(AG13&gt;=1,AG13,1))*3.8+LN(IF(AH13&gt;=1,AH13,1))*9.6+11.2*LN(IF(AI13&gt;=1,AI13,1))+6.4*AN13</f>
        <v>4.41140611196459</v>
      </c>
      <c r="AK13" s="160">
        <f>IF(AND(AG13&gt;0,AH13&gt;0,AI13&gt;0),AJ13,"")</f>
        <v>4.41140611196459</v>
      </c>
      <c r="AL13" s="160">
        <f>AK13+1.59*(135-AM13)</f>
        <v>4.41140611196459</v>
      </c>
      <c r="AM13" s="160">
        <f>IF(AV13&gt;135,135,IF(AV13&lt;120,120,AV13))</f>
        <v>135</v>
      </c>
      <c r="AN13" s="114">
        <v>0</v>
      </c>
      <c r="AO13" s="114">
        <f>_xlfn.IFS(AJ13&lt;15,1,AJ13=15-18,2,AJ13&gt;18,3)</f>
        <v>1</v>
      </c>
      <c r="AP13" s="114">
        <v>3.97</v>
      </c>
      <c r="AQ13" s="114">
        <v>124</v>
      </c>
      <c r="AR13" s="114">
        <v>1.2</v>
      </c>
      <c r="AS13" s="160">
        <v>28</v>
      </c>
      <c r="AT13" s="161">
        <v>31.9</v>
      </c>
      <c r="AU13" s="114">
        <v>39</v>
      </c>
      <c r="AV13" s="114">
        <v>142</v>
      </c>
      <c r="AZ13" s="127" t="s">
        <v>84</v>
      </c>
    </row>
    <row r="14" s="126" customFormat="1" spans="1:52">
      <c r="A14" s="126" t="s">
        <v>85</v>
      </c>
      <c r="B14" s="126" t="s">
        <v>53</v>
      </c>
      <c r="C14" s="126">
        <v>38</v>
      </c>
      <c r="D14" s="190">
        <v>1.62</v>
      </c>
      <c r="E14" s="126">
        <v>55</v>
      </c>
      <c r="F14" s="136">
        <f>E14/(D14*D14)</f>
        <v>20.9571711629325</v>
      </c>
      <c r="G14" s="126">
        <v>0</v>
      </c>
      <c r="H14" s="191">
        <v>43775</v>
      </c>
      <c r="I14" s="191">
        <v>43761</v>
      </c>
      <c r="J14" s="191">
        <v>43775</v>
      </c>
      <c r="K14" s="191"/>
      <c r="L14" s="192">
        <v>1</v>
      </c>
      <c r="M14" s="138">
        <f>DATEDIF(I14,J14,"D")</f>
        <v>14</v>
      </c>
      <c r="N14" s="193" t="s">
        <v>86</v>
      </c>
      <c r="S14" s="126">
        <v>1</v>
      </c>
      <c r="T14" s="114">
        <v>1</v>
      </c>
      <c r="U14" s="114">
        <v>0</v>
      </c>
      <c r="V14" s="114">
        <v>1</v>
      </c>
      <c r="W14" s="114"/>
      <c r="X14" s="114">
        <v>1</v>
      </c>
      <c r="Y14" s="114">
        <v>1</v>
      </c>
      <c r="Z14" s="114"/>
      <c r="AA14" s="114">
        <v>3</v>
      </c>
      <c r="AB14" s="114">
        <f>_xlfn.IFS(AT14&gt;51,3,AT14&gt;=34,2,AT14&lt;34,1)</f>
        <v>3</v>
      </c>
      <c r="AC14" s="114">
        <v>2</v>
      </c>
      <c r="AD14" s="114">
        <f>_xlfn.IFS(AR14&lt;1.7,1,AR14=1.7-2.3,2,AR14&gt;2.3,3)</f>
        <v>1</v>
      </c>
      <c r="AE14" s="114">
        <f>Y14+AA14+AB14+AC14+AD14</f>
        <v>10</v>
      </c>
      <c r="AF14" s="116" t="s">
        <v>50</v>
      </c>
      <c r="AG14" s="114">
        <f>AT14/17.1</f>
        <v>3.33918128654971</v>
      </c>
      <c r="AH14" s="114">
        <f>AU14/88.4</f>
        <v>0.599547511312217</v>
      </c>
      <c r="AI14" s="114">
        <f>AR14</f>
        <v>0.95</v>
      </c>
      <c r="AJ14" s="159">
        <f>LN(IF(AG14&gt;=1,AG14,1))*3.8+LN(IF(AH14&gt;=1,AH14,1))*9.6+11.2*LN(IF(AI14&gt;=1,AI14,1))+6.4*AN14</f>
        <v>10.9817574819827</v>
      </c>
      <c r="AK14" s="160">
        <f>IF(AND(AG14&gt;0,AH14&gt;0,AI14&gt;0),AJ14,"")</f>
        <v>10.9817574819827</v>
      </c>
      <c r="AL14" s="160">
        <f>AK14+1.59*(135-AM14)</f>
        <v>10.9817574819827</v>
      </c>
      <c r="AM14" s="160">
        <f>IF(AV14&gt;135,135,IF(AV14&lt;120,120,AV14))</f>
        <v>135</v>
      </c>
      <c r="AN14" s="114">
        <v>1</v>
      </c>
      <c r="AO14" s="114">
        <v>1</v>
      </c>
      <c r="AP14" s="114">
        <v>4.07</v>
      </c>
      <c r="AQ14" s="114">
        <v>136</v>
      </c>
      <c r="AR14" s="114">
        <v>0.95</v>
      </c>
      <c r="AS14" s="160">
        <v>32</v>
      </c>
      <c r="AT14" s="161">
        <v>57.1</v>
      </c>
      <c r="AU14" s="114">
        <v>53</v>
      </c>
      <c r="AV14" s="114">
        <v>142</v>
      </c>
      <c r="AZ14" s="194" t="s">
        <v>87</v>
      </c>
    </row>
    <row r="15" s="125" customFormat="1" spans="1:52">
      <c r="A15" s="125" t="s">
        <v>88</v>
      </c>
      <c r="B15" s="125" t="s">
        <v>53</v>
      </c>
      <c r="C15" s="125">
        <v>74</v>
      </c>
      <c r="D15" s="185">
        <v>1.58</v>
      </c>
      <c r="E15" s="125">
        <v>75</v>
      </c>
      <c r="F15" s="136">
        <f>E15/(D15*D15)</f>
        <v>30.0432622977087</v>
      </c>
      <c r="G15" s="125">
        <v>0</v>
      </c>
      <c r="H15" s="186">
        <v>43757</v>
      </c>
      <c r="I15" s="186">
        <v>43756</v>
      </c>
      <c r="J15" s="186">
        <v>43763</v>
      </c>
      <c r="K15" s="186">
        <v>44317</v>
      </c>
      <c r="L15" s="187">
        <v>1</v>
      </c>
      <c r="M15" s="138">
        <f>DATEDIF(I15,J15,"D")</f>
        <v>7</v>
      </c>
      <c r="N15" s="188" t="s">
        <v>89</v>
      </c>
      <c r="S15" s="125">
        <v>1</v>
      </c>
      <c r="T15" s="114">
        <v>0</v>
      </c>
      <c r="U15" s="114">
        <v>0</v>
      </c>
      <c r="V15" s="114">
        <v>1</v>
      </c>
      <c r="W15" s="114"/>
      <c r="X15" s="114">
        <v>1</v>
      </c>
      <c r="Y15" s="114">
        <v>1</v>
      </c>
      <c r="Z15" s="114" t="s">
        <v>58</v>
      </c>
      <c r="AA15" s="114">
        <v>1</v>
      </c>
      <c r="AB15" s="114">
        <f>_xlfn.IFS(AT15&gt;51,3,AT15&gt;=34,2,AT15&lt;34,1)</f>
        <v>1</v>
      </c>
      <c r="AC15" s="114">
        <v>2</v>
      </c>
      <c r="AD15" s="114">
        <f>_xlfn.IFS(AR15&lt;1.7,1,AR15=1.7-2.3,2,AR15&gt;2.3,3)</f>
        <v>1</v>
      </c>
      <c r="AE15" s="114">
        <f>Y15+AA15+AB15+AC15+AD14</f>
        <v>6</v>
      </c>
      <c r="AF15" s="116" t="s">
        <v>59</v>
      </c>
      <c r="AG15" s="114">
        <f>AT15/17.1</f>
        <v>1.67836257309941</v>
      </c>
      <c r="AH15" s="114">
        <f>AU15/88.4</f>
        <v>0.723981900452489</v>
      </c>
      <c r="AI15" s="114">
        <f>AR15</f>
        <v>1.18</v>
      </c>
      <c r="AJ15" s="159">
        <f>LN(IF(AG15&gt;=1,AG15,1))*3.8+LN(IF(AH15&gt;=1,AH15,1))*9.6+11.2*LN(IF(AI15&gt;=1,AI15,1))+6.4*AN15</f>
        <v>10.2214726161253</v>
      </c>
      <c r="AK15" s="160">
        <f>IF(AND(AG15&gt;0,AH15&gt;0,AI15&gt;0),AJ15,"")</f>
        <v>10.2214726161253</v>
      </c>
      <c r="AL15" s="160">
        <f>AK15+1.59*(135-AM15)</f>
        <v>10.2214726161253</v>
      </c>
      <c r="AM15" s="160">
        <f>IF(AV15&gt;135,135,IF(AV15&lt;120,120,AV15))</f>
        <v>135</v>
      </c>
      <c r="AN15" s="114">
        <v>1</v>
      </c>
      <c r="AO15" s="114">
        <f>_xlfn.IFS(AJ15&lt;15,1,AJ15=15-18,2,AJ15&gt;18,3)</f>
        <v>1</v>
      </c>
      <c r="AP15" s="114">
        <v>2.67</v>
      </c>
      <c r="AQ15" s="114">
        <v>72</v>
      </c>
      <c r="AR15" s="114">
        <v>1.18</v>
      </c>
      <c r="AS15" s="160">
        <v>32</v>
      </c>
      <c r="AT15" s="161">
        <v>28.7</v>
      </c>
      <c r="AU15" s="114">
        <v>64</v>
      </c>
      <c r="AV15" s="114">
        <v>143</v>
      </c>
      <c r="AZ15" s="131" t="s">
        <v>90</v>
      </c>
    </row>
    <row r="16" s="125" customFormat="1" customHeight="1" spans="1:52">
      <c r="A16" s="125" t="s">
        <v>91</v>
      </c>
      <c r="B16" s="125" t="s">
        <v>48</v>
      </c>
      <c r="C16" s="125">
        <v>55</v>
      </c>
      <c r="D16" s="185">
        <v>1.65</v>
      </c>
      <c r="E16" s="125">
        <v>63</v>
      </c>
      <c r="F16" s="136">
        <f>E16/(D16*D16)</f>
        <v>23.1404958677686</v>
      </c>
      <c r="G16" s="125">
        <v>6</v>
      </c>
      <c r="H16" s="186">
        <v>43750</v>
      </c>
      <c r="I16" s="186">
        <v>43749</v>
      </c>
      <c r="J16" s="186">
        <v>43768</v>
      </c>
      <c r="K16" s="186">
        <v>44396</v>
      </c>
      <c r="L16" s="187">
        <v>1</v>
      </c>
      <c r="M16" s="138">
        <f>DATEDIF(I16,J16,"D")</f>
        <v>19</v>
      </c>
      <c r="N16" s="188" t="s">
        <v>92</v>
      </c>
      <c r="P16" s="125">
        <v>1</v>
      </c>
      <c r="Q16" s="125">
        <v>1</v>
      </c>
      <c r="T16" s="114">
        <v>1</v>
      </c>
      <c r="U16" s="114">
        <v>0</v>
      </c>
      <c r="V16" s="114">
        <v>1</v>
      </c>
      <c r="W16" s="114"/>
      <c r="X16" s="114">
        <v>1</v>
      </c>
      <c r="Y16" s="114">
        <v>1</v>
      </c>
      <c r="Z16" s="114"/>
      <c r="AA16" s="114">
        <v>3</v>
      </c>
      <c r="AB16" s="114">
        <f>_xlfn.IFS(AT16&gt;51,3,AT16&gt;=34,2,AT16&lt;34,1)</f>
        <v>3</v>
      </c>
      <c r="AC16" s="114">
        <f>_xlfn.IFS(AS16&lt;28,3,AS16=28-35,2,AS16&gt;35,1)</f>
        <v>3</v>
      </c>
      <c r="AD16" s="114">
        <f>_xlfn.IFS(AR16&lt;1.7,1,AR16=1.7-2.3,2,AR16&gt;2.3,3)</f>
        <v>1</v>
      </c>
      <c r="AE16" s="114">
        <f>Y16+AA16+AB16+AC16+AD16</f>
        <v>11</v>
      </c>
      <c r="AF16" s="116" t="s">
        <v>50</v>
      </c>
      <c r="AG16" s="114">
        <f>AT16/17.1</f>
        <v>5.32163742690058</v>
      </c>
      <c r="AH16" s="114">
        <f>AU16/88.4</f>
        <v>0.81447963800905</v>
      </c>
      <c r="AI16" s="114">
        <f>AR16</f>
        <v>1.21</v>
      </c>
      <c r="AJ16" s="159">
        <f>LN(IF(AG16&gt;=1,AG16,1))*3.8+LN(IF(AH16&gt;=1,AH16,1))*9.6+11.2*LN(IF(AI16&gt;=1,AI16,1))+6.4*AN16</f>
        <v>8.48771599104817</v>
      </c>
      <c r="AK16" s="160">
        <f>IF(AND(AG16&gt;0,AH16&gt;0,AI16&gt;0),AJ16,"")</f>
        <v>8.48771599104817</v>
      </c>
      <c r="AL16" s="160">
        <f>AK16+1.59*(135-AM16)</f>
        <v>8.48771599104817</v>
      </c>
      <c r="AM16" s="160">
        <f>IF(AV16&gt;135,135,IF(AV16&lt;120,120,AV16))</f>
        <v>135</v>
      </c>
      <c r="AN16" s="114">
        <v>0</v>
      </c>
      <c r="AO16" s="114">
        <f>_xlfn.IFS(AJ16&lt;15,1,AJ16=15-18,2,AJ16&gt;18,3)</f>
        <v>1</v>
      </c>
      <c r="AP16" s="114">
        <v>3.3</v>
      </c>
      <c r="AQ16" s="114">
        <v>101</v>
      </c>
      <c r="AR16" s="114">
        <v>1.21</v>
      </c>
      <c r="AS16" s="160">
        <v>23</v>
      </c>
      <c r="AT16" s="161">
        <v>91</v>
      </c>
      <c r="AU16" s="114">
        <v>72</v>
      </c>
      <c r="AV16" s="114">
        <v>138</v>
      </c>
      <c r="AZ16" s="131" t="s">
        <v>93</v>
      </c>
    </row>
    <row r="17" customHeight="1" spans="1:52">
      <c r="A17" s="122" t="s">
        <v>94</v>
      </c>
      <c r="B17" s="117" t="s">
        <v>48</v>
      </c>
      <c r="C17" s="117">
        <v>72</v>
      </c>
      <c r="D17" s="135">
        <v>1.6</v>
      </c>
      <c r="E17" s="117">
        <v>52</v>
      </c>
      <c r="F17" s="136">
        <f>E17/(D17*D17)</f>
        <v>20.3125</v>
      </c>
      <c r="G17" s="145">
        <v>1</v>
      </c>
      <c r="H17" s="158">
        <v>43779</v>
      </c>
      <c r="I17" s="158">
        <v>43778</v>
      </c>
      <c r="J17" s="158">
        <v>43789</v>
      </c>
      <c r="K17" s="158"/>
      <c r="L17" s="137">
        <v>1</v>
      </c>
      <c r="M17" s="137">
        <f>DATEDIF(I17,J17,"D")</f>
        <v>11</v>
      </c>
      <c r="N17" s="139" t="s">
        <v>95</v>
      </c>
      <c r="Q17" s="117">
        <v>1</v>
      </c>
      <c r="T17" s="114">
        <v>1</v>
      </c>
      <c r="U17" s="114">
        <v>0</v>
      </c>
      <c r="V17" s="114">
        <v>0</v>
      </c>
      <c r="W17" s="114"/>
      <c r="X17" s="114">
        <v>0</v>
      </c>
      <c r="Y17" s="114">
        <v>1</v>
      </c>
      <c r="Z17" s="114"/>
      <c r="AA17" s="114">
        <v>3</v>
      </c>
      <c r="AB17" s="114">
        <f>_xlfn.IFS(AT17&gt;51,3,AT17&gt;=34,2,AT17&lt;34,1)</f>
        <v>1</v>
      </c>
      <c r="AC17" s="114">
        <v>2</v>
      </c>
      <c r="AD17" s="114">
        <f>_xlfn.IFS(AR17&lt;1.7,1,AR17=1.7-2.3,2,AR17&gt;2.3,3)</f>
        <v>1</v>
      </c>
      <c r="AE17" s="114">
        <f>Y17+AA17+AB17+AC17+AD17</f>
        <v>8</v>
      </c>
      <c r="AF17" s="116" t="s">
        <v>63</v>
      </c>
      <c r="AG17" s="114">
        <f>AT17/17.1</f>
        <v>1.29239766081871</v>
      </c>
      <c r="AH17" s="114">
        <f>AU17/88.4</f>
        <v>0.509049773755656</v>
      </c>
      <c r="AI17" s="114">
        <f>AR17</f>
        <v>1.37</v>
      </c>
      <c r="AJ17" s="159">
        <f>LN(IF(AG17&gt;=1,AG17,1))*3.8+LN(IF(AH17&gt;=1,AH17,1))*9.6+11.2*LN(IF(AI17&gt;=1,AI17,1))+6.4*AN17</f>
        <v>10.9005770372657</v>
      </c>
      <c r="AK17" s="160">
        <f>IF(AND(AG17&gt;0,AH17&gt;0,AI17&gt;0),AJ17,"")</f>
        <v>10.9005770372657</v>
      </c>
      <c r="AL17" s="160">
        <f>AK17+1.59*(135-AM17)</f>
        <v>10.9005770372657</v>
      </c>
      <c r="AM17" s="160">
        <f>IF(AV17&gt;135,135,IF(AV17&lt;120,120,AV17))</f>
        <v>135</v>
      </c>
      <c r="AN17" s="114">
        <v>1</v>
      </c>
      <c r="AO17" s="114">
        <f>_xlfn.IFS(AJ17&lt;15,1,AJ17=15-18,2,AJ17&gt;18,3)</f>
        <v>1</v>
      </c>
      <c r="AP17" s="114">
        <v>1.69</v>
      </c>
      <c r="AQ17" s="114">
        <v>105</v>
      </c>
      <c r="AR17" s="114">
        <v>1.37</v>
      </c>
      <c r="AS17" s="160">
        <v>29</v>
      </c>
      <c r="AT17" s="161">
        <v>22.1</v>
      </c>
      <c r="AU17" s="114">
        <v>45</v>
      </c>
      <c r="AV17" s="114">
        <v>140</v>
      </c>
      <c r="AZ17" s="119" t="s">
        <v>96</v>
      </c>
    </row>
    <row r="18" s="123" customFormat="1" customHeight="1" spans="1:52">
      <c r="A18" s="123" t="s">
        <v>97</v>
      </c>
      <c r="B18" s="123" t="s">
        <v>48</v>
      </c>
      <c r="C18" s="123">
        <v>59</v>
      </c>
      <c r="D18" s="176">
        <v>1.87</v>
      </c>
      <c r="E18" s="123">
        <v>93.5</v>
      </c>
      <c r="F18" s="189">
        <f>E18/(D18*D18)</f>
        <v>26.7379679144385</v>
      </c>
      <c r="G18" s="123">
        <v>0</v>
      </c>
      <c r="H18" s="177">
        <v>43779</v>
      </c>
      <c r="I18" s="177">
        <v>43778</v>
      </c>
      <c r="J18" s="177">
        <v>43798</v>
      </c>
      <c r="K18" s="177"/>
      <c r="L18" s="178">
        <v>1</v>
      </c>
      <c r="M18" s="178">
        <f>DATEDIF(I18,J18,"D")</f>
        <v>20</v>
      </c>
      <c r="N18" s="179" t="s">
        <v>98</v>
      </c>
      <c r="S18" s="123">
        <v>1</v>
      </c>
      <c r="T18" s="114">
        <v>0</v>
      </c>
      <c r="U18" s="114">
        <v>0</v>
      </c>
      <c r="V18" s="114">
        <v>0</v>
      </c>
      <c r="W18" s="114"/>
      <c r="X18" s="114">
        <v>0</v>
      </c>
      <c r="Y18" s="114">
        <v>1</v>
      </c>
      <c r="Z18" s="114" t="s">
        <v>58</v>
      </c>
      <c r="AA18" s="114">
        <v>1</v>
      </c>
      <c r="AB18" s="114">
        <f>_xlfn.IFS(AT18&gt;51,3,AT18&gt;=34,2,AT18&lt;34,1)</f>
        <v>1</v>
      </c>
      <c r="AC18" s="114">
        <f>_xlfn.IFS(AS18&lt;28,3,AS18=28-35,2,AS18&gt;35,1)</f>
        <v>1</v>
      </c>
      <c r="AD18" s="114">
        <f>_xlfn.IFS(AR18&lt;1.7,1,AR18=1.7-2.3,2,AR18&gt;2.3,3)</f>
        <v>1</v>
      </c>
      <c r="AE18" s="114">
        <f>Y18+AA18+AB18+AC18+AD18</f>
        <v>5</v>
      </c>
      <c r="AF18" s="116" t="s">
        <v>59</v>
      </c>
      <c r="AG18" s="114">
        <f>AT18/17.1</f>
        <v>0.754385964912281</v>
      </c>
      <c r="AH18" s="114">
        <f>AU18/88.4</f>
        <v>0.599547511312217</v>
      </c>
      <c r="AI18" s="114">
        <f>AR18</f>
        <v>1.2</v>
      </c>
      <c r="AJ18" s="159">
        <f>LN(IF(AG18&gt;=1,AG18,1))*3.8+LN(IF(AH18&gt;=1,AH18,1))*9.6+11.2*LN(IF(AI18&gt;=1,AI18,1))+6.4*AN18</f>
        <v>8.44200143609229</v>
      </c>
      <c r="AK18" s="160">
        <f>IF(AND(AG18&gt;0,AH18&gt;0,AI18&gt;0),AJ18,"")</f>
        <v>8.44200143609229</v>
      </c>
      <c r="AL18" s="160">
        <f>AK18+1.59*(135-AM18)</f>
        <v>8.44200143609229</v>
      </c>
      <c r="AM18" s="160">
        <f>IF(AV18&gt;135,135,IF(AV18&lt;120,120,AV18))</f>
        <v>135</v>
      </c>
      <c r="AN18" s="114">
        <v>1</v>
      </c>
      <c r="AO18" s="114">
        <f>_xlfn.IFS(AJ18&lt;15,1,AJ18=15-18,2,AJ18&gt;18,3)</f>
        <v>1</v>
      </c>
      <c r="AP18" s="114">
        <v>2.3</v>
      </c>
      <c r="AQ18" s="114">
        <v>76</v>
      </c>
      <c r="AR18" s="114">
        <v>1.2</v>
      </c>
      <c r="AS18" s="160">
        <v>40</v>
      </c>
      <c r="AT18" s="161">
        <v>12.9</v>
      </c>
      <c r="AU18" s="114">
        <v>53</v>
      </c>
      <c r="AV18" s="114">
        <v>141</v>
      </c>
      <c r="AZ18" s="132" t="s">
        <v>99</v>
      </c>
    </row>
    <row r="19" spans="1:52">
      <c r="A19" s="117" t="s">
        <v>100</v>
      </c>
      <c r="B19" s="117" t="s">
        <v>53</v>
      </c>
      <c r="C19" s="117">
        <v>57</v>
      </c>
      <c r="D19" s="135">
        <v>1.62</v>
      </c>
      <c r="E19" s="117">
        <v>48</v>
      </c>
      <c r="F19" s="136">
        <f>E19/(D19*D19)</f>
        <v>18.2898948331047</v>
      </c>
      <c r="G19" s="195">
        <v>2</v>
      </c>
      <c r="H19" s="158">
        <v>43797</v>
      </c>
      <c r="I19" s="158">
        <v>43796</v>
      </c>
      <c r="J19" s="158">
        <v>43806</v>
      </c>
      <c r="K19" s="158"/>
      <c r="L19" s="137">
        <v>1</v>
      </c>
      <c r="M19" s="138">
        <f>DATEDIF(I19,J19,"D")</f>
        <v>10</v>
      </c>
      <c r="N19" s="139" t="s">
        <v>101</v>
      </c>
      <c r="Q19" s="117">
        <v>1</v>
      </c>
      <c r="R19" s="117">
        <v>1</v>
      </c>
      <c r="T19" s="114">
        <v>1</v>
      </c>
      <c r="U19" s="114">
        <v>0</v>
      </c>
      <c r="V19" s="114">
        <v>0</v>
      </c>
      <c r="W19" s="114"/>
      <c r="X19" s="114">
        <v>0</v>
      </c>
      <c r="Y19" s="114">
        <v>1</v>
      </c>
      <c r="Z19" s="114"/>
      <c r="AA19" s="114">
        <v>3</v>
      </c>
      <c r="AB19" s="114">
        <f>_xlfn.IFS(AT19&gt;51,3,AT19&gt;=34,2,AT19&lt;34,1)</f>
        <v>1</v>
      </c>
      <c r="AC19" s="114">
        <v>2</v>
      </c>
      <c r="AD19" s="114">
        <f>_xlfn.IFS(AR19&lt;1.7,1,AR19=1.7-2.3,2,AR19&gt;2.3,3)</f>
        <v>1</v>
      </c>
      <c r="AE19" s="114">
        <f>Y19+AA19+AB19+AC19+AD19</f>
        <v>8</v>
      </c>
      <c r="AF19" s="116" t="s">
        <v>63</v>
      </c>
      <c r="AG19" s="114">
        <f>AT19/17.1</f>
        <v>1.04678362573099</v>
      </c>
      <c r="AH19" s="114">
        <f>AU19/88.4</f>
        <v>0.678733031674208</v>
      </c>
      <c r="AI19" s="114">
        <f>AR19</f>
        <v>1.31</v>
      </c>
      <c r="AJ19" s="159">
        <f>LN(IF(AG19&gt;=1,AG19,1))*3.8+LN(IF(AH19&gt;=1,AH19,1))*9.6+11.2*LN(IF(AI19&gt;=1,AI19,1))+6.4*AN19</f>
        <v>3.19804848427103</v>
      </c>
      <c r="AK19" s="160">
        <f>IF(AND(AG19&gt;0,AH19&gt;0,AI19&gt;0),AJ19,"")</f>
        <v>3.19804848427103</v>
      </c>
      <c r="AL19" s="160">
        <f>AK19+1.59*(135-AM19)</f>
        <v>3.19804848427103</v>
      </c>
      <c r="AM19" s="160">
        <f>IF(AV19&gt;135,135,IF(AV19&lt;120,120,AV19))</f>
        <v>135</v>
      </c>
      <c r="AN19" s="114">
        <v>0</v>
      </c>
      <c r="AO19" s="114">
        <f>_xlfn.IFS(AJ19&lt;15,1,AJ19=15-18,2,AJ19&gt;18,3)</f>
        <v>1</v>
      </c>
      <c r="AP19" s="114">
        <v>1.19</v>
      </c>
      <c r="AQ19" s="114">
        <v>44</v>
      </c>
      <c r="AR19" s="114">
        <v>1.31</v>
      </c>
      <c r="AS19" s="160">
        <v>32</v>
      </c>
      <c r="AT19" s="161">
        <v>17.9</v>
      </c>
      <c r="AU19" s="114">
        <v>60</v>
      </c>
      <c r="AV19" s="114">
        <v>144</v>
      </c>
      <c r="AZ19" s="119" t="s">
        <v>102</v>
      </c>
    </row>
    <row r="20" s="123" customFormat="1" customHeight="1" spans="1:52">
      <c r="A20" s="123" t="s">
        <v>103</v>
      </c>
      <c r="B20" s="123" t="s">
        <v>48</v>
      </c>
      <c r="C20" s="123">
        <v>68</v>
      </c>
      <c r="D20" s="176">
        <v>1.7</v>
      </c>
      <c r="E20" s="123">
        <v>80</v>
      </c>
      <c r="F20" s="189">
        <f>E20/(D20*D20)</f>
        <v>27.681660899654</v>
      </c>
      <c r="G20" s="123">
        <v>2</v>
      </c>
      <c r="H20" s="177">
        <v>43791</v>
      </c>
      <c r="I20" s="177">
        <v>43790</v>
      </c>
      <c r="J20" s="177">
        <v>43803</v>
      </c>
      <c r="K20" s="177"/>
      <c r="L20" s="178">
        <v>1</v>
      </c>
      <c r="M20" s="178">
        <f>DATEDIF(I20,J20,"D")</f>
        <v>13</v>
      </c>
      <c r="N20" s="179" t="s">
        <v>104</v>
      </c>
      <c r="S20" s="123">
        <v>1</v>
      </c>
      <c r="T20" s="114">
        <v>0</v>
      </c>
      <c r="U20" s="114">
        <v>1</v>
      </c>
      <c r="V20" s="114">
        <v>0</v>
      </c>
      <c r="W20" s="114"/>
      <c r="X20" s="114">
        <v>1</v>
      </c>
      <c r="Y20" s="114">
        <v>3</v>
      </c>
      <c r="Z20" s="114" t="s">
        <v>58</v>
      </c>
      <c r="AA20" s="114">
        <v>1</v>
      </c>
      <c r="AB20" s="114">
        <f>_xlfn.IFS(AT20&gt;51,3,AT20&gt;=34,2,AT20&lt;34,1)</f>
        <v>1</v>
      </c>
      <c r="AC20" s="114">
        <f>_xlfn.IFS(AS20&lt;28,3,AS20=28-35,2,AS20&gt;35,1)</f>
        <v>3</v>
      </c>
      <c r="AD20" s="114">
        <f>_xlfn.IFS(AR20&lt;1.7,1,AR20=1.7-2.3,2,AR20&gt;2.3,3)</f>
        <v>1</v>
      </c>
      <c r="AE20" s="114">
        <f>Y20+AA20+AB20+AC20+AD20</f>
        <v>9</v>
      </c>
      <c r="AF20" s="116" t="s">
        <v>63</v>
      </c>
      <c r="AG20" s="114">
        <f>AT20/17.1</f>
        <v>1.40350877192982</v>
      </c>
      <c r="AH20" s="114">
        <f>AU20/88.4</f>
        <v>0.667420814479638</v>
      </c>
      <c r="AI20" s="114">
        <f>AR20</f>
        <v>1.12</v>
      </c>
      <c r="AJ20" s="159">
        <f>LN(IF(AG20&gt;=1,AG20,1))*3.8+LN(IF(AH20&gt;=1,AH20,1))*9.6+11.2*LN(IF(AI20&gt;=1,AI20,1))+6.4*AN20</f>
        <v>8.9573876694279</v>
      </c>
      <c r="AK20" s="160">
        <f>IF(AND(AG20&gt;0,AH20&gt;0,AI20&gt;0),AJ20,"")</f>
        <v>8.9573876694279</v>
      </c>
      <c r="AL20" s="160">
        <f>AK20+1.59*(135-AM20)</f>
        <v>8.9573876694279</v>
      </c>
      <c r="AM20" s="160">
        <f>IF(AV20&gt;135,135,IF(AV20&lt;120,120,AV20))</f>
        <v>135</v>
      </c>
      <c r="AN20" s="114">
        <v>1</v>
      </c>
      <c r="AO20" s="114">
        <f>_xlfn.IFS(AJ20&lt;15,1,AJ20=15-18,2,AJ20&gt;18,3)</f>
        <v>1</v>
      </c>
      <c r="AP20" s="114">
        <v>4.26</v>
      </c>
      <c r="AQ20" s="114">
        <v>74</v>
      </c>
      <c r="AR20" s="114">
        <v>1.12</v>
      </c>
      <c r="AS20" s="160">
        <v>27</v>
      </c>
      <c r="AT20" s="161">
        <v>24</v>
      </c>
      <c r="AU20" s="114">
        <v>59</v>
      </c>
      <c r="AV20" s="114">
        <v>137</v>
      </c>
      <c r="AZ20" s="132" t="s">
        <v>105</v>
      </c>
    </row>
    <row r="21" s="125" customFormat="1" customHeight="1" spans="1:52">
      <c r="A21" s="125" t="s">
        <v>106</v>
      </c>
      <c r="B21" s="125" t="s">
        <v>48</v>
      </c>
      <c r="C21" s="125">
        <v>57</v>
      </c>
      <c r="D21" s="185">
        <v>1.65</v>
      </c>
      <c r="E21" s="125">
        <v>56</v>
      </c>
      <c r="F21" s="136">
        <f>E21/(D21*D21)</f>
        <v>20.5693296602388</v>
      </c>
      <c r="G21" s="125">
        <v>2</v>
      </c>
      <c r="H21" s="186">
        <v>43791</v>
      </c>
      <c r="I21" s="196">
        <v>43791</v>
      </c>
      <c r="J21" s="186">
        <v>43796</v>
      </c>
      <c r="K21" s="186">
        <v>43831</v>
      </c>
      <c r="L21" s="187">
        <v>1</v>
      </c>
      <c r="M21" s="187">
        <f>DATEDIF(I21,J21,"D")</f>
        <v>5</v>
      </c>
      <c r="N21" s="188" t="s">
        <v>107</v>
      </c>
      <c r="P21" s="125">
        <v>1</v>
      </c>
      <c r="T21" s="114">
        <v>1</v>
      </c>
      <c r="U21" s="114">
        <v>0</v>
      </c>
      <c r="V21" s="114">
        <v>1</v>
      </c>
      <c r="W21" s="114"/>
      <c r="X21" s="114">
        <v>1</v>
      </c>
      <c r="Y21" s="114">
        <v>1</v>
      </c>
      <c r="Z21" s="114"/>
      <c r="AA21" s="114">
        <v>2</v>
      </c>
      <c r="AB21" s="114">
        <f>_xlfn.IFS(AT21&gt;51,3,AT21&gt;=34,2,AT21&lt;34,1)</f>
        <v>1</v>
      </c>
      <c r="AC21" s="114">
        <v>2</v>
      </c>
      <c r="AD21" s="114">
        <f>_xlfn.IFS(AR21&lt;1.7,1,AR21=1.7-2.3,2,AR21&gt;2.3,3)</f>
        <v>1</v>
      </c>
      <c r="AE21" s="114">
        <f>Y21+AA21+AB21+AC21+AD21</f>
        <v>7</v>
      </c>
      <c r="AF21" s="116" t="s">
        <v>63</v>
      </c>
      <c r="AG21" s="114">
        <f>AT21/17.1</f>
        <v>1.51461988304094</v>
      </c>
      <c r="AH21" s="114">
        <f>AU21/88.4</f>
        <v>0.712669683257918</v>
      </c>
      <c r="AI21" s="114">
        <f>AR21</f>
        <v>1.37</v>
      </c>
      <c r="AJ21" s="159">
        <f>LN(IF(AG21&gt;=1,AG21,1))*3.8+LN(IF(AH21&gt;=1,AH21,1))*9.6+11.2*LN(IF(AI21&gt;=1,AI21,1))+6.4*AN21</f>
        <v>5.10350540595651</v>
      </c>
      <c r="AK21" s="160">
        <f>IF(AND(AG21&gt;0,AH21&gt;0,AI21&gt;0),AJ21,"")</f>
        <v>5.10350540595651</v>
      </c>
      <c r="AL21" s="160">
        <f>AK21+1.59*(135-AM21)</f>
        <v>5.10350540595651</v>
      </c>
      <c r="AM21" s="160">
        <f>IF(AV21&gt;135,135,IF(AV21&lt;120,120,AV21))</f>
        <v>135</v>
      </c>
      <c r="AN21" s="114">
        <v>0</v>
      </c>
      <c r="AO21" s="114">
        <f>_xlfn.IFS(AJ21&lt;15,1,AJ21=15-18,2,AJ21&gt;18,3)</f>
        <v>1</v>
      </c>
      <c r="AP21" s="114">
        <v>3.07</v>
      </c>
      <c r="AQ21" s="114">
        <v>89</v>
      </c>
      <c r="AR21" s="114">
        <v>1.37</v>
      </c>
      <c r="AS21" s="160">
        <v>33</v>
      </c>
      <c r="AT21" s="161">
        <v>25.9</v>
      </c>
      <c r="AU21" s="114">
        <v>63</v>
      </c>
      <c r="AV21" s="114">
        <v>139</v>
      </c>
      <c r="AZ21" s="131" t="s">
        <v>108</v>
      </c>
    </row>
    <row r="22" spans="1:52">
      <c r="A22" s="122" t="s">
        <v>109</v>
      </c>
      <c r="B22" s="117" t="s">
        <v>53</v>
      </c>
      <c r="C22" s="117">
        <v>56</v>
      </c>
      <c r="D22" s="135">
        <v>1.6</v>
      </c>
      <c r="E22" s="117">
        <v>65</v>
      </c>
      <c r="F22" s="136">
        <f>E22/(D22*D22)</f>
        <v>25.390625</v>
      </c>
      <c r="G22" s="146">
        <v>0</v>
      </c>
      <c r="H22" s="158">
        <v>43795</v>
      </c>
      <c r="I22" s="158">
        <v>43789</v>
      </c>
      <c r="J22" s="158">
        <v>43803</v>
      </c>
      <c r="K22" s="158"/>
      <c r="L22" s="137">
        <v>1</v>
      </c>
      <c r="M22" s="137">
        <f>DATEDIF(I22,J22,"D")</f>
        <v>14</v>
      </c>
      <c r="N22" s="139" t="s">
        <v>110</v>
      </c>
      <c r="Q22" s="117">
        <v>1</v>
      </c>
      <c r="T22" s="114">
        <v>0</v>
      </c>
      <c r="U22" s="114">
        <v>0</v>
      </c>
      <c r="V22" s="114">
        <v>0</v>
      </c>
      <c r="W22" s="114"/>
      <c r="X22" s="114">
        <v>0</v>
      </c>
      <c r="Y22" s="114">
        <v>1</v>
      </c>
      <c r="Z22" s="114" t="s">
        <v>58</v>
      </c>
      <c r="AA22" s="114">
        <v>1</v>
      </c>
      <c r="AB22" s="114">
        <f>_xlfn.IFS(AT22&gt;51,3,AT22&gt;=34,2,AT22&lt;34,1)</f>
        <v>3</v>
      </c>
      <c r="AC22" s="114">
        <v>2</v>
      </c>
      <c r="AD22" s="114">
        <f>_xlfn.IFS(AR22&lt;1.7,1,AR22=1.7-2.3,2,AR22&gt;2.3,3)</f>
        <v>1</v>
      </c>
      <c r="AE22" s="114">
        <f>Y22+AA22+AB22+AC22+AD22</f>
        <v>8</v>
      </c>
      <c r="AF22" s="116" t="s">
        <v>63</v>
      </c>
      <c r="AG22" s="114">
        <f>AT22/17.1</f>
        <v>14.2748538011696</v>
      </c>
      <c r="AH22" s="114">
        <f>AU22/88.4</f>
        <v>0.429864253393665</v>
      </c>
      <c r="AI22" s="114">
        <f>AR22</f>
        <v>1.52</v>
      </c>
      <c r="AJ22" s="159">
        <f>LN(IF(AG22&gt;=1,AG22,1))*3.8+LN(IF(AH22&gt;=1,AH22,1))*9.6+11.2*LN(IF(AI22&gt;=1,AI22,1))+6.4*AN22</f>
        <v>21.1918539031948</v>
      </c>
      <c r="AK22" s="160">
        <f>IF(AND(AG22&gt;0,AH22&gt;0,AI22&gt;0),AJ22,"")</f>
        <v>21.1918539031948</v>
      </c>
      <c r="AL22" s="160">
        <f>AK22+1.59*(135-AM22)</f>
        <v>21.1918539031948</v>
      </c>
      <c r="AM22" s="160">
        <f>IF(AV22&gt;135,135,IF(AV22&lt;120,120,AV22))</f>
        <v>135</v>
      </c>
      <c r="AN22" s="114">
        <v>1</v>
      </c>
      <c r="AO22" s="114">
        <f>_xlfn.IFS(AJ22&lt;15,1,AJ22=15-18,2,AJ22&gt;18,3)</f>
        <v>3</v>
      </c>
      <c r="AP22" s="114">
        <v>2.87</v>
      </c>
      <c r="AQ22" s="114">
        <v>128</v>
      </c>
      <c r="AR22" s="114">
        <v>1.52</v>
      </c>
      <c r="AS22" s="160">
        <v>34</v>
      </c>
      <c r="AT22" s="161">
        <v>244.1</v>
      </c>
      <c r="AU22" s="114">
        <v>38</v>
      </c>
      <c r="AV22" s="114">
        <v>139</v>
      </c>
      <c r="AZ22" s="119" t="s">
        <v>111</v>
      </c>
    </row>
    <row r="23" spans="1:52">
      <c r="A23" s="122" t="s">
        <v>112</v>
      </c>
      <c r="B23" s="117" t="s">
        <v>53</v>
      </c>
      <c r="C23" s="117">
        <v>58</v>
      </c>
      <c r="D23" s="135">
        <v>1.68</v>
      </c>
      <c r="E23" s="117">
        <v>80</v>
      </c>
      <c r="F23" s="136">
        <f>E23/(D23*D23)</f>
        <v>28.3446712018141</v>
      </c>
      <c r="G23" s="145">
        <v>1</v>
      </c>
      <c r="H23" s="158">
        <v>43795</v>
      </c>
      <c r="I23" s="158">
        <v>43792</v>
      </c>
      <c r="J23" s="158">
        <v>43804</v>
      </c>
      <c r="K23" s="158"/>
      <c r="L23" s="137">
        <v>1</v>
      </c>
      <c r="M23" s="137">
        <f>DATEDIF(I23,J23,"D")</f>
        <v>12</v>
      </c>
      <c r="N23" s="139" t="s">
        <v>113</v>
      </c>
      <c r="Q23" s="117">
        <v>1</v>
      </c>
      <c r="T23" s="114">
        <v>1</v>
      </c>
      <c r="U23" s="114">
        <v>0</v>
      </c>
      <c r="V23" s="114">
        <v>1</v>
      </c>
      <c r="W23" s="114"/>
      <c r="X23" s="114">
        <v>1</v>
      </c>
      <c r="Y23" s="114">
        <v>1</v>
      </c>
      <c r="Z23" s="114"/>
      <c r="AA23" s="114">
        <v>2</v>
      </c>
      <c r="AB23" s="114">
        <f>_xlfn.IFS(AT23&gt;51,3,AT23&gt;=34,2,AT23&lt;34,1)</f>
        <v>1</v>
      </c>
      <c r="AC23" s="114">
        <f>_xlfn.IFS(AS23&lt;28,3,AS23=28-35,2,AS23&gt;35,1)</f>
        <v>3</v>
      </c>
      <c r="AD23" s="114">
        <f>_xlfn.IFS(AR23&lt;1.7,1,AR23=1.7-2.3,2,AR23&gt;2.3,3)</f>
        <v>1</v>
      </c>
      <c r="AE23" s="114">
        <f>Y23+AA23+AB23+AC23+AD23</f>
        <v>8</v>
      </c>
      <c r="AF23" s="116" t="s">
        <v>63</v>
      </c>
      <c r="AG23" s="114">
        <f>AT23/17.1</f>
        <v>1.90643274853801</v>
      </c>
      <c r="AH23" s="114">
        <f>AU23/88.4</f>
        <v>0.656108597285068</v>
      </c>
      <c r="AI23" s="114">
        <f>AR23</f>
        <v>1.24</v>
      </c>
      <c r="AJ23" s="159">
        <f>LN(IF(AG23&gt;=1,AG23,1))*3.8+LN(IF(AH23&gt;=1,AH23,1))*9.6+11.2*LN(IF(AI23&gt;=1,AI23,1))+6.4*AN23</f>
        <v>11.2611359861932</v>
      </c>
      <c r="AK23" s="160">
        <f>IF(AND(AG23&gt;0,AH23&gt;0,AI23&gt;0),AJ23,"")</f>
        <v>11.2611359861932</v>
      </c>
      <c r="AL23" s="160">
        <f>AK23+1.59*(135-AM23)</f>
        <v>11.2611359861932</v>
      </c>
      <c r="AM23" s="160">
        <f>IF(AV23&gt;135,135,IF(AV23&lt;120,120,AV23))</f>
        <v>135</v>
      </c>
      <c r="AN23" s="114">
        <v>1</v>
      </c>
      <c r="AO23" s="114">
        <f>_xlfn.IFS(AJ23&lt;15,1,AJ23=15-18,2,AJ23&gt;18,3)</f>
        <v>1</v>
      </c>
      <c r="AP23" s="114">
        <v>2.85</v>
      </c>
      <c r="AQ23" s="114">
        <v>78</v>
      </c>
      <c r="AR23" s="114">
        <v>1.24</v>
      </c>
      <c r="AS23" s="160">
        <v>23</v>
      </c>
      <c r="AT23" s="161">
        <v>32.6</v>
      </c>
      <c r="AU23" s="114">
        <v>58</v>
      </c>
      <c r="AV23" s="114">
        <v>137</v>
      </c>
      <c r="AZ23" s="119" t="s">
        <v>114</v>
      </c>
    </row>
    <row r="24" s="127" customFormat="1" customHeight="1" spans="1:52">
      <c r="A24" s="127" t="s">
        <v>115</v>
      </c>
      <c r="B24" s="127" t="s">
        <v>48</v>
      </c>
      <c r="C24" s="127">
        <v>62</v>
      </c>
      <c r="D24" s="197">
        <v>1.73</v>
      </c>
      <c r="E24" s="127">
        <v>62</v>
      </c>
      <c r="F24" s="198">
        <f>E24/(D24*D24)</f>
        <v>20.7156938086805</v>
      </c>
      <c r="G24" s="127">
        <v>6</v>
      </c>
      <c r="H24" s="199">
        <v>43801</v>
      </c>
      <c r="I24" s="199">
        <v>43799</v>
      </c>
      <c r="J24" s="199">
        <v>43819</v>
      </c>
      <c r="K24" s="199"/>
      <c r="L24" s="200">
        <v>1</v>
      </c>
      <c r="M24" s="200">
        <f>DATEDIF(I24,J24,"D")</f>
        <v>20</v>
      </c>
      <c r="N24" s="201" t="s">
        <v>116</v>
      </c>
      <c r="P24" s="127">
        <v>1</v>
      </c>
      <c r="T24" s="116">
        <v>1</v>
      </c>
      <c r="U24" s="116">
        <v>0</v>
      </c>
      <c r="V24" s="116">
        <v>0</v>
      </c>
      <c r="W24" s="116"/>
      <c r="X24" s="116">
        <v>0</v>
      </c>
      <c r="Y24" s="116">
        <v>1</v>
      </c>
      <c r="Z24" s="114"/>
      <c r="AA24" s="116">
        <v>3</v>
      </c>
      <c r="AB24" s="116">
        <f>_xlfn.IFS(AT24&gt;51,3,AT24&gt;=34,2,AT24&lt;34,1)</f>
        <v>3</v>
      </c>
      <c r="AC24" s="116">
        <v>2</v>
      </c>
      <c r="AD24" s="116">
        <f>_xlfn.IFS(AR24&lt;1.7,1,AR24=1.7-2.3,2,AR24&gt;2.3,3)</f>
        <v>1</v>
      </c>
      <c r="AE24" s="114">
        <f>Y24+AA24+AB24+AC24+AD24</f>
        <v>10</v>
      </c>
      <c r="AF24" s="116" t="s">
        <v>50</v>
      </c>
      <c r="AG24" s="114">
        <f>AT24/17.1</f>
        <v>9.81286549707602</v>
      </c>
      <c r="AH24" s="114">
        <f>AU24/88.4</f>
        <v>0.701357466063348</v>
      </c>
      <c r="AI24" s="114">
        <f>AR24</f>
        <v>1.45</v>
      </c>
      <c r="AJ24" s="159">
        <f>LN(IF(AG24&gt;=1,AG24,1))*3.8+LN(IF(AH24&gt;=1,AH24,1))*9.6+11.2*LN(IF(AI24&gt;=1,AI24,1))+6.4*AN24</f>
        <v>12.8395502880369</v>
      </c>
      <c r="AK24" s="160">
        <f>IF(AND(AG24&gt;0,AH24&gt;0,AI24&gt;0),AJ24,"")</f>
        <v>12.8395502880369</v>
      </c>
      <c r="AL24" s="160">
        <f>AK24+1.59*(135-AM24)</f>
        <v>12.8395502880369</v>
      </c>
      <c r="AM24" s="160">
        <f>IF(AV24&gt;135,135,IF(AV24&lt;120,120,AV24))</f>
        <v>135</v>
      </c>
      <c r="AN24" s="116">
        <v>0</v>
      </c>
      <c r="AO24" s="116">
        <f>_xlfn.IFS(AJ24&lt;15,1,AJ24=15-18,2,AJ24&gt;18,3)</f>
        <v>1</v>
      </c>
      <c r="AP24" s="116">
        <v>6.06</v>
      </c>
      <c r="AQ24" s="116">
        <v>99</v>
      </c>
      <c r="AR24" s="116">
        <v>1.45</v>
      </c>
      <c r="AS24" s="202">
        <v>29</v>
      </c>
      <c r="AT24" s="203">
        <v>167.8</v>
      </c>
      <c r="AU24" s="116">
        <v>62</v>
      </c>
      <c r="AV24" s="116">
        <v>136</v>
      </c>
      <c r="AZ24" s="127" t="s">
        <v>117</v>
      </c>
    </row>
    <row r="25" s="125" customFormat="1" spans="1:52">
      <c r="A25" s="125" t="s">
        <v>118</v>
      </c>
      <c r="B25" s="125" t="s">
        <v>53</v>
      </c>
      <c r="C25" s="125">
        <v>50</v>
      </c>
      <c r="D25" s="185">
        <v>1.5</v>
      </c>
      <c r="E25" s="125">
        <v>57</v>
      </c>
      <c r="F25" s="136">
        <f>E25/(D25*D25)</f>
        <v>25.3333333333333</v>
      </c>
      <c r="G25" s="125">
        <v>0</v>
      </c>
      <c r="H25" s="186">
        <v>43801</v>
      </c>
      <c r="I25" s="186">
        <v>43794</v>
      </c>
      <c r="J25" s="186">
        <v>43806</v>
      </c>
      <c r="K25" s="186">
        <v>44075</v>
      </c>
      <c r="L25" s="187">
        <v>1</v>
      </c>
      <c r="M25" s="138">
        <f>DATEDIF(I25,J25,"D")</f>
        <v>12</v>
      </c>
      <c r="N25" s="188" t="s">
        <v>119</v>
      </c>
      <c r="O25" s="125">
        <v>1</v>
      </c>
      <c r="T25" s="114">
        <v>0</v>
      </c>
      <c r="U25" s="114">
        <v>0</v>
      </c>
      <c r="V25" s="114">
        <v>1</v>
      </c>
      <c r="W25" s="114"/>
      <c r="X25" s="114">
        <v>1</v>
      </c>
      <c r="Y25" s="114">
        <v>1</v>
      </c>
      <c r="Z25" s="114" t="s">
        <v>58</v>
      </c>
      <c r="AA25" s="114">
        <v>1</v>
      </c>
      <c r="AB25" s="114">
        <f>_xlfn.IFS(AT25&gt;51,3,AT25&gt;=34,2,AT25&lt;34,1)</f>
        <v>1</v>
      </c>
      <c r="AC25" s="114">
        <f>_xlfn.IFS(AS25&lt;28,3,AS25=28-35,2,AS25&gt;35,1)</f>
        <v>3</v>
      </c>
      <c r="AD25" s="114">
        <f>_xlfn.IFS(AR25&lt;1.7,1,AR25=1.7-2.3,2,AR25&gt;2.3,3)</f>
        <v>1</v>
      </c>
      <c r="AE25" s="114">
        <f>Y25+AA25+AB25+AC25+AD25</f>
        <v>7</v>
      </c>
      <c r="AF25" s="116" t="s">
        <v>63</v>
      </c>
      <c r="AG25" s="114">
        <f>AT25/17.1</f>
        <v>0.713450292397661</v>
      </c>
      <c r="AH25" s="114">
        <f>AU25/88.4</f>
        <v>0.407239819004525</v>
      </c>
      <c r="AI25" s="114">
        <f>AR25</f>
        <v>1.22</v>
      </c>
      <c r="AJ25" s="159">
        <f>LN(IF(AG25&gt;=1,AG25,1))*3.8+LN(IF(AH25&gt;=1,AH25,1))*9.6+11.2*LN(IF(AI25&gt;=1,AI25,1))+6.4*AN25</f>
        <v>8.62712961794585</v>
      </c>
      <c r="AK25" s="160">
        <f>IF(AND(AG25&gt;0,AH25&gt;0,AI25&gt;0),AJ25,"")</f>
        <v>8.62712961794585</v>
      </c>
      <c r="AL25" s="160">
        <f>AK25+1.59*(135-AM25)</f>
        <v>10.2171296179459</v>
      </c>
      <c r="AM25" s="160">
        <f>IF(AV25&gt;135,135,IF(AV25&lt;120,120,AV25))</f>
        <v>134</v>
      </c>
      <c r="AN25" s="114">
        <v>1</v>
      </c>
      <c r="AO25" s="114">
        <f>_xlfn.IFS(AJ25&lt;15,1,AJ25=15-18,2,AJ25&gt;18,3)</f>
        <v>1</v>
      </c>
      <c r="AP25" s="114">
        <v>3.21</v>
      </c>
      <c r="AQ25" s="114">
        <v>47</v>
      </c>
      <c r="AR25" s="114">
        <v>1.22</v>
      </c>
      <c r="AS25" s="160">
        <v>27</v>
      </c>
      <c r="AT25" s="161">
        <v>12.2</v>
      </c>
      <c r="AU25" s="114">
        <v>36</v>
      </c>
      <c r="AV25" s="114">
        <v>134</v>
      </c>
      <c r="AZ25" s="131" t="s">
        <v>120</v>
      </c>
    </row>
    <row r="26" s="123" customFormat="1" spans="1:52">
      <c r="A26" s="123" t="s">
        <v>121</v>
      </c>
      <c r="B26" s="123" t="s">
        <v>53</v>
      </c>
      <c r="C26" s="123">
        <v>68</v>
      </c>
      <c r="D26" s="176">
        <v>1.65</v>
      </c>
      <c r="E26" s="123">
        <v>60</v>
      </c>
      <c r="F26" s="189">
        <f>E26/(D26*D26)</f>
        <v>22.038567493113</v>
      </c>
      <c r="G26" s="123">
        <v>0</v>
      </c>
      <c r="H26" s="177">
        <v>43805</v>
      </c>
      <c r="I26" s="177">
        <v>43802</v>
      </c>
      <c r="J26" s="177">
        <v>43815</v>
      </c>
      <c r="K26" s="177"/>
      <c r="L26" s="178">
        <v>1</v>
      </c>
      <c r="M26" s="178">
        <f>DATEDIF(I26,J26,"D")</f>
        <v>13</v>
      </c>
      <c r="N26" s="179" t="s">
        <v>122</v>
      </c>
      <c r="Q26" s="123">
        <v>1</v>
      </c>
      <c r="T26" s="114">
        <v>0</v>
      </c>
      <c r="U26" s="114">
        <v>0</v>
      </c>
      <c r="V26" s="114">
        <v>1</v>
      </c>
      <c r="W26" s="114"/>
      <c r="X26" s="114">
        <v>1</v>
      </c>
      <c r="Y26" s="114">
        <v>1</v>
      </c>
      <c r="Z26" s="114" t="s">
        <v>58</v>
      </c>
      <c r="AA26" s="114">
        <v>1</v>
      </c>
      <c r="AB26" s="114">
        <f>_xlfn.IFS(AT26&gt;51,3,AT26&gt;=34,2,AT26&lt;34,1)</f>
        <v>1</v>
      </c>
      <c r="AC26" s="114">
        <f>_xlfn.IFS(AS26&lt;28,3,AS26=28-35,2,AS26&gt;35,1)</f>
        <v>3</v>
      </c>
      <c r="AD26" s="114">
        <f>_xlfn.IFS(AR26&lt;1.7,1,AR26=1.7-2.3,2,AR26&gt;2.3,3)</f>
        <v>1</v>
      </c>
      <c r="AE26" s="114">
        <f>Y26+AA26+AB26+AC26+AD26</f>
        <v>7</v>
      </c>
      <c r="AF26" s="116" t="s">
        <v>63</v>
      </c>
      <c r="AG26" s="114">
        <f>AT26/17.1</f>
        <v>1.12280701754386</v>
      </c>
      <c r="AH26" s="114">
        <f>AU26/88.4</f>
        <v>0.463800904977376</v>
      </c>
      <c r="AI26" s="114">
        <f>AR26</f>
        <v>0.95</v>
      </c>
      <c r="AJ26" s="159">
        <f>LN(IF(AG26&gt;=1,AG26,1))*3.8+LN(IF(AH26&gt;=1,AH26,1))*9.6+11.2*LN(IF(AI26&gt;=1,AI26,1))+6.4*AN26</f>
        <v>6.84016089899546</v>
      </c>
      <c r="AK26" s="160">
        <f>IF(AND(AG26&gt;0,AH26&gt;0,AI26&gt;0),AJ26,"")</f>
        <v>6.84016089899546</v>
      </c>
      <c r="AL26" s="160">
        <f>AK26+1.59*(135-AM26)</f>
        <v>6.84016089899546</v>
      </c>
      <c r="AM26" s="160">
        <f>IF(AV26&gt;135,135,IF(AV26&lt;120,120,AV26))</f>
        <v>135</v>
      </c>
      <c r="AN26" s="114">
        <v>1</v>
      </c>
      <c r="AO26" s="114">
        <f>_xlfn.IFS(AJ26&lt;15,1,AJ26=15-18,2,AJ26&gt;18,3)</f>
        <v>1</v>
      </c>
      <c r="AP26" s="114">
        <v>4.55</v>
      </c>
      <c r="AQ26" s="114">
        <v>56</v>
      </c>
      <c r="AR26" s="114">
        <v>0.95</v>
      </c>
      <c r="AS26" s="160">
        <v>25</v>
      </c>
      <c r="AT26" s="161">
        <v>19.2</v>
      </c>
      <c r="AU26" s="114">
        <v>41</v>
      </c>
      <c r="AV26" s="114">
        <v>137</v>
      </c>
      <c r="AZ26" s="132" t="s">
        <v>123</v>
      </c>
    </row>
    <row r="27" s="125" customFormat="1" spans="1:52">
      <c r="A27" s="125" t="s">
        <v>124</v>
      </c>
      <c r="B27" s="125" t="s">
        <v>53</v>
      </c>
      <c r="C27" s="125">
        <v>55</v>
      </c>
      <c r="D27" s="185">
        <v>1.64</v>
      </c>
      <c r="E27" s="125">
        <v>54</v>
      </c>
      <c r="F27" s="136">
        <f>E27/(D27*D27)</f>
        <v>20.0773349196907</v>
      </c>
      <c r="G27" s="125">
        <v>1</v>
      </c>
      <c r="H27" s="186">
        <v>43805</v>
      </c>
      <c r="I27" s="186">
        <v>43804</v>
      </c>
      <c r="J27" s="186">
        <v>43820</v>
      </c>
      <c r="K27" s="186">
        <v>44197</v>
      </c>
      <c r="L27" s="187">
        <v>1</v>
      </c>
      <c r="M27" s="187">
        <f>DATEDIF(I27,J27,"D")</f>
        <v>16</v>
      </c>
      <c r="N27" s="188" t="s">
        <v>125</v>
      </c>
      <c r="Q27" s="125">
        <v>1</v>
      </c>
      <c r="T27" s="114">
        <v>1</v>
      </c>
      <c r="U27" s="114">
        <v>0</v>
      </c>
      <c r="V27" s="114">
        <v>1</v>
      </c>
      <c r="W27" s="114">
        <v>1</v>
      </c>
      <c r="X27" s="114">
        <v>1</v>
      </c>
      <c r="Y27" s="114">
        <v>1</v>
      </c>
      <c r="Z27" s="114"/>
      <c r="AA27" s="114">
        <v>3</v>
      </c>
      <c r="AB27" s="114">
        <f>_xlfn.IFS(AT27&gt;51,3,AT27&gt;=34,2,AT27&lt;34,1)</f>
        <v>2</v>
      </c>
      <c r="AC27" s="114">
        <f>_xlfn.IFS(AS27&lt;28,3,AS27=28-35,2,AS27&gt;35,1)</f>
        <v>3</v>
      </c>
      <c r="AD27" s="114">
        <f>_xlfn.IFS(AR27&lt;1.7,1,AR27=1.7-2.3,2,AR27&gt;2.3,3)</f>
        <v>1</v>
      </c>
      <c r="AE27" s="114">
        <f>Y27+AA27+AB27+AC27+AD27</f>
        <v>10</v>
      </c>
      <c r="AF27" s="116" t="s">
        <v>50</v>
      </c>
      <c r="AG27" s="114">
        <f>AT27/17.1</f>
        <v>2.28070175438596</v>
      </c>
      <c r="AH27" s="114">
        <f>AU27/88.4</f>
        <v>0.667420814479638</v>
      </c>
      <c r="AI27" s="114">
        <f>AR27</f>
        <v>1.23</v>
      </c>
      <c r="AJ27" s="159">
        <f>LN(IF(AG27&gt;=1,AG27,1))*3.8+LN(IF(AH27&gt;=1,AH27,1))*9.6+11.2*LN(IF(AI27&gt;=1,AI27,1))+6.4*AN27</f>
        <v>11.8515947910644</v>
      </c>
      <c r="AK27" s="160">
        <f>IF(AND(AG27&gt;0,AH27&gt;0,AI27&gt;0),AJ27,"")</f>
        <v>11.8515947910644</v>
      </c>
      <c r="AL27" s="160">
        <f>AK27+1.59*(135-AM27)</f>
        <v>11.8515947910644</v>
      </c>
      <c r="AM27" s="160">
        <f>IF(AV27&gt;135,135,IF(AV27&lt;120,120,AV27))</f>
        <v>135</v>
      </c>
      <c r="AN27" s="114">
        <v>1</v>
      </c>
      <c r="AO27" s="114">
        <f>_xlfn.IFS(AJ27&lt;15,1,AJ27=15-18,2,AJ27&gt;18,3)</f>
        <v>1</v>
      </c>
      <c r="AP27" s="114">
        <v>2.34</v>
      </c>
      <c r="AQ27" s="114">
        <v>44</v>
      </c>
      <c r="AR27" s="114">
        <v>1.23</v>
      </c>
      <c r="AS27" s="160">
        <v>20</v>
      </c>
      <c r="AT27" s="161">
        <v>39</v>
      </c>
      <c r="AU27" s="114">
        <v>59</v>
      </c>
      <c r="AV27" s="114">
        <v>139</v>
      </c>
      <c r="AZ27" s="131" t="s">
        <v>126</v>
      </c>
    </row>
    <row r="28" s="128" customFormat="1" spans="1:52">
      <c r="A28" s="128" t="s">
        <v>127</v>
      </c>
      <c r="B28" s="128" t="s">
        <v>53</v>
      </c>
      <c r="C28" s="128">
        <v>64</v>
      </c>
      <c r="D28" s="204">
        <v>1.58</v>
      </c>
      <c r="E28" s="128">
        <v>77</v>
      </c>
      <c r="F28" s="205">
        <f>E28/(D28*D28)</f>
        <v>30.8444159589809</v>
      </c>
      <c r="G28" s="128">
        <v>1</v>
      </c>
      <c r="H28" s="206">
        <v>43804</v>
      </c>
      <c r="I28" s="206">
        <v>43803</v>
      </c>
      <c r="J28" s="206">
        <v>43813</v>
      </c>
      <c r="K28" s="206"/>
      <c r="L28" s="207">
        <v>1</v>
      </c>
      <c r="M28" s="207">
        <f>DATEDIF(I28,J28,"D")</f>
        <v>10</v>
      </c>
      <c r="N28" s="208" t="s">
        <v>128</v>
      </c>
      <c r="O28" s="128">
        <v>1</v>
      </c>
      <c r="T28" s="114">
        <v>0</v>
      </c>
      <c r="U28" s="114">
        <v>0</v>
      </c>
      <c r="V28" s="114">
        <v>1</v>
      </c>
      <c r="W28" s="114"/>
      <c r="X28" s="114">
        <v>1</v>
      </c>
      <c r="Y28" s="114">
        <v>1</v>
      </c>
      <c r="Z28" s="114" t="s">
        <v>58</v>
      </c>
      <c r="AA28" s="114">
        <v>1</v>
      </c>
      <c r="AB28" s="114">
        <f>_xlfn.IFS(AT28&gt;51,3,AT28&gt;=34,2,AT28&lt;34,1)</f>
        <v>2</v>
      </c>
      <c r="AC28" s="114">
        <v>2</v>
      </c>
      <c r="AD28" s="114">
        <f>_xlfn.IFS(AR28&lt;1.7,1,AR28=1.7-2.3,2,AR28&gt;2.3,3)</f>
        <v>1</v>
      </c>
      <c r="AE28" s="114">
        <f>Y28+AA28+AB28+AC28+AD28</f>
        <v>7</v>
      </c>
      <c r="AF28" s="116" t="s">
        <v>63</v>
      </c>
      <c r="AG28" s="114">
        <f>AT28/17.1</f>
        <v>2.1578947368421</v>
      </c>
      <c r="AH28" s="114">
        <f>AU28/88.4</f>
        <v>0.667420814479638</v>
      </c>
      <c r="AI28" s="114">
        <f>AR28</f>
        <v>1.31</v>
      </c>
      <c r="AJ28" s="159">
        <f>LN(IF(AG28&gt;=1,AG28,1))*3.8+LN(IF(AH28&gt;=1,AH28,1))*9.6+11.2*LN(IF(AI28&gt;=1,AI28,1))+6.4*AN28</f>
        <v>12.3470096694302</v>
      </c>
      <c r="AK28" s="160">
        <f>IF(AND(AG28&gt;0,AH28&gt;0,AI28&gt;0),AJ28,"")</f>
        <v>12.3470096694302</v>
      </c>
      <c r="AL28" s="160">
        <f>AK28+1.59*(135-AM28)</f>
        <v>12.3470096694302</v>
      </c>
      <c r="AM28" s="160">
        <f>IF(AV28&gt;135,135,IF(AV28&lt;120,120,AV28))</f>
        <v>135</v>
      </c>
      <c r="AN28" s="114">
        <v>1</v>
      </c>
      <c r="AO28" s="114">
        <f>_xlfn.IFS(AJ28&lt;15,1,AJ28=15-18,2,AJ28&gt;18,3)</f>
        <v>1</v>
      </c>
      <c r="AP28" s="114">
        <v>3.38</v>
      </c>
      <c r="AQ28" s="114">
        <v>131</v>
      </c>
      <c r="AR28" s="114">
        <v>1.31</v>
      </c>
      <c r="AS28" s="160">
        <v>30</v>
      </c>
      <c r="AT28" s="161">
        <v>36.9</v>
      </c>
      <c r="AU28" s="114">
        <v>59</v>
      </c>
      <c r="AV28" s="114">
        <v>143</v>
      </c>
      <c r="AZ28" s="209" t="s">
        <v>129</v>
      </c>
    </row>
    <row r="29" s="123" customFormat="1" spans="1:52">
      <c r="A29" s="123" t="s">
        <v>130</v>
      </c>
      <c r="B29" s="123" t="s">
        <v>53</v>
      </c>
      <c r="C29" s="123">
        <v>65</v>
      </c>
      <c r="D29" s="176">
        <v>1.6</v>
      </c>
      <c r="E29" s="123">
        <v>60</v>
      </c>
      <c r="F29" s="189">
        <f>E29/(D29*D29)</f>
        <v>23.4375</v>
      </c>
      <c r="G29" s="123">
        <v>1</v>
      </c>
      <c r="H29" s="177">
        <v>43807</v>
      </c>
      <c r="I29" s="177">
        <v>43805</v>
      </c>
      <c r="J29" s="177">
        <v>43813</v>
      </c>
      <c r="K29" s="177"/>
      <c r="L29" s="178">
        <v>1</v>
      </c>
      <c r="M29" s="178">
        <f>DATEDIF(I29,J29,"D")</f>
        <v>8</v>
      </c>
      <c r="N29" s="179" t="s">
        <v>131</v>
      </c>
      <c r="S29" s="123">
        <v>1</v>
      </c>
      <c r="T29" s="114">
        <v>1</v>
      </c>
      <c r="U29" s="114">
        <v>0</v>
      </c>
      <c r="V29" s="114">
        <v>1</v>
      </c>
      <c r="W29" s="114"/>
      <c r="X29" s="114">
        <v>1</v>
      </c>
      <c r="Y29" s="114">
        <v>1</v>
      </c>
      <c r="Z29" s="114"/>
      <c r="AA29" s="114">
        <v>2</v>
      </c>
      <c r="AB29" s="114">
        <f>_xlfn.IFS(AT29&gt;51,3,AT29&gt;=34,2,AT29&lt;34,1)</f>
        <v>1</v>
      </c>
      <c r="AC29" s="114">
        <f>_xlfn.IFS(AS29&lt;28,3,AS29=28-35,2,AS29&gt;35,1)</f>
        <v>1</v>
      </c>
      <c r="AD29" s="114">
        <f>_xlfn.IFS(AR29&lt;1.7,1,AR29=1.7-2.3,2,AR29&gt;2.3,3)</f>
        <v>1</v>
      </c>
      <c r="AE29" s="114">
        <f>Y29+AA29+AB29+AC29+AD29</f>
        <v>6</v>
      </c>
      <c r="AF29" s="116" t="s">
        <v>59</v>
      </c>
      <c r="AG29" s="114">
        <f>AT29/17.1</f>
        <v>1.95906432748538</v>
      </c>
      <c r="AH29" s="114">
        <f>AU29/88.4</f>
        <v>0.82579185520362</v>
      </c>
      <c r="AI29" s="114">
        <f>AR29</f>
        <v>1.11</v>
      </c>
      <c r="AJ29" s="159">
        <f>LN(IF(AG29&gt;=1,AG29,1))*3.8+LN(IF(AH29&gt;=1,AH29,1))*9.6+11.2*LN(IF(AI29&gt;=1,AI29,1))+6.4*AN29</f>
        <v>10.1242066778567</v>
      </c>
      <c r="AK29" s="160">
        <f>IF(AND(AG29&gt;0,AH29&gt;0,AI29&gt;0),AJ29,"")</f>
        <v>10.1242066778567</v>
      </c>
      <c r="AL29" s="160">
        <f>AK29+1.59*(135-AM29)</f>
        <v>10.1242066778567</v>
      </c>
      <c r="AM29" s="160">
        <f>IF(AV29&gt;135,135,IF(AV29&lt;120,120,AV29))</f>
        <v>135</v>
      </c>
      <c r="AN29" s="114">
        <v>1</v>
      </c>
      <c r="AO29" s="114">
        <f>_xlfn.IFS(AJ29&lt;15,1,AJ29=15-18,2,AJ29&gt;18,3)</f>
        <v>1</v>
      </c>
      <c r="AP29" s="114">
        <v>2.19</v>
      </c>
      <c r="AQ29" s="114">
        <v>76</v>
      </c>
      <c r="AR29" s="114">
        <v>1.11</v>
      </c>
      <c r="AS29" s="160">
        <v>38</v>
      </c>
      <c r="AT29" s="161">
        <v>33.5</v>
      </c>
      <c r="AU29" s="114">
        <v>73</v>
      </c>
      <c r="AV29" s="114">
        <v>143</v>
      </c>
      <c r="AZ29" s="132" t="s">
        <v>132</v>
      </c>
    </row>
    <row r="30" s="123" customFormat="1" customHeight="1" spans="1:52">
      <c r="A30" s="123" t="s">
        <v>133</v>
      </c>
      <c r="B30" s="123" t="s">
        <v>48</v>
      </c>
      <c r="C30" s="123">
        <v>40</v>
      </c>
      <c r="D30" s="176">
        <v>1.7</v>
      </c>
      <c r="E30" s="123">
        <v>76</v>
      </c>
      <c r="F30" s="189">
        <f>E30/(D30*D30)</f>
        <v>26.2975778546713</v>
      </c>
      <c r="G30" s="123">
        <v>6</v>
      </c>
      <c r="H30" s="177">
        <v>43807</v>
      </c>
      <c r="I30" s="177">
        <v>43806</v>
      </c>
      <c r="J30" s="177">
        <v>43815</v>
      </c>
      <c r="K30" s="177"/>
      <c r="L30" s="178">
        <v>1</v>
      </c>
      <c r="M30" s="178">
        <f>DATEDIF(I30,J30,"D")</f>
        <v>9</v>
      </c>
      <c r="N30" s="179" t="s">
        <v>134</v>
      </c>
      <c r="P30" s="123">
        <v>1</v>
      </c>
      <c r="T30" s="114">
        <v>1</v>
      </c>
      <c r="U30" s="114">
        <v>0</v>
      </c>
      <c r="V30" s="114">
        <v>0</v>
      </c>
      <c r="W30" s="114">
        <v>1</v>
      </c>
      <c r="X30" s="114">
        <v>0</v>
      </c>
      <c r="Y30" s="114">
        <v>1</v>
      </c>
      <c r="Z30" s="114"/>
      <c r="AA30" s="114">
        <v>3</v>
      </c>
      <c r="AB30" s="114">
        <f>_xlfn.IFS(AT30&gt;51,3,AT30&gt;=34,2,AT30&lt;34,1)</f>
        <v>3</v>
      </c>
      <c r="AC30" s="114">
        <f>_xlfn.IFS(AS30&lt;28,3,AS30=28-35,2,AS30&gt;35,1)</f>
        <v>3</v>
      </c>
      <c r="AD30" s="114">
        <f>_xlfn.IFS(AR30&lt;1.7,1,AR30=1.7-2.3,2,AR30&gt;2.3,3)</f>
        <v>3</v>
      </c>
      <c r="AE30" s="114">
        <f>Y30+AA30+AB30+AC30+AD30</f>
        <v>13</v>
      </c>
      <c r="AF30" s="116" t="s">
        <v>50</v>
      </c>
      <c r="AG30" s="114">
        <f>AT30/17.1</f>
        <v>26.1520467836257</v>
      </c>
      <c r="AH30" s="114">
        <f>AU30/88.4</f>
        <v>0.633484162895928</v>
      </c>
      <c r="AI30" s="114">
        <f>AR30</f>
        <v>2.38</v>
      </c>
      <c r="AJ30" s="159">
        <f>LN(IF(AG30&gt;=1,AG30,1))*3.8+LN(IF(AH30&gt;=1,AH30,1))*9.6+11.2*LN(IF(AI30&gt;=1,AI30,1))+6.4*AN30</f>
        <v>22.1144498037165</v>
      </c>
      <c r="AK30" s="160">
        <f>IF(AND(AG30&gt;0,AH30&gt;0,AI30&gt;0),AJ30,"")</f>
        <v>22.1144498037165</v>
      </c>
      <c r="AL30" s="160">
        <f>AK30+1.59*(135-AM30)</f>
        <v>22.1144498037165</v>
      </c>
      <c r="AM30" s="160">
        <f>IF(AV30&gt;135,135,IF(AV30&lt;120,120,AV30))</f>
        <v>135</v>
      </c>
      <c r="AN30" s="114">
        <v>0</v>
      </c>
      <c r="AO30" s="114">
        <f>_xlfn.IFS(AJ30&lt;15,1,AJ30=15-18,2,AJ30&gt;18,3)</f>
        <v>3</v>
      </c>
      <c r="AP30" s="114">
        <v>27.56</v>
      </c>
      <c r="AQ30" s="114">
        <v>104</v>
      </c>
      <c r="AR30" s="114">
        <v>2.38</v>
      </c>
      <c r="AS30" s="160">
        <v>24</v>
      </c>
      <c r="AT30" s="161">
        <v>447.2</v>
      </c>
      <c r="AU30" s="114">
        <v>56</v>
      </c>
      <c r="AV30" s="114">
        <v>137</v>
      </c>
      <c r="AZ30" s="132" t="s">
        <v>58</v>
      </c>
    </row>
    <row r="31" customHeight="1" spans="1:52">
      <c r="A31" s="122" t="s">
        <v>135</v>
      </c>
      <c r="B31" s="117" t="s">
        <v>48</v>
      </c>
      <c r="C31" s="117">
        <v>69</v>
      </c>
      <c r="D31" s="135">
        <v>1.83</v>
      </c>
      <c r="E31" s="117">
        <v>83</v>
      </c>
      <c r="F31" s="136">
        <f>E31/(D31*D31)</f>
        <v>24.7842575173938</v>
      </c>
      <c r="G31" s="195">
        <v>6</v>
      </c>
      <c r="H31" s="158">
        <v>43809</v>
      </c>
      <c r="I31" s="158">
        <v>43806</v>
      </c>
      <c r="J31" s="158">
        <v>43818</v>
      </c>
      <c r="K31" s="158"/>
      <c r="L31" s="137">
        <v>1</v>
      </c>
      <c r="M31" s="138">
        <f>DATEDIF(I31,J31,"D")</f>
        <v>12</v>
      </c>
      <c r="N31" s="139" t="s">
        <v>136</v>
      </c>
      <c r="P31" s="117">
        <v>1</v>
      </c>
      <c r="Q31" s="117">
        <v>1</v>
      </c>
      <c r="T31" s="114">
        <v>1</v>
      </c>
      <c r="U31" s="114">
        <v>0</v>
      </c>
      <c r="V31" s="114">
        <v>0</v>
      </c>
      <c r="W31" s="114"/>
      <c r="X31" s="114">
        <v>0</v>
      </c>
      <c r="Y31" s="114">
        <v>1</v>
      </c>
      <c r="Z31" s="114"/>
      <c r="AA31" s="114">
        <v>3</v>
      </c>
      <c r="AB31" s="114">
        <f>_xlfn.IFS(AT31&gt;51,3,AT31&gt;=34,2,AT31&lt;34,1)</f>
        <v>1</v>
      </c>
      <c r="AC31" s="114">
        <f>_xlfn.IFS(AS31&lt;28,3,AS31=28-35,2,AS31&gt;35,1)</f>
        <v>3</v>
      </c>
      <c r="AD31" s="114">
        <f>_xlfn.IFS(AR31&lt;1.7,1,AR31=1.7-2.3,2,AR31&gt;2.3,3)</f>
        <v>1</v>
      </c>
      <c r="AE31" s="114">
        <f>Y31+AA31+AB31+AC31+AD31</f>
        <v>9</v>
      </c>
      <c r="AF31" s="116" t="s">
        <v>63</v>
      </c>
      <c r="AG31" s="114">
        <f>AT31/17.1</f>
        <v>1.9766081871345</v>
      </c>
      <c r="AH31" s="114">
        <f>AU31/88.4</f>
        <v>0.904977375565611</v>
      </c>
      <c r="AI31" s="114">
        <f>AR31</f>
        <v>1.3</v>
      </c>
      <c r="AJ31" s="159">
        <f>LN(IF(AG31&gt;=1,AG31,1))*3.8+LN(IF(AH31&gt;=1,AH31,1))*9.6+11.2*LN(IF(AI31&gt;=1,AI31,1))+6.4*AN31</f>
        <v>5.52773265016126</v>
      </c>
      <c r="AK31" s="160">
        <f>IF(AND(AG31&gt;0,AH31&gt;0,AI31&gt;0),AJ31,"")</f>
        <v>5.52773265016126</v>
      </c>
      <c r="AL31" s="160">
        <f>AK31+1.59*(135-AM31)</f>
        <v>5.52773265016126</v>
      </c>
      <c r="AM31" s="160">
        <f>IF(AV31&gt;135,135,IF(AV31&lt;120,120,AV31))</f>
        <v>135</v>
      </c>
      <c r="AN31" s="114">
        <v>0</v>
      </c>
      <c r="AO31" s="114">
        <f>_xlfn.IFS(AJ31&lt;15,1,AJ31=15-18,2,AJ31&gt;18,3)</f>
        <v>1</v>
      </c>
      <c r="AP31" s="114">
        <v>1.96</v>
      </c>
      <c r="AQ31" s="114">
        <v>98</v>
      </c>
      <c r="AR31" s="114">
        <v>1.3</v>
      </c>
      <c r="AS31" s="160">
        <v>23</v>
      </c>
      <c r="AT31" s="161">
        <v>33.8</v>
      </c>
      <c r="AU31" s="114">
        <v>80</v>
      </c>
      <c r="AV31" s="114">
        <v>138</v>
      </c>
      <c r="AZ31" s="119" t="s">
        <v>137</v>
      </c>
    </row>
    <row r="32" s="123" customFormat="1" spans="1:52">
      <c r="A32" s="123" t="s">
        <v>138</v>
      </c>
      <c r="B32" s="123" t="s">
        <v>53</v>
      </c>
      <c r="C32" s="123">
        <v>82</v>
      </c>
      <c r="D32" s="176">
        <v>1.62</v>
      </c>
      <c r="E32" s="123">
        <v>62</v>
      </c>
      <c r="F32" s="189">
        <f>E32/(D32*D32)</f>
        <v>23.6244474927602</v>
      </c>
      <c r="G32" s="123">
        <v>2</v>
      </c>
      <c r="H32" s="177">
        <v>43807</v>
      </c>
      <c r="I32" s="177">
        <v>43808</v>
      </c>
      <c r="J32" s="177">
        <v>43812</v>
      </c>
      <c r="K32" s="177"/>
      <c r="L32" s="178">
        <v>1</v>
      </c>
      <c r="M32" s="178">
        <f>DATEDIF(I32,J32,"D")</f>
        <v>4</v>
      </c>
      <c r="N32" s="179" t="s">
        <v>139</v>
      </c>
      <c r="S32" s="123">
        <v>1</v>
      </c>
      <c r="T32" s="114">
        <v>0</v>
      </c>
      <c r="U32" s="114">
        <v>0</v>
      </c>
      <c r="V32" s="114">
        <v>1</v>
      </c>
      <c r="W32" s="114"/>
      <c r="X32" s="114">
        <v>1</v>
      </c>
      <c r="Y32" s="114">
        <v>1</v>
      </c>
      <c r="Z32" s="114" t="s">
        <v>58</v>
      </c>
      <c r="AA32" s="114">
        <v>1</v>
      </c>
      <c r="AB32" s="114">
        <f>_xlfn.IFS(AT32&gt;51,3,AT32&gt;=34,2,AT32&lt;34,1)</f>
        <v>1</v>
      </c>
      <c r="AC32" s="114">
        <v>2</v>
      </c>
      <c r="AD32" s="114">
        <f>_xlfn.IFS(AR32&lt;1.7,1,AR32=1.7-2.3,2,AR32&gt;2.3,3)</f>
        <v>1</v>
      </c>
      <c r="AE32" s="114">
        <f>Y32+AA32+AB32+AC32+AD32</f>
        <v>6</v>
      </c>
      <c r="AF32" s="116" t="s">
        <v>59</v>
      </c>
      <c r="AG32" s="114">
        <f>AT32/17.1</f>
        <v>0.549707602339181</v>
      </c>
      <c r="AH32" s="114">
        <f>AU32/88.4</f>
        <v>2.09276018099547</v>
      </c>
      <c r="AI32" s="114">
        <f>AR32</f>
        <v>1.26</v>
      </c>
      <c r="AJ32" s="159">
        <f>LN(IF(AG32&gt;=1,AG32,1))*3.8+LN(IF(AH32&gt;=1,AH32,1))*9.6+11.2*LN(IF(AI32&gt;=1,AI32,1))+6.4*AN32</f>
        <v>16.0778962869633</v>
      </c>
      <c r="AK32" s="160">
        <f>IF(AND(AG32&gt;0,AH32&gt;0,AI32&gt;0),AJ32,"")</f>
        <v>16.0778962869633</v>
      </c>
      <c r="AL32" s="160">
        <f>AK32+1.59*(135-AM32)</f>
        <v>16.0778962869633</v>
      </c>
      <c r="AM32" s="160">
        <f>IF(AV32&gt;135,135,IF(AV32&lt;120,120,AV32))</f>
        <v>135</v>
      </c>
      <c r="AN32" s="114">
        <v>1</v>
      </c>
      <c r="AO32" s="114">
        <v>2</v>
      </c>
      <c r="AP32" s="114">
        <v>3.51</v>
      </c>
      <c r="AQ32" s="114">
        <v>71</v>
      </c>
      <c r="AR32" s="114">
        <v>1.26</v>
      </c>
      <c r="AS32" s="160">
        <v>29</v>
      </c>
      <c r="AT32" s="161">
        <v>9.4</v>
      </c>
      <c r="AU32" s="114">
        <v>185</v>
      </c>
      <c r="AV32" s="114">
        <v>137</v>
      </c>
      <c r="AZ32" s="132" t="s">
        <v>140</v>
      </c>
    </row>
    <row r="33" s="123" customFormat="1" spans="1:52">
      <c r="A33" s="123" t="s">
        <v>141</v>
      </c>
      <c r="B33" s="123" t="s">
        <v>53</v>
      </c>
      <c r="C33" s="123">
        <v>61</v>
      </c>
      <c r="D33" s="176">
        <v>1.58</v>
      </c>
      <c r="E33" s="123">
        <v>71</v>
      </c>
      <c r="F33" s="189">
        <f>E33/(D33*D33)</f>
        <v>28.4409549751642</v>
      </c>
      <c r="G33" s="123">
        <v>0</v>
      </c>
      <c r="H33" s="177">
        <v>43815</v>
      </c>
      <c r="I33" s="177">
        <v>43812</v>
      </c>
      <c r="J33" s="177">
        <v>43824</v>
      </c>
      <c r="K33" s="177"/>
      <c r="L33" s="178">
        <v>1</v>
      </c>
      <c r="M33" s="178">
        <f>DATEDIF(I33,J33,"D")</f>
        <v>12</v>
      </c>
      <c r="N33" s="179" t="s">
        <v>142</v>
      </c>
      <c r="O33" s="123">
        <v>1</v>
      </c>
      <c r="T33" s="114">
        <v>0</v>
      </c>
      <c r="U33" s="114">
        <v>0</v>
      </c>
      <c r="V33" s="114">
        <v>1</v>
      </c>
      <c r="W33" s="114"/>
      <c r="X33" s="114">
        <v>1</v>
      </c>
      <c r="Y33" s="114">
        <v>1</v>
      </c>
      <c r="Z33" s="114" t="s">
        <v>58</v>
      </c>
      <c r="AA33" s="114">
        <v>1</v>
      </c>
      <c r="AB33" s="114">
        <f>_xlfn.IFS(AT33&gt;51,3,AT33&gt;=34,2,AT33&lt;34,1)</f>
        <v>2</v>
      </c>
      <c r="AC33" s="114">
        <v>2</v>
      </c>
      <c r="AD33" s="114">
        <f>_xlfn.IFS(AR33&lt;1.7,1,AR33=1.7-2.3,2,AR33&gt;2.3,3)</f>
        <v>1</v>
      </c>
      <c r="AE33" s="114">
        <f>Y33+AA33+AB33+AC33+AD33</f>
        <v>7</v>
      </c>
      <c r="AF33" s="116" t="s">
        <v>63</v>
      </c>
      <c r="AG33" s="114">
        <f>AT33/17.1</f>
        <v>2.18713450292398</v>
      </c>
      <c r="AH33" s="114">
        <f>AU33/88.4</f>
        <v>0.565610859728507</v>
      </c>
      <c r="AI33" s="114">
        <f>AR33</f>
        <v>1.2</v>
      </c>
      <c r="AJ33" s="159">
        <f>LN(IF(AG33&gt;=1,AG33,1))*3.8+LN(IF(AH33&gt;=1,AH33,1))*9.6+11.2*LN(IF(AI33&gt;=1,AI33,1))+6.4*AN33</f>
        <v>11.4158519515574</v>
      </c>
      <c r="AK33" s="160">
        <f>IF(AND(AG33&gt;0,AH33&gt;0,AI33&gt;0),AJ33,"")</f>
        <v>11.4158519515574</v>
      </c>
      <c r="AL33" s="160">
        <f>AK33+1.59*(135-AM33)</f>
        <v>11.4158519515574</v>
      </c>
      <c r="AM33" s="160">
        <f>IF(AV33&gt;135,135,IF(AV33&lt;120,120,AV33))</f>
        <v>135</v>
      </c>
      <c r="AN33" s="114">
        <v>1</v>
      </c>
      <c r="AO33" s="114">
        <f>_xlfn.IFS(AJ33&lt;15,1,AJ33=15-18,2,AJ33&gt;18,3)</f>
        <v>1</v>
      </c>
      <c r="AP33" s="114">
        <v>3.66</v>
      </c>
      <c r="AQ33" s="114">
        <v>141</v>
      </c>
      <c r="AR33" s="114">
        <v>1.2</v>
      </c>
      <c r="AS33" s="160">
        <v>32</v>
      </c>
      <c r="AT33" s="161">
        <v>37.4</v>
      </c>
      <c r="AU33" s="114">
        <v>50</v>
      </c>
      <c r="AV33" s="114">
        <v>140</v>
      </c>
      <c r="AZ33" s="132" t="s">
        <v>143</v>
      </c>
    </row>
    <row r="34" customHeight="1" spans="1:52">
      <c r="A34" s="117" t="s">
        <v>144</v>
      </c>
      <c r="B34" s="117" t="s">
        <v>48</v>
      </c>
      <c r="C34" s="117">
        <v>29</v>
      </c>
      <c r="D34" s="135">
        <v>1.78</v>
      </c>
      <c r="E34" s="117">
        <v>75</v>
      </c>
      <c r="F34" s="136">
        <f>E34/(D34*D34)</f>
        <v>23.6712536295922</v>
      </c>
      <c r="G34" s="145">
        <v>1</v>
      </c>
      <c r="H34" s="158">
        <v>43815</v>
      </c>
      <c r="I34" s="158">
        <v>43812</v>
      </c>
      <c r="J34" s="158">
        <v>43820</v>
      </c>
      <c r="K34" s="158"/>
      <c r="L34" s="137">
        <v>1</v>
      </c>
      <c r="M34" s="137">
        <f>DATEDIF(I34,J34,"D")</f>
        <v>8</v>
      </c>
      <c r="N34" s="139" t="s">
        <v>145</v>
      </c>
      <c r="O34" s="117">
        <v>1</v>
      </c>
      <c r="T34" s="114">
        <v>1</v>
      </c>
      <c r="U34" s="114">
        <v>0</v>
      </c>
      <c r="V34" s="114">
        <v>1</v>
      </c>
      <c r="W34" s="114"/>
      <c r="X34" s="114">
        <v>1</v>
      </c>
      <c r="Y34" s="114">
        <v>1</v>
      </c>
      <c r="Z34" s="114"/>
      <c r="AA34" s="114">
        <v>2</v>
      </c>
      <c r="AB34" s="114">
        <f>_xlfn.IFS(AT34&gt;51,3,AT34&gt;=34,2,AT34&lt;34,1)</f>
        <v>1</v>
      </c>
      <c r="AC34" s="114">
        <f>_xlfn.IFS(AS34&lt;28,3,AS34=28-35,2,AS34&gt;35,1)</f>
        <v>1</v>
      </c>
      <c r="AD34" s="114">
        <f>_xlfn.IFS(AR34&lt;1.7,1,AR34=1.7-2.3,2,AR34&gt;2.3,3)</f>
        <v>1</v>
      </c>
      <c r="AE34" s="114">
        <f>Y34+AA34+AB34+AC34+AD34</f>
        <v>6</v>
      </c>
      <c r="AF34" s="116" t="s">
        <v>59</v>
      </c>
      <c r="AG34" s="114">
        <f>AT34/17.1</f>
        <v>0.333333333333333</v>
      </c>
      <c r="AH34" s="114">
        <f>AU34/88.4</f>
        <v>0.8710407239819</v>
      </c>
      <c r="AI34" s="114">
        <f>AR34</f>
        <v>1.37</v>
      </c>
      <c r="AJ34" s="159">
        <f>LN(IF(AG34&gt;=1,AG34,1))*3.8+LN(IF(AH34&gt;=1,AH34,1))*9.6+11.2*LN(IF(AI34&gt;=1,AI34,1))+6.4*AN34</f>
        <v>9.92588028620838</v>
      </c>
      <c r="AK34" s="160">
        <f>IF(AND(AG34&gt;0,AH34&gt;0,AI34&gt;0),AJ34,"")</f>
        <v>9.92588028620838</v>
      </c>
      <c r="AL34" s="160">
        <f>AK34+1.59*(135-AM34)</f>
        <v>9.92588028620838</v>
      </c>
      <c r="AM34" s="160">
        <f>IF(AV34&gt;135,135,IF(AV34&lt;120,120,AV34))</f>
        <v>135</v>
      </c>
      <c r="AN34" s="114">
        <v>1</v>
      </c>
      <c r="AO34" s="114">
        <f>_xlfn.IFS(AJ34&lt;15,1,AJ34=15-18,2,AJ34&gt;18,3)</f>
        <v>1</v>
      </c>
      <c r="AP34" s="114">
        <v>6.43</v>
      </c>
      <c r="AQ34" s="114">
        <v>98</v>
      </c>
      <c r="AR34" s="114">
        <v>1.37</v>
      </c>
      <c r="AS34" s="160">
        <v>40</v>
      </c>
      <c r="AT34" s="161">
        <v>5.7</v>
      </c>
      <c r="AU34" s="114">
        <v>77</v>
      </c>
      <c r="AV34" s="114">
        <v>138</v>
      </c>
      <c r="AZ34" s="119" t="s">
        <v>146</v>
      </c>
    </row>
    <row r="35" spans="1:52">
      <c r="A35" s="117" t="s">
        <v>147</v>
      </c>
      <c r="B35" s="117" t="s">
        <v>53</v>
      </c>
      <c r="C35" s="117">
        <v>70</v>
      </c>
      <c r="D35" s="135">
        <v>1.58</v>
      </c>
      <c r="E35" s="117">
        <v>45</v>
      </c>
      <c r="F35" s="136">
        <f>E35/(D35*D35)</f>
        <v>18.0259573786252</v>
      </c>
      <c r="G35" s="195">
        <v>2</v>
      </c>
      <c r="H35" s="158">
        <v>43815</v>
      </c>
      <c r="I35" s="158">
        <v>43813</v>
      </c>
      <c r="J35" s="158">
        <v>43822</v>
      </c>
      <c r="K35" s="158"/>
      <c r="L35" s="137">
        <v>1</v>
      </c>
      <c r="M35" s="137">
        <f>DATEDIF(I35,J35,"D")</f>
        <v>9</v>
      </c>
      <c r="N35" s="139" t="s">
        <v>148</v>
      </c>
      <c r="Q35" s="117">
        <v>1</v>
      </c>
      <c r="R35" s="117">
        <v>1</v>
      </c>
      <c r="T35" s="114">
        <v>1</v>
      </c>
      <c r="U35" s="114">
        <v>0</v>
      </c>
      <c r="V35" s="114">
        <v>1</v>
      </c>
      <c r="W35" s="114"/>
      <c r="X35" s="114">
        <v>1</v>
      </c>
      <c r="Y35" s="114">
        <v>1</v>
      </c>
      <c r="Z35" s="114"/>
      <c r="AA35" s="114">
        <v>3</v>
      </c>
      <c r="AB35" s="114">
        <f>_xlfn.IFS(AT35&gt;51,3,AT35&gt;=34,2,AT35&lt;34,1)</f>
        <v>1</v>
      </c>
      <c r="AC35" s="114">
        <v>2</v>
      </c>
      <c r="AD35" s="114">
        <f>_xlfn.IFS(AR35&lt;1.7,1,AR35=1.7-2.3,2,AR35&gt;2.3,3)</f>
        <v>1</v>
      </c>
      <c r="AE35" s="114">
        <f>Y35+AA35+AB35+AC35+AD35</f>
        <v>8</v>
      </c>
      <c r="AF35" s="116" t="s">
        <v>63</v>
      </c>
      <c r="AG35" s="114">
        <f>AT35/17.1</f>
        <v>0.818713450292398</v>
      </c>
      <c r="AH35" s="114">
        <f>AU35/88.4</f>
        <v>0.588235294117647</v>
      </c>
      <c r="AI35" s="114">
        <f>AR35</f>
        <v>1.08</v>
      </c>
      <c r="AJ35" s="159">
        <f>LN(IF(AG35&gt;=1,AG35,1))*3.8+LN(IF(AH35&gt;=1,AH35,1))*9.6+11.2*LN(IF(AI35&gt;=1,AI35,1))+6.4*AN35</f>
        <v>0.861963660724638</v>
      </c>
      <c r="AK35" s="160">
        <f>IF(AND(AG35&gt;0,AH35&gt;0,AI35&gt;0),AJ35,"")</f>
        <v>0.861963660724638</v>
      </c>
      <c r="AL35" s="160">
        <f>AK35+1.59*(135-AM35)</f>
        <v>0.861963660724638</v>
      </c>
      <c r="AM35" s="160">
        <f>IF(AV35&gt;135,135,IF(AV35&lt;120,120,AV35))</f>
        <v>135</v>
      </c>
      <c r="AN35" s="114">
        <v>0</v>
      </c>
      <c r="AO35" s="114">
        <f>_xlfn.IFS(AJ35&lt;15,1,AJ35=15-18,2,AJ35&gt;18,3)</f>
        <v>1</v>
      </c>
      <c r="AP35" s="114">
        <v>3.91</v>
      </c>
      <c r="AQ35" s="114">
        <v>96</v>
      </c>
      <c r="AR35" s="114">
        <v>1.08</v>
      </c>
      <c r="AS35" s="160">
        <v>32</v>
      </c>
      <c r="AT35" s="161">
        <v>14</v>
      </c>
      <c r="AU35" s="114">
        <v>52</v>
      </c>
      <c r="AV35" s="114">
        <v>140</v>
      </c>
      <c r="AZ35" s="119" t="s">
        <v>149</v>
      </c>
    </row>
    <row r="36" s="123" customFormat="1" customHeight="1" spans="1:52">
      <c r="A36" s="123" t="s">
        <v>150</v>
      </c>
      <c r="B36" s="123" t="s">
        <v>48</v>
      </c>
      <c r="C36" s="123">
        <v>37</v>
      </c>
      <c r="D36" s="176">
        <v>1.72</v>
      </c>
      <c r="E36" s="123">
        <v>100</v>
      </c>
      <c r="F36" s="136">
        <f>E36/(D36*D36)</f>
        <v>33.802055164954</v>
      </c>
      <c r="G36" s="123">
        <v>2</v>
      </c>
      <c r="H36" s="177">
        <v>43818</v>
      </c>
      <c r="I36" s="177">
        <v>43815</v>
      </c>
      <c r="J36" s="177">
        <v>43823</v>
      </c>
      <c r="K36" s="177"/>
      <c r="L36" s="178">
        <v>1</v>
      </c>
      <c r="M36" s="178">
        <f>DATEDIF(I36,J36,"D")</f>
        <v>8</v>
      </c>
      <c r="N36" s="179" t="s">
        <v>151</v>
      </c>
      <c r="O36" s="123">
        <v>1</v>
      </c>
      <c r="P36" s="123">
        <v>1</v>
      </c>
      <c r="T36" s="114">
        <v>1</v>
      </c>
      <c r="U36" s="114">
        <v>0</v>
      </c>
      <c r="V36" s="114">
        <v>1</v>
      </c>
      <c r="W36" s="114"/>
      <c r="X36" s="114">
        <v>1</v>
      </c>
      <c r="Y36" s="114">
        <v>1</v>
      </c>
      <c r="Z36" s="114"/>
      <c r="AA36" s="114">
        <v>3</v>
      </c>
      <c r="AB36" s="114">
        <f t="shared" ref="AB36:AB42" si="2">_xlfn.IFS(AT36&lt;34,1,AT36=34-51,2,AT36&gt;51,3)</f>
        <v>1</v>
      </c>
      <c r="AC36" s="114">
        <f>_xlfn.IFS(AS36&lt;28,3,AS36=28-35,2,AS36&gt;35,1)</f>
        <v>3</v>
      </c>
      <c r="AD36" s="114">
        <f>_xlfn.IFS(AR36&lt;1.7,1,AR36=1.7-2.3,2,AR36&gt;2.3,3)</f>
        <v>1</v>
      </c>
      <c r="AE36" s="114">
        <f>Y36+AA36+AB36+AC36+AD36</f>
        <v>9</v>
      </c>
      <c r="AF36" s="116" t="s">
        <v>63</v>
      </c>
      <c r="AG36" s="114">
        <f>AT36/17.1</f>
        <v>0.345029239766082</v>
      </c>
      <c r="AH36" s="114">
        <f>AU36/88.4</f>
        <v>1.79864253393665</v>
      </c>
      <c r="AI36" s="114">
        <f>AR36</f>
        <v>1.24</v>
      </c>
      <c r="AJ36" s="159">
        <f>LN(IF(AG36&gt;=1,AG36,1))*3.8+LN(IF(AH36&gt;=1,AH36,1))*9.6+11.2*LN(IF(AI36&gt;=1,AI36,1))+6.4*AN36</f>
        <v>8.04475688444547</v>
      </c>
      <c r="AK36" s="160">
        <f>IF(AND(AG36&gt;0,AH36&gt;0,AI36&gt;0),AJ36,"")</f>
        <v>8.04475688444547</v>
      </c>
      <c r="AL36" s="160">
        <f>AK36+1.59*(135-AM36)</f>
        <v>8.04475688444547</v>
      </c>
      <c r="AM36" s="160">
        <f>IF(AV36&gt;135,135,IF(AV36&lt;120,120,AV36))</f>
        <v>135</v>
      </c>
      <c r="AN36" s="114">
        <v>0</v>
      </c>
      <c r="AO36" s="114">
        <f>_xlfn.IFS(AJ36&lt;15,1,AJ36=15-18,2,AJ36&gt;18,3)</f>
        <v>1</v>
      </c>
      <c r="AP36" s="114">
        <v>5.86</v>
      </c>
      <c r="AQ36" s="114">
        <v>80</v>
      </c>
      <c r="AR36" s="114">
        <v>1.24</v>
      </c>
      <c r="AS36" s="160">
        <v>17</v>
      </c>
      <c r="AT36" s="161">
        <v>5.9</v>
      </c>
      <c r="AU36" s="114">
        <v>159</v>
      </c>
      <c r="AV36" s="114">
        <v>138</v>
      </c>
      <c r="AZ36" s="132" t="s">
        <v>152</v>
      </c>
    </row>
    <row r="37" customHeight="1" spans="1:52">
      <c r="A37" s="117" t="s">
        <v>153</v>
      </c>
      <c r="B37" s="117" t="s">
        <v>48</v>
      </c>
      <c r="C37" s="117">
        <v>62</v>
      </c>
      <c r="D37" s="135">
        <v>1.65</v>
      </c>
      <c r="G37" s="195">
        <v>6</v>
      </c>
      <c r="H37" s="158">
        <v>43818</v>
      </c>
      <c r="I37" s="158">
        <v>43818</v>
      </c>
      <c r="J37" s="158">
        <v>43834</v>
      </c>
      <c r="K37" s="158"/>
      <c r="L37" s="137">
        <v>1</v>
      </c>
      <c r="M37" s="137">
        <f>DATEDIF(I37,J37,"D")</f>
        <v>16</v>
      </c>
      <c r="N37" s="139" t="s">
        <v>154</v>
      </c>
      <c r="P37" s="117">
        <v>1</v>
      </c>
      <c r="T37" s="114">
        <v>1</v>
      </c>
      <c r="U37" s="114">
        <v>0</v>
      </c>
      <c r="V37" s="114">
        <v>1</v>
      </c>
      <c r="W37" s="114"/>
      <c r="X37" s="114">
        <v>1</v>
      </c>
      <c r="Y37" s="114">
        <v>1</v>
      </c>
      <c r="Z37" s="114"/>
      <c r="AA37" s="114">
        <v>3</v>
      </c>
      <c r="AB37" s="114">
        <f t="shared" si="2"/>
        <v>1</v>
      </c>
      <c r="AC37" s="114">
        <f>_xlfn.IFS(AS37&lt;28,3,AS37=28-35,2,AS37&gt;35,1)</f>
        <v>3</v>
      </c>
      <c r="AD37" s="114">
        <f>_xlfn.IFS(AR37&lt;1.7,1,AR37=1.7-2.3,2,AR37&gt;2.3,3)</f>
        <v>1</v>
      </c>
      <c r="AE37" s="114">
        <f>Y37+AA37+AB37+AC37+AD37</f>
        <v>9</v>
      </c>
      <c r="AF37" s="116" t="s">
        <v>63</v>
      </c>
      <c r="AG37" s="114">
        <f>AT37/17.1</f>
        <v>0.707602339181286</v>
      </c>
      <c r="AH37" s="114">
        <f>AU37/88.4</f>
        <v>0.938914027149321</v>
      </c>
      <c r="AI37" s="114">
        <f>AR37</f>
        <v>1.3</v>
      </c>
      <c r="AJ37" s="159">
        <f>LN(IF(AG37&gt;=1,AG37,1))*3.8+LN(IF(AH37&gt;=1,AH37,1))*9.6+11.2*LN(IF(AI37&gt;=1,AI37,1))+6.4*AN37</f>
        <v>2.9384797620359</v>
      </c>
      <c r="AK37" s="160">
        <f>IF(AND(AG37&gt;0,AH37&gt;0,AI37&gt;0),AJ37,"")</f>
        <v>2.9384797620359</v>
      </c>
      <c r="AL37" s="160">
        <f>AK37+1.59*(135-AM37)</f>
        <v>26.7884797620359</v>
      </c>
      <c r="AM37" s="160">
        <f>IF(AV37&gt;135,135,IF(AV37&lt;120,120,AV37))</f>
        <v>120</v>
      </c>
      <c r="AN37" s="114">
        <v>0</v>
      </c>
      <c r="AO37" s="114">
        <f>_xlfn.IFS(AJ37&lt;15,1,AJ37=15-18,2,AJ37&gt;18,3)</f>
        <v>1</v>
      </c>
      <c r="AP37" s="114">
        <v>2.2</v>
      </c>
      <c r="AQ37" s="114">
        <v>80</v>
      </c>
      <c r="AR37" s="114">
        <v>1.3</v>
      </c>
      <c r="AS37" s="160">
        <v>27</v>
      </c>
      <c r="AT37" s="161">
        <v>12.1</v>
      </c>
      <c r="AU37" s="114">
        <v>83</v>
      </c>
      <c r="AV37" s="114">
        <v>112</v>
      </c>
      <c r="AZ37" s="119" t="s">
        <v>155</v>
      </c>
    </row>
    <row r="38" spans="1:52">
      <c r="A38" s="117" t="s">
        <v>130</v>
      </c>
      <c r="B38" s="117" t="s">
        <v>53</v>
      </c>
      <c r="C38" s="117">
        <v>50</v>
      </c>
      <c r="D38" s="135">
        <v>1.66</v>
      </c>
      <c r="E38" s="117">
        <v>67</v>
      </c>
      <c r="F38" s="136">
        <f>E38/(D38*D38)</f>
        <v>24.3141239657425</v>
      </c>
      <c r="G38" s="146">
        <v>0</v>
      </c>
      <c r="H38" s="158">
        <v>43826</v>
      </c>
      <c r="I38" s="158">
        <v>43825</v>
      </c>
      <c r="J38" s="158">
        <v>43844</v>
      </c>
      <c r="K38" s="158"/>
      <c r="L38" s="137">
        <v>2</v>
      </c>
      <c r="M38" s="138">
        <v>19</v>
      </c>
      <c r="N38" s="139" t="s">
        <v>156</v>
      </c>
      <c r="S38" s="117">
        <v>1</v>
      </c>
      <c r="T38" s="114">
        <v>0</v>
      </c>
      <c r="U38" s="114">
        <v>0</v>
      </c>
      <c r="V38" s="114">
        <v>0</v>
      </c>
      <c r="W38" s="114"/>
      <c r="X38" s="114">
        <v>1</v>
      </c>
      <c r="Y38" s="114">
        <v>1</v>
      </c>
      <c r="Z38" s="114" t="s">
        <v>58</v>
      </c>
      <c r="AA38" s="114">
        <v>1</v>
      </c>
      <c r="AB38" s="114">
        <f t="shared" si="2"/>
        <v>1</v>
      </c>
      <c r="AC38" s="114">
        <f>_xlfn.IFS(AS38&lt;28,3,AS38=28-35,2,AS38&gt;35,1)</f>
        <v>1</v>
      </c>
      <c r="AD38" s="114">
        <f>_xlfn.IFS(AR38&lt;1.7,1,AR38=1.7-2.3,2,AR38&gt;2.3,3)</f>
        <v>1</v>
      </c>
      <c r="AE38" s="114">
        <f>Y38+AA38+AB38+AC38+AD38</f>
        <v>5</v>
      </c>
      <c r="AF38" s="116" t="s">
        <v>59</v>
      </c>
      <c r="AG38" s="114">
        <f>AT38/17.1</f>
        <v>0.485380116959064</v>
      </c>
      <c r="AH38" s="114">
        <f>AU38/88.4</f>
        <v>0.576923076923077</v>
      </c>
      <c r="AI38" s="114">
        <f>AR38</f>
        <v>1.15</v>
      </c>
      <c r="AJ38" s="159">
        <f>LN(IF(AG38&gt;=1,AG38,1))*3.8+LN(IF(AH38&gt;=1,AH38,1))*9.6+11.2*LN(IF(AI38&gt;=1,AI38,1))+6.4*AN38</f>
        <v>7.96533375460178</v>
      </c>
      <c r="AK38" s="160">
        <f>IF(AND(AG38&gt;0,AH38&gt;0,AI38&gt;0),AJ38,"")</f>
        <v>7.96533375460178</v>
      </c>
      <c r="AL38" s="160">
        <f>AK38+1.59*(135-AM38)</f>
        <v>7.96533375460178</v>
      </c>
      <c r="AM38" s="160">
        <f>IF(AV38&gt;135,135,IF(AV38&lt;120,120,AV38))</f>
        <v>135</v>
      </c>
      <c r="AN38" s="114">
        <v>1</v>
      </c>
      <c r="AO38" s="114">
        <f>_xlfn.IFS(AJ38&lt;15,1,AJ38=15-18,2,AJ38&gt;18,3)</f>
        <v>1</v>
      </c>
      <c r="AP38" s="114">
        <v>1.72</v>
      </c>
      <c r="AQ38" s="114">
        <v>90</v>
      </c>
      <c r="AR38" s="114">
        <v>1.15</v>
      </c>
      <c r="AS38" s="160">
        <v>39</v>
      </c>
      <c r="AT38" s="161">
        <v>8.3</v>
      </c>
      <c r="AU38" s="114">
        <v>51</v>
      </c>
      <c r="AV38" s="114">
        <v>143</v>
      </c>
      <c r="AZ38" s="119" t="s">
        <v>157</v>
      </c>
    </row>
    <row r="39" s="123" customFormat="1" spans="1:52">
      <c r="A39" s="123" t="s">
        <v>121</v>
      </c>
      <c r="B39" s="123" t="s">
        <v>53</v>
      </c>
      <c r="C39" s="123">
        <v>68</v>
      </c>
      <c r="D39" s="176">
        <v>1.65</v>
      </c>
      <c r="E39" s="123">
        <v>63</v>
      </c>
      <c r="F39" s="189">
        <f>E39/(D39*D39)</f>
        <v>23.1404958677686</v>
      </c>
      <c r="G39" s="123">
        <v>0</v>
      </c>
      <c r="H39" s="177">
        <v>43826</v>
      </c>
      <c r="I39" s="177">
        <v>43822</v>
      </c>
      <c r="J39" s="177">
        <v>43832</v>
      </c>
      <c r="K39" s="177"/>
      <c r="L39" s="178">
        <v>2</v>
      </c>
      <c r="M39" s="178">
        <f>DATEDIF(I39,J39,"D")</f>
        <v>10</v>
      </c>
      <c r="N39" s="179" t="s">
        <v>122</v>
      </c>
      <c r="Q39" s="123">
        <v>1</v>
      </c>
      <c r="T39" s="114">
        <v>0</v>
      </c>
      <c r="U39" s="114">
        <v>0</v>
      </c>
      <c r="V39" s="114">
        <v>1</v>
      </c>
      <c r="W39" s="114"/>
      <c r="X39" s="114">
        <v>1</v>
      </c>
      <c r="Y39" s="114">
        <v>1</v>
      </c>
      <c r="Z39" s="114" t="s">
        <v>58</v>
      </c>
      <c r="AA39" s="114">
        <v>1</v>
      </c>
      <c r="AB39" s="114">
        <f t="shared" si="2"/>
        <v>1</v>
      </c>
      <c r="AC39" s="114">
        <v>2</v>
      </c>
      <c r="AD39" s="114">
        <v>1</v>
      </c>
      <c r="AE39" s="114">
        <f>Y39+AA39+AB39+AC39+AD39</f>
        <v>6</v>
      </c>
      <c r="AF39" s="116" t="s">
        <v>59</v>
      </c>
      <c r="AG39" s="114">
        <f>AT39/17.1</f>
        <v>0.614035087719298</v>
      </c>
      <c r="AH39" s="114">
        <f>AU39/88.4</f>
        <v>0.418552036199095</v>
      </c>
      <c r="AI39" s="114">
        <f>AR39</f>
        <v>0.95</v>
      </c>
      <c r="AJ39" s="159">
        <f>LN(IF(AG39&gt;=1,AG39,1))*3.8+LN(IF(AH39&gt;=1,AH39,1))*9.6+11.2*LN(IF(AI39&gt;=1,AI39,1))+6.4*AN39</f>
        <v>6.4</v>
      </c>
      <c r="AK39" s="160">
        <f>IF(AND(AG39&gt;0,AH39&gt;0,AI39&gt;0),AJ39,"")</f>
        <v>6.4</v>
      </c>
      <c r="AL39" s="160">
        <f>AK39+1.59*(135-AM39)</f>
        <v>6.4</v>
      </c>
      <c r="AM39" s="160">
        <f>IF(AV39&gt;135,135,IF(AV39&lt;120,120,AV39))</f>
        <v>135</v>
      </c>
      <c r="AN39" s="114">
        <v>1</v>
      </c>
      <c r="AO39" s="114">
        <f>_xlfn.IFS(AJ39&lt;15,1,AJ39=15-18,2,AJ39&gt;18,3)</f>
        <v>1</v>
      </c>
      <c r="AP39" s="114">
        <v>2.63</v>
      </c>
      <c r="AQ39" s="114">
        <v>88</v>
      </c>
      <c r="AR39" s="114">
        <v>0.95</v>
      </c>
      <c r="AS39" s="160">
        <v>31</v>
      </c>
      <c r="AT39" s="161">
        <v>10.5</v>
      </c>
      <c r="AU39" s="114">
        <v>37</v>
      </c>
      <c r="AV39" s="114">
        <v>141</v>
      </c>
      <c r="AZ39" s="132" t="s">
        <v>58</v>
      </c>
    </row>
    <row r="40" s="126" customFormat="1" customHeight="1" spans="1:52">
      <c r="A40" s="126" t="s">
        <v>158</v>
      </c>
      <c r="B40" s="126" t="s">
        <v>48</v>
      </c>
      <c r="C40" s="126">
        <v>53</v>
      </c>
      <c r="D40" s="190">
        <v>1.62</v>
      </c>
      <c r="E40" s="126">
        <v>55</v>
      </c>
      <c r="F40" s="136">
        <f>E40/(D40*D40)</f>
        <v>20.9571711629325</v>
      </c>
      <c r="G40" s="126">
        <v>6</v>
      </c>
      <c r="H40" s="191">
        <v>43841</v>
      </c>
      <c r="I40" s="191">
        <v>43807</v>
      </c>
      <c r="J40" s="191">
        <v>43841</v>
      </c>
      <c r="K40" s="191"/>
      <c r="L40" s="192">
        <v>1</v>
      </c>
      <c r="M40" s="138">
        <v>34</v>
      </c>
      <c r="N40" s="193" t="s">
        <v>159</v>
      </c>
      <c r="S40" s="126">
        <v>1</v>
      </c>
      <c r="T40" s="114">
        <v>1</v>
      </c>
      <c r="U40" s="114">
        <v>0</v>
      </c>
      <c r="V40" s="114">
        <v>1</v>
      </c>
      <c r="W40" s="114">
        <v>1</v>
      </c>
      <c r="X40" s="114">
        <v>1</v>
      </c>
      <c r="Y40" s="114">
        <v>1</v>
      </c>
      <c r="Z40" s="114"/>
      <c r="AA40" s="114">
        <v>3</v>
      </c>
      <c r="AB40" s="114">
        <f t="shared" si="2"/>
        <v>3</v>
      </c>
      <c r="AC40" s="114">
        <v>2</v>
      </c>
      <c r="AD40" s="114">
        <f>_xlfn.IFS(AR40&lt;1.7,1,AR40=1.7-2.3,2,AR40&gt;2.3,3)</f>
        <v>1</v>
      </c>
      <c r="AE40" s="114">
        <f>Y40+AA40+AB40+AC40+AD40</f>
        <v>10</v>
      </c>
      <c r="AF40" s="116" t="s">
        <v>50</v>
      </c>
      <c r="AG40" s="114">
        <f>AT40/17.1</f>
        <v>3.1578947368421</v>
      </c>
      <c r="AH40" s="114">
        <f>AU40/88.4</f>
        <v>0.995475113122172</v>
      </c>
      <c r="AI40" s="114">
        <f>AR40</f>
        <v>1.63</v>
      </c>
      <c r="AJ40" s="159">
        <f>LN(IF(AG40&gt;=1,AG40,1))*3.8+LN(IF(AH40&gt;=1,AH40,1))*9.6+11.2*LN(IF(AI40&gt;=1,AI40,1))+6.4*AN40</f>
        <v>16.2417373815806</v>
      </c>
      <c r="AK40" s="160">
        <f>IF(AND(AG40&gt;0,AH40&gt;0,AI40&gt;0),AJ40,"")</f>
        <v>16.2417373815806</v>
      </c>
      <c r="AL40" s="160">
        <f>AK40+1.59*(135-AM40)</f>
        <v>16.2417373815806</v>
      </c>
      <c r="AM40" s="160">
        <f>IF(AV40&gt;135,135,IF(AV40&lt;120,120,AV40))</f>
        <v>135</v>
      </c>
      <c r="AN40" s="114">
        <v>1</v>
      </c>
      <c r="AO40" s="114">
        <v>2</v>
      </c>
      <c r="AP40" s="114">
        <v>10.31</v>
      </c>
      <c r="AQ40" s="114">
        <v>164</v>
      </c>
      <c r="AR40" s="114">
        <v>1.63</v>
      </c>
      <c r="AS40" s="160">
        <v>35</v>
      </c>
      <c r="AT40" s="161">
        <v>54</v>
      </c>
      <c r="AU40" s="114">
        <v>88</v>
      </c>
      <c r="AV40" s="114">
        <v>138</v>
      </c>
      <c r="AZ40" s="194" t="s">
        <v>58</v>
      </c>
    </row>
    <row r="41" customHeight="1" spans="1:52">
      <c r="A41" s="117" t="s">
        <v>160</v>
      </c>
      <c r="B41" s="117" t="s">
        <v>48</v>
      </c>
      <c r="C41" s="117">
        <v>72</v>
      </c>
      <c r="D41" s="135">
        <v>1.74</v>
      </c>
      <c r="E41" s="117">
        <v>80</v>
      </c>
      <c r="F41" s="136">
        <v>26.42</v>
      </c>
      <c r="G41" s="117">
        <v>6</v>
      </c>
      <c r="H41" s="158">
        <v>43845</v>
      </c>
      <c r="I41" s="158">
        <v>43827</v>
      </c>
      <c r="J41" s="158">
        <v>43845</v>
      </c>
      <c r="K41" s="210"/>
      <c r="L41" s="137">
        <v>1</v>
      </c>
      <c r="M41" s="138">
        <v>18</v>
      </c>
      <c r="N41" s="139" t="s">
        <v>161</v>
      </c>
      <c r="P41" s="117">
        <v>1</v>
      </c>
      <c r="T41" s="114">
        <v>1</v>
      </c>
      <c r="U41" s="114">
        <v>0</v>
      </c>
      <c r="V41" s="114">
        <v>1</v>
      </c>
      <c r="W41" s="114"/>
      <c r="X41" s="114">
        <v>1</v>
      </c>
      <c r="Y41" s="114">
        <v>1</v>
      </c>
      <c r="Z41" s="114"/>
      <c r="AA41" s="114">
        <v>2</v>
      </c>
      <c r="AB41" s="114">
        <f t="shared" si="2"/>
        <v>1</v>
      </c>
      <c r="AC41" s="114">
        <v>2</v>
      </c>
      <c r="AD41" s="114">
        <f>_xlfn.IFS(AR41&lt;1.7,1,AR41=1.7-2.3,2,AR41&gt;2.3,3)</f>
        <v>1</v>
      </c>
      <c r="AE41" s="114">
        <f>Y41+AA41+AB41+AC41+AD41</f>
        <v>7</v>
      </c>
      <c r="AF41" s="116" t="s">
        <v>63</v>
      </c>
      <c r="AG41" s="114">
        <f>AT41/17.1</f>
        <v>0.736842105263158</v>
      </c>
      <c r="AH41" s="114">
        <f>AU41/88.4</f>
        <v>0.791855203619909</v>
      </c>
      <c r="AI41" s="114">
        <f>AR41</f>
        <v>1.33</v>
      </c>
      <c r="AJ41" s="159">
        <f>LN(IF(AG41&gt;=1,AG41,1))*3.8+LN(IF(AH41&gt;=1,AH41,1))*9.6+11.2*LN(IF(AI41&gt;=1,AI41,1))+6.4*AN41</f>
        <v>3.19400415301702</v>
      </c>
      <c r="AK41" s="160">
        <f>IF(AND(AG41&gt;0,AH41&gt;0,AI41&gt;0),AJ41,"")</f>
        <v>3.19400415301702</v>
      </c>
      <c r="AL41" s="160">
        <f>AK41+1.59*(135-AM41)</f>
        <v>3.19400415301702</v>
      </c>
      <c r="AM41" s="160">
        <f>IF(AV41&gt;135,135,IF(AV41&lt;120,120,AV41))</f>
        <v>135</v>
      </c>
      <c r="AN41" s="114">
        <v>0</v>
      </c>
      <c r="AO41" s="114">
        <f>_xlfn.IFS(AJ41&lt;15,1,AJ41=15-18,2,AJ41&gt;18,3)</f>
        <v>1</v>
      </c>
      <c r="AP41" s="114">
        <v>4.86</v>
      </c>
      <c r="AQ41" s="114">
        <v>85</v>
      </c>
      <c r="AR41" s="114">
        <v>1.33</v>
      </c>
      <c r="AS41" s="160">
        <v>30</v>
      </c>
      <c r="AT41" s="161">
        <v>12.6</v>
      </c>
      <c r="AU41" s="114">
        <v>70</v>
      </c>
      <c r="AV41" s="114">
        <v>142</v>
      </c>
      <c r="AZ41" s="119" t="s">
        <v>162</v>
      </c>
    </row>
    <row r="42" spans="1:52">
      <c r="A42" s="117" t="s">
        <v>163</v>
      </c>
      <c r="B42" s="117" t="s">
        <v>53</v>
      </c>
      <c r="C42" s="117">
        <v>62</v>
      </c>
      <c r="D42" s="135">
        <v>1.55</v>
      </c>
      <c r="E42" s="117">
        <v>56</v>
      </c>
      <c r="F42" s="136">
        <f>E42/(D42*D42)</f>
        <v>23.309053069719</v>
      </c>
      <c r="G42" s="195">
        <v>4</v>
      </c>
      <c r="H42" s="158">
        <v>43836</v>
      </c>
      <c r="I42" s="158">
        <v>43836</v>
      </c>
      <c r="J42" s="158">
        <v>43858</v>
      </c>
      <c r="K42" s="158"/>
      <c r="L42" s="137">
        <v>1</v>
      </c>
      <c r="M42" s="137">
        <v>22</v>
      </c>
      <c r="N42" s="139" t="s">
        <v>164</v>
      </c>
      <c r="Q42" s="117">
        <v>1</v>
      </c>
      <c r="R42" s="117">
        <v>1</v>
      </c>
      <c r="T42" s="114">
        <v>0</v>
      </c>
      <c r="U42" s="114">
        <v>0</v>
      </c>
      <c r="V42" s="114">
        <v>1</v>
      </c>
      <c r="W42" s="114"/>
      <c r="X42" s="114">
        <v>1</v>
      </c>
      <c r="Y42" s="114">
        <v>1</v>
      </c>
      <c r="Z42" s="114" t="s">
        <v>58</v>
      </c>
      <c r="AA42" s="114">
        <v>1</v>
      </c>
      <c r="AB42" s="114">
        <v>1</v>
      </c>
      <c r="AC42" s="114">
        <v>2</v>
      </c>
      <c r="AD42" s="114">
        <f>_xlfn.IFS(AR42&lt;1.7,1,AR42=1.7-2.3,2,AR42&gt;2.3,3)</f>
        <v>1</v>
      </c>
      <c r="AE42" s="114">
        <f>Y42+AA42+AB42+AC42+AD42</f>
        <v>6</v>
      </c>
      <c r="AF42" s="116" t="s">
        <v>59</v>
      </c>
      <c r="AG42" s="114">
        <f t="shared" ref="AG42:AG54" si="3">AT42/17.1</f>
        <v>2.89473684210526</v>
      </c>
      <c r="AH42" s="114">
        <f t="shared" ref="AH42:AH54" si="4">AU42/88.4</f>
        <v>0.452488687782805</v>
      </c>
      <c r="AI42" s="114">
        <f t="shared" ref="AI42:AI54" si="5">AR42</f>
        <v>1.09</v>
      </c>
      <c r="AJ42" s="159">
        <f>LN(IF(AG42&gt;=1,AG42,1))*3.8+LN(IF(AH42&gt;=1,AH42,1))*9.6+11.2*LN(IF(AI42&gt;=1,AI42,1))+6.4*AN42</f>
        <v>5.0041881809507</v>
      </c>
      <c r="AK42" s="160">
        <f>IF(AND(AG42&gt;0,AH42&gt;0,AI42&gt;0),AJ42,"")</f>
        <v>5.0041881809507</v>
      </c>
      <c r="AL42" s="160">
        <f>AK42+1.59*(135-AM42)</f>
        <v>5.0041881809507</v>
      </c>
      <c r="AM42" s="160">
        <f>IF(AV42&gt;135,135,IF(AV42&lt;120,120,AV42))</f>
        <v>135</v>
      </c>
      <c r="AN42" s="114">
        <v>0</v>
      </c>
      <c r="AO42" s="114">
        <v>1</v>
      </c>
      <c r="AP42" s="114">
        <v>3.45</v>
      </c>
      <c r="AQ42" s="114">
        <v>118</v>
      </c>
      <c r="AR42" s="114">
        <v>1.09</v>
      </c>
      <c r="AS42" s="160">
        <v>28</v>
      </c>
      <c r="AT42" s="161">
        <v>49.5</v>
      </c>
      <c r="AU42" s="114">
        <v>40</v>
      </c>
      <c r="AV42" s="114">
        <v>140</v>
      </c>
      <c r="AZ42" s="119" t="s">
        <v>165</v>
      </c>
    </row>
    <row r="43" s="123" customFormat="1" customHeight="1" spans="1:52">
      <c r="A43" s="123" t="s">
        <v>166</v>
      </c>
      <c r="B43" s="123" t="s">
        <v>48</v>
      </c>
      <c r="C43" s="123">
        <v>70</v>
      </c>
      <c r="D43" s="176">
        <v>1.74</v>
      </c>
      <c r="E43" s="123">
        <v>90</v>
      </c>
      <c r="F43" s="189">
        <f>E43/(D43*D43)</f>
        <v>29.7265160523187</v>
      </c>
      <c r="G43" s="123">
        <v>0</v>
      </c>
      <c r="H43" s="177">
        <v>43843</v>
      </c>
      <c r="I43" s="177">
        <v>43832</v>
      </c>
      <c r="J43" s="177">
        <v>43843</v>
      </c>
      <c r="K43" s="177"/>
      <c r="L43" s="178">
        <v>3</v>
      </c>
      <c r="M43" s="178">
        <v>11</v>
      </c>
      <c r="N43" s="179" t="s">
        <v>167</v>
      </c>
      <c r="S43" s="123">
        <v>1</v>
      </c>
      <c r="T43" s="114">
        <v>0</v>
      </c>
      <c r="U43" s="114">
        <v>0</v>
      </c>
      <c r="V43" s="114">
        <v>1</v>
      </c>
      <c r="W43" s="114"/>
      <c r="X43" s="114">
        <v>1</v>
      </c>
      <c r="Y43" s="114">
        <v>1</v>
      </c>
      <c r="Z43" s="114" t="s">
        <v>58</v>
      </c>
      <c r="AA43" s="114">
        <v>1</v>
      </c>
      <c r="AB43" s="114">
        <f>_xlfn.IFS(AT43&lt;34,1,AT43=34-51,2,AT43&gt;51,3)</f>
        <v>1</v>
      </c>
      <c r="AC43" s="114">
        <v>2</v>
      </c>
      <c r="AD43" s="114">
        <v>1</v>
      </c>
      <c r="AE43" s="114">
        <f>Y43+AA43+AB43+AC43+AD43</f>
        <v>6</v>
      </c>
      <c r="AF43" s="116" t="s">
        <v>59</v>
      </c>
      <c r="AG43" s="114">
        <f t="shared" si="3"/>
        <v>0.719298245614035</v>
      </c>
      <c r="AH43" s="114">
        <f t="shared" si="4"/>
        <v>0.916289592760181</v>
      </c>
      <c r="AI43" s="114">
        <f t="shared" si="5"/>
        <v>1.17</v>
      </c>
      <c r="AJ43" s="159">
        <f>LN(IF(AG43&gt;=1,AG43,1))*3.8+LN(IF(AH43&gt;=1,AH43,1))*9.6+11.2*LN(IF(AI43&gt;=1,AI43,1))+6.4*AN43</f>
        <v>8.15844198666824</v>
      </c>
      <c r="AK43" s="160">
        <f>IF(AND(AG43&gt;0,AH43&gt;0,AI43&gt;0),AJ43,"")</f>
        <v>8.15844198666824</v>
      </c>
      <c r="AL43" s="160">
        <f>AK43+1.59*(135-AM43)</f>
        <v>8.15844198666824</v>
      </c>
      <c r="AM43" s="160">
        <f>IF(AV43&gt;135,135,IF(AV43&lt;120,120,AV43))</f>
        <v>135</v>
      </c>
      <c r="AN43" s="114">
        <v>1</v>
      </c>
      <c r="AO43" s="114">
        <f>_xlfn.IFS(AJ43&lt;15,1,AJ43=15-18,2,AJ43&gt;18,3)</f>
        <v>1</v>
      </c>
      <c r="AP43" s="114">
        <v>5.67</v>
      </c>
      <c r="AQ43" s="114">
        <v>114</v>
      </c>
      <c r="AR43" s="114">
        <v>1.17</v>
      </c>
      <c r="AS43" s="160">
        <v>32</v>
      </c>
      <c r="AT43" s="161">
        <v>12.3</v>
      </c>
      <c r="AU43" s="114">
        <v>81</v>
      </c>
      <c r="AV43" s="114">
        <v>138</v>
      </c>
      <c r="AZ43" s="132" t="s">
        <v>168</v>
      </c>
    </row>
    <row r="44" s="122" customFormat="1" spans="1:52">
      <c r="A44" s="122" t="s">
        <v>169</v>
      </c>
      <c r="B44" s="122" t="s">
        <v>53</v>
      </c>
      <c r="C44" s="122">
        <v>66</v>
      </c>
      <c r="D44" s="171">
        <v>1.6</v>
      </c>
      <c r="E44" s="122">
        <v>65</v>
      </c>
      <c r="F44" s="136">
        <f>E44/(D44*D44)</f>
        <v>25.390625</v>
      </c>
      <c r="G44" s="122">
        <v>0</v>
      </c>
      <c r="H44" s="172">
        <v>43843</v>
      </c>
      <c r="I44" s="172">
        <v>43832</v>
      </c>
      <c r="J44" s="172">
        <v>43843</v>
      </c>
      <c r="K44" s="172"/>
      <c r="L44" s="173">
        <v>1</v>
      </c>
      <c r="M44" s="173">
        <v>11</v>
      </c>
      <c r="N44" s="174" t="s">
        <v>170</v>
      </c>
      <c r="O44" s="114"/>
      <c r="P44" s="114"/>
      <c r="Q44" s="114">
        <v>1</v>
      </c>
      <c r="R44" s="114">
        <v>1</v>
      </c>
      <c r="S44" s="117"/>
      <c r="T44" s="114">
        <v>0</v>
      </c>
      <c r="U44" s="114">
        <v>0</v>
      </c>
      <c r="V44" s="114">
        <v>1</v>
      </c>
      <c r="W44" s="114"/>
      <c r="X44" s="114">
        <v>1</v>
      </c>
      <c r="Y44" s="114">
        <v>1</v>
      </c>
      <c r="Z44" s="114" t="s">
        <v>58</v>
      </c>
      <c r="AA44" s="114">
        <v>1</v>
      </c>
      <c r="AB44" s="114">
        <f>_xlfn.IFS(AT44&lt;34,1,AT44=34-51,2,AT44&gt;51,3)</f>
        <v>1</v>
      </c>
      <c r="AC44" s="114">
        <v>2</v>
      </c>
      <c r="AD44" s="114">
        <f>_xlfn.IFS(AR44&lt;1.7,1,AR44=1.7-2.3,2,AR44&gt;2.3,3)</f>
        <v>1</v>
      </c>
      <c r="AE44" s="114">
        <f>Y44+AA44+AB44+AC44+AD44</f>
        <v>6</v>
      </c>
      <c r="AF44" s="116" t="s">
        <v>59</v>
      </c>
      <c r="AG44" s="114">
        <f t="shared" si="3"/>
        <v>0.701754385964912</v>
      </c>
      <c r="AH44" s="114">
        <f t="shared" si="4"/>
        <v>0.509049773755656</v>
      </c>
      <c r="AI44" s="114">
        <f t="shared" si="5"/>
        <v>1.19</v>
      </c>
      <c r="AJ44" s="159">
        <f>LN(IF(AG44&gt;=1,AG44,1))*3.8+LN(IF(AH44&gt;=1,AH44,1))*9.6+11.2*LN(IF(AI44&gt;=1,AI44,1))+6.4*AN44</f>
        <v>1.94827703978251</v>
      </c>
      <c r="AK44" s="160">
        <f>IF(AND(AG44&gt;0,AH44&gt;0,AI44&gt;0),AJ44,"")</f>
        <v>1.94827703978251</v>
      </c>
      <c r="AL44" s="160">
        <f>AK44+1.59*(135-AM44)</f>
        <v>1.94827703978251</v>
      </c>
      <c r="AM44" s="160">
        <f>IF(AV44&gt;135,135,IF(AV44&lt;120,120,AV44))</f>
        <v>135</v>
      </c>
      <c r="AN44" s="114">
        <v>0</v>
      </c>
      <c r="AO44" s="114">
        <v>1</v>
      </c>
      <c r="AP44" s="114">
        <v>4.69</v>
      </c>
      <c r="AQ44" s="114">
        <v>89</v>
      </c>
      <c r="AR44" s="114">
        <v>1.19</v>
      </c>
      <c r="AS44" s="160">
        <v>28</v>
      </c>
      <c r="AT44" s="161">
        <v>12</v>
      </c>
      <c r="AU44" s="114">
        <v>45</v>
      </c>
      <c r="AV44" s="114">
        <v>149</v>
      </c>
      <c r="AZ44" s="175" t="s">
        <v>171</v>
      </c>
    </row>
    <row r="45" s="126" customFormat="1" spans="1:52">
      <c r="A45" s="126" t="s">
        <v>85</v>
      </c>
      <c r="B45" s="126" t="s">
        <v>53</v>
      </c>
      <c r="C45" s="126">
        <v>38</v>
      </c>
      <c r="D45" s="190">
        <v>1.62</v>
      </c>
      <c r="E45" s="126">
        <v>84</v>
      </c>
      <c r="F45" s="136">
        <f>E45/(D45*D45)</f>
        <v>32.0073159579332</v>
      </c>
      <c r="G45" s="126">
        <v>0</v>
      </c>
      <c r="H45" s="191">
        <v>43804</v>
      </c>
      <c r="I45" s="191">
        <v>43792</v>
      </c>
      <c r="J45" s="191">
        <v>43804</v>
      </c>
      <c r="K45" s="191"/>
      <c r="L45" s="192">
        <v>2</v>
      </c>
      <c r="M45" s="138">
        <f>DATEDIF(I45,J45,"D")</f>
        <v>12</v>
      </c>
      <c r="N45" s="193" t="s">
        <v>172</v>
      </c>
      <c r="S45" s="126">
        <v>1</v>
      </c>
      <c r="T45" s="114">
        <v>0</v>
      </c>
      <c r="U45" s="114">
        <v>0</v>
      </c>
      <c r="V45" s="114">
        <v>1</v>
      </c>
      <c r="W45" s="114"/>
      <c r="X45" s="114">
        <v>1</v>
      </c>
      <c r="Y45" s="114">
        <v>1</v>
      </c>
      <c r="Z45" s="114" t="s">
        <v>58</v>
      </c>
      <c r="AA45" s="114">
        <v>1</v>
      </c>
      <c r="AB45" s="114">
        <v>2</v>
      </c>
      <c r="AC45" s="114">
        <f>_xlfn.IFS(AS45&lt;28,3,AS45=28-35,2,AS45&gt;35,1)</f>
        <v>1</v>
      </c>
      <c r="AD45" s="114">
        <v>2</v>
      </c>
      <c r="AE45" s="114">
        <f>Y45+AA45+AB45+AC45+AD45</f>
        <v>7</v>
      </c>
      <c r="AF45" s="116" t="s">
        <v>63</v>
      </c>
      <c r="AG45" s="114">
        <f t="shared" si="3"/>
        <v>2.05847953216374</v>
      </c>
      <c r="AH45" s="114">
        <f t="shared" si="4"/>
        <v>0.531674208144796</v>
      </c>
      <c r="AI45" s="114">
        <f t="shared" si="5"/>
        <v>1.92</v>
      </c>
      <c r="AJ45" s="159">
        <f>LN(IF(AG45&gt;=1,AG45,1))*3.8+LN(IF(AH45&gt;=1,AH45,1))*9.6+11.2*LN(IF(AI45&gt;=1,AI45,1))+6.4*AN45</f>
        <v>16.4495190362072</v>
      </c>
      <c r="AK45" s="160">
        <f>IF(AND(AG45&gt;0,AH45&gt;0,AI45&gt;0),AJ45,"")</f>
        <v>16.4495190362072</v>
      </c>
      <c r="AL45" s="160">
        <f>AK45+1.59*(135-AM45)</f>
        <v>16.4495190362072</v>
      </c>
      <c r="AM45" s="160">
        <f>IF(AV45&gt;135,135,IF(AV45&lt;120,120,AV45))</f>
        <v>135</v>
      </c>
      <c r="AN45" s="114">
        <v>1</v>
      </c>
      <c r="AO45" s="114">
        <v>2</v>
      </c>
      <c r="AP45" s="114">
        <v>2.56</v>
      </c>
      <c r="AQ45" s="114">
        <v>116</v>
      </c>
      <c r="AR45" s="114">
        <v>1.92</v>
      </c>
      <c r="AS45" s="160">
        <v>37</v>
      </c>
      <c r="AT45" s="161">
        <v>35.2</v>
      </c>
      <c r="AU45" s="114">
        <v>47</v>
      </c>
      <c r="AV45" s="114">
        <v>137</v>
      </c>
      <c r="AZ45" s="194" t="s">
        <v>173</v>
      </c>
    </row>
    <row r="46" s="126" customFormat="1" spans="1:52">
      <c r="A46" s="126" t="s">
        <v>174</v>
      </c>
      <c r="B46" s="126" t="s">
        <v>53</v>
      </c>
      <c r="C46" s="126">
        <v>64</v>
      </c>
      <c r="D46" s="190">
        <v>1.6</v>
      </c>
      <c r="E46" s="126">
        <v>44</v>
      </c>
      <c r="F46" s="136">
        <f>E46/(D46*D46)</f>
        <v>17.1875</v>
      </c>
      <c r="G46" s="126">
        <v>6</v>
      </c>
      <c r="H46" s="191">
        <v>44162</v>
      </c>
      <c r="I46" s="191">
        <v>43785</v>
      </c>
      <c r="J46" s="191">
        <v>43796</v>
      </c>
      <c r="K46" s="191"/>
      <c r="L46" s="192">
        <v>1</v>
      </c>
      <c r="M46" s="138">
        <f>DATEDIF(I46,J46,"D")</f>
        <v>11</v>
      </c>
      <c r="N46" s="193" t="s">
        <v>175</v>
      </c>
      <c r="Q46" s="126">
        <v>1</v>
      </c>
      <c r="R46" s="126">
        <v>1</v>
      </c>
      <c r="T46" s="114">
        <v>1</v>
      </c>
      <c r="U46" s="114">
        <v>0</v>
      </c>
      <c r="V46" s="114">
        <v>1</v>
      </c>
      <c r="W46" s="114">
        <v>1</v>
      </c>
      <c r="X46" s="114">
        <v>1</v>
      </c>
      <c r="Y46" s="114">
        <v>1</v>
      </c>
      <c r="Z46" s="114"/>
      <c r="AA46" s="114">
        <v>3</v>
      </c>
      <c r="AB46" s="114">
        <v>1</v>
      </c>
      <c r="AC46" s="114">
        <f>_xlfn.IFS(AS46&lt;28,3,AS46=28-35,2,AS46&gt;35,1)</f>
        <v>3</v>
      </c>
      <c r="AD46" s="114">
        <f>_xlfn.IFS(AR46&lt;1.7,1,AR46=1.7-2.3,2,AR46&gt;2.3,3)</f>
        <v>1</v>
      </c>
      <c r="AE46" s="114">
        <f>Y46+AA46+AB46+AC46+AD46</f>
        <v>9</v>
      </c>
      <c r="AF46" s="116" t="s">
        <v>63</v>
      </c>
      <c r="AG46" s="114">
        <f t="shared" si="3"/>
        <v>2.5672514619883</v>
      </c>
      <c r="AH46" s="114">
        <f t="shared" si="4"/>
        <v>0.588235294117647</v>
      </c>
      <c r="AI46" s="114">
        <f t="shared" si="5"/>
        <v>1.12</v>
      </c>
      <c r="AJ46" s="159">
        <f>LN(IF(AG46&gt;=1,AG46,1))*3.8+LN(IF(AH46&gt;=1,AH46,1))*9.6+11.2*LN(IF(AI46&gt;=1,AI46,1))+6.4*AN46</f>
        <v>4.85205753041398</v>
      </c>
      <c r="AK46" s="160">
        <f>IF(AND(AG46&gt;0,AH46&gt;0,AI46&gt;0),AJ46,"")</f>
        <v>4.85205753041398</v>
      </c>
      <c r="AL46" s="160">
        <f>AK46+1.59*(135-AM46)</f>
        <v>4.85205753041398</v>
      </c>
      <c r="AM46" s="160">
        <f>IF(AV46&gt;135,135,IF(AV46&lt;120,120,AV46))</f>
        <v>135</v>
      </c>
      <c r="AN46" s="114">
        <v>0</v>
      </c>
      <c r="AO46" s="114">
        <v>1</v>
      </c>
      <c r="AP46" s="114">
        <v>4.36</v>
      </c>
      <c r="AQ46" s="114">
        <v>80</v>
      </c>
      <c r="AR46" s="114">
        <v>1.12</v>
      </c>
      <c r="AS46" s="160">
        <v>27</v>
      </c>
      <c r="AT46" s="161">
        <v>43.9</v>
      </c>
      <c r="AU46" s="114">
        <v>52</v>
      </c>
      <c r="AV46" s="114">
        <v>138</v>
      </c>
      <c r="AZ46" s="194" t="s">
        <v>176</v>
      </c>
    </row>
    <row r="47" customHeight="1" spans="1:52">
      <c r="A47" s="117" t="s">
        <v>177</v>
      </c>
      <c r="B47" s="117" t="s">
        <v>48</v>
      </c>
      <c r="C47" s="117">
        <v>40</v>
      </c>
      <c r="D47" s="135">
        <v>1.74</v>
      </c>
      <c r="E47" s="117">
        <v>74</v>
      </c>
      <c r="F47" s="136">
        <f>E47/(D47*D47)</f>
        <v>24.441802087462</v>
      </c>
      <c r="G47" s="146">
        <v>0</v>
      </c>
      <c r="H47" s="158">
        <v>43796</v>
      </c>
      <c r="I47" s="158">
        <v>43791</v>
      </c>
      <c r="J47" s="158">
        <v>43796</v>
      </c>
      <c r="K47" s="158"/>
      <c r="L47" s="137">
        <v>1</v>
      </c>
      <c r="M47" s="138">
        <f>DATEDIF(I47,J47,"D")</f>
        <v>5</v>
      </c>
      <c r="N47" s="139" t="s">
        <v>178</v>
      </c>
      <c r="O47" s="117">
        <v>1</v>
      </c>
      <c r="T47" s="114">
        <v>1</v>
      </c>
      <c r="U47" s="114">
        <v>0</v>
      </c>
      <c r="V47" s="114">
        <v>1</v>
      </c>
      <c r="W47" s="114"/>
      <c r="X47" s="114">
        <v>1</v>
      </c>
      <c r="Y47" s="114">
        <v>1</v>
      </c>
      <c r="Z47" s="114"/>
      <c r="AA47" s="114">
        <v>2</v>
      </c>
      <c r="AB47" s="114">
        <f>_xlfn.IFS(AT47&lt;34,1,AT47=34-51,2,AT47&gt;51,3)</f>
        <v>1</v>
      </c>
      <c r="AC47" s="114">
        <f>_xlfn.IFS(AS47&lt;28,3,AS47=28-35,2,AS47&gt;35,1)</f>
        <v>1</v>
      </c>
      <c r="AD47" s="114">
        <f>_xlfn.IFS(AR47&lt;1.7,1,AR47=1.7-2.3,2,AR47&gt;2.3,3)</f>
        <v>1</v>
      </c>
      <c r="AE47" s="114">
        <f>Y47+AA47+AB47+AC47+AD47</f>
        <v>6</v>
      </c>
      <c r="AF47" s="116" t="s">
        <v>59</v>
      </c>
      <c r="AG47" s="114">
        <f t="shared" si="3"/>
        <v>1.06432748538012</v>
      </c>
      <c r="AH47" s="114">
        <f t="shared" si="4"/>
        <v>0.667420814479638</v>
      </c>
      <c r="AI47" s="114">
        <f t="shared" si="5"/>
        <v>1.44</v>
      </c>
      <c r="AJ47" s="159">
        <f>LN(IF(AG47&gt;=1,AG47,1))*3.8+LN(IF(AH47&gt;=1,AH47,1))*9.6+11.2*LN(IF(AI47&gt;=1,AI47,1))+6.4*AN47</f>
        <v>10.7209067683663</v>
      </c>
      <c r="AK47" s="160">
        <f>IF(AND(AG47&gt;0,AH47&gt;0,AI47&gt;0),AJ47,"")</f>
        <v>10.7209067683663</v>
      </c>
      <c r="AL47" s="160">
        <f>AK47+1.59*(135-AM47)</f>
        <v>10.7209067683663</v>
      </c>
      <c r="AM47" s="160">
        <f>IF(AV47&gt;135,135,IF(AV47&lt;120,120,AV47))</f>
        <v>135</v>
      </c>
      <c r="AN47" s="114">
        <v>1</v>
      </c>
      <c r="AO47" s="114">
        <v>1</v>
      </c>
      <c r="AP47" s="114">
        <v>2.8</v>
      </c>
      <c r="AQ47" s="114">
        <v>87</v>
      </c>
      <c r="AR47" s="114">
        <v>1.44</v>
      </c>
      <c r="AS47" s="160">
        <v>46</v>
      </c>
      <c r="AT47" s="161">
        <v>18.2</v>
      </c>
      <c r="AU47" s="114">
        <v>59</v>
      </c>
      <c r="AV47" s="114">
        <v>143</v>
      </c>
      <c r="AZ47" s="119" t="s">
        <v>58</v>
      </c>
    </row>
    <row r="48" s="123" customFormat="1" spans="1:52">
      <c r="A48" s="123" t="s">
        <v>179</v>
      </c>
      <c r="B48" s="123" t="s">
        <v>53</v>
      </c>
      <c r="C48" s="123">
        <v>51</v>
      </c>
      <c r="D48" s="176">
        <v>1.58</v>
      </c>
      <c r="E48" s="123">
        <v>68</v>
      </c>
      <c r="F48" s="189">
        <f>E48/(D48*D48)</f>
        <v>27.2392244832559</v>
      </c>
      <c r="G48" s="123">
        <v>1</v>
      </c>
      <c r="H48" s="177">
        <v>43801</v>
      </c>
      <c r="I48" s="177">
        <v>43787</v>
      </c>
      <c r="J48" s="177">
        <v>43801</v>
      </c>
      <c r="K48" s="177"/>
      <c r="L48" s="178">
        <v>1</v>
      </c>
      <c r="M48" s="178">
        <f>DATEDIF(I48,J48,"D")</f>
        <v>14</v>
      </c>
      <c r="N48" s="179" t="s">
        <v>180</v>
      </c>
      <c r="O48" s="123">
        <v>1</v>
      </c>
      <c r="T48" s="114">
        <v>1</v>
      </c>
      <c r="U48" s="114">
        <v>0</v>
      </c>
      <c r="V48" s="114">
        <v>1</v>
      </c>
      <c r="W48" s="114"/>
      <c r="X48" s="114">
        <v>1</v>
      </c>
      <c r="Y48" s="114">
        <v>1</v>
      </c>
      <c r="Z48" s="114"/>
      <c r="AA48" s="114">
        <v>2</v>
      </c>
      <c r="AB48" s="114">
        <v>2</v>
      </c>
      <c r="AC48" s="114">
        <f>_xlfn.IFS(AS48&lt;28,3,AS48=28-35,2,AS48&gt;35,1)</f>
        <v>3</v>
      </c>
      <c r="AD48" s="114">
        <v>2</v>
      </c>
      <c r="AE48" s="114">
        <f>Y48+AA48+AB48+AC48+AD48</f>
        <v>10</v>
      </c>
      <c r="AF48" s="116" t="s">
        <v>50</v>
      </c>
      <c r="AG48" s="114">
        <f t="shared" si="3"/>
        <v>2.9766081871345</v>
      </c>
      <c r="AH48" s="114">
        <f t="shared" si="4"/>
        <v>0.610859728506787</v>
      </c>
      <c r="AI48" s="114">
        <f t="shared" si="5"/>
        <v>2.01</v>
      </c>
      <c r="AJ48" s="159">
        <f>LN(IF(AG48&gt;=1,AG48,1))*3.8+LN(IF(AH48&gt;=1,AH48,1))*9.6+11.2*LN(IF(AI48&gt;=1,AI48,1))+6.4*AN48</f>
        <v>18.3640898353769</v>
      </c>
      <c r="AK48" s="160">
        <f>IF(AND(AG48&gt;0,AH48&gt;0,AI48&gt;0),AJ48,"")</f>
        <v>18.3640898353769</v>
      </c>
      <c r="AL48" s="160">
        <f>AK48+1.59*(135-AM48)</f>
        <v>18.3640898353769</v>
      </c>
      <c r="AM48" s="160">
        <f>IF(AV48&gt;135,135,IF(AV48&lt;120,120,AV48))</f>
        <v>135</v>
      </c>
      <c r="AN48" s="114">
        <v>1</v>
      </c>
      <c r="AO48" s="114">
        <v>3</v>
      </c>
      <c r="AP48" s="114">
        <v>6.92</v>
      </c>
      <c r="AQ48" s="114">
        <v>107</v>
      </c>
      <c r="AR48" s="114">
        <v>2.01</v>
      </c>
      <c r="AS48" s="160">
        <v>21</v>
      </c>
      <c r="AT48" s="161">
        <v>50.9</v>
      </c>
      <c r="AU48" s="114">
        <v>54</v>
      </c>
      <c r="AV48" s="114">
        <v>141</v>
      </c>
      <c r="AZ48" s="132" t="s">
        <v>181</v>
      </c>
    </row>
    <row r="49" s="126" customFormat="1" spans="1:52">
      <c r="A49" s="126" t="s">
        <v>174</v>
      </c>
      <c r="B49" s="126" t="s">
        <v>53</v>
      </c>
      <c r="C49" s="126">
        <v>64</v>
      </c>
      <c r="D49" s="190">
        <v>1.6</v>
      </c>
      <c r="E49" s="126">
        <v>44</v>
      </c>
      <c r="F49" s="136">
        <f>E49/(D49*D49)</f>
        <v>17.1875</v>
      </c>
      <c r="G49" s="126">
        <v>6</v>
      </c>
      <c r="H49" s="191">
        <v>43805</v>
      </c>
      <c r="I49" s="191">
        <v>43798</v>
      </c>
      <c r="J49" s="191">
        <v>43805</v>
      </c>
      <c r="K49" s="191"/>
      <c r="L49" s="192">
        <v>2</v>
      </c>
      <c r="M49" s="192">
        <f>DATEDIF(I49,J49,"D")</f>
        <v>7</v>
      </c>
      <c r="N49" s="193" t="s">
        <v>182</v>
      </c>
      <c r="Q49" s="126">
        <v>1</v>
      </c>
      <c r="R49" s="126">
        <v>1</v>
      </c>
      <c r="T49" s="114">
        <v>0</v>
      </c>
      <c r="U49" s="114">
        <v>0</v>
      </c>
      <c r="V49" s="114">
        <v>0</v>
      </c>
      <c r="W49" s="114"/>
      <c r="X49" s="114">
        <v>1</v>
      </c>
      <c r="Y49" s="114">
        <v>1</v>
      </c>
      <c r="Z49" s="114" t="s">
        <v>58</v>
      </c>
      <c r="AA49" s="114">
        <v>1</v>
      </c>
      <c r="AB49" s="114">
        <v>1</v>
      </c>
      <c r="AC49" s="114">
        <v>2</v>
      </c>
      <c r="AD49" s="114">
        <f>_xlfn.IFS(AR49&lt;1.7,1,AR49=1.7-2.3,2,AR49&gt;2.3,3)</f>
        <v>1</v>
      </c>
      <c r="AE49" s="114">
        <f>Y49+AA49+AB49+AC49+AD49</f>
        <v>6</v>
      </c>
      <c r="AF49" s="116" t="s">
        <v>59</v>
      </c>
      <c r="AG49" s="114">
        <f>AT49/17.1</f>
        <v>2.63157894736842</v>
      </c>
      <c r="AH49" s="114">
        <f>AU49/88.4</f>
        <v>0.588235294117647</v>
      </c>
      <c r="AI49" s="114">
        <f>AR49</f>
        <v>1.14</v>
      </c>
      <c r="AJ49" s="159">
        <f>LN(IF(AG49&gt;=1,AG49,1))*3.8+LN(IF(AH49&gt;=1,AH49,1))*9.6+11.2*LN(IF(AI49&gt;=1,AI49,1))+6.4*AN49</f>
        <v>5.14433583874621</v>
      </c>
      <c r="AK49" s="160">
        <f>IF(AND(AG49&gt;0,AH49&gt;0,AI49&gt;0),AJ49,"")</f>
        <v>5.14433583874621</v>
      </c>
      <c r="AL49" s="160">
        <f>AK49+1.59*(135-AM49)</f>
        <v>5.14433583874621</v>
      </c>
      <c r="AM49" s="160">
        <f>IF(AV49&gt;135,135,IF(AV49&lt;120,120,AV49))</f>
        <v>135</v>
      </c>
      <c r="AN49" s="114">
        <v>0</v>
      </c>
      <c r="AO49" s="114">
        <v>1</v>
      </c>
      <c r="AP49" s="114">
        <v>6.8</v>
      </c>
      <c r="AQ49" s="114">
        <v>54</v>
      </c>
      <c r="AR49" s="114">
        <v>1.14</v>
      </c>
      <c r="AS49" s="160">
        <v>31</v>
      </c>
      <c r="AT49" s="161">
        <v>45</v>
      </c>
      <c r="AU49" s="114">
        <v>52</v>
      </c>
      <c r="AV49" s="114">
        <v>137</v>
      </c>
      <c r="AZ49" s="194" t="s">
        <v>183</v>
      </c>
    </row>
    <row r="50" s="123" customFormat="1" spans="1:52">
      <c r="A50" s="123" t="s">
        <v>184</v>
      </c>
      <c r="B50" s="123" t="s">
        <v>53</v>
      </c>
      <c r="C50" s="123">
        <v>60</v>
      </c>
      <c r="D50" s="176">
        <v>1.6</v>
      </c>
      <c r="E50" s="123">
        <v>44</v>
      </c>
      <c r="F50" s="189">
        <f>E50/(D50*D50)</f>
        <v>17.1875</v>
      </c>
      <c r="G50" s="123">
        <v>1</v>
      </c>
      <c r="H50" s="177">
        <v>43833</v>
      </c>
      <c r="I50" s="177">
        <v>43833</v>
      </c>
      <c r="J50" s="177">
        <v>43846</v>
      </c>
      <c r="K50" s="177"/>
      <c r="L50" s="178">
        <v>1</v>
      </c>
      <c r="M50" s="178">
        <v>13</v>
      </c>
      <c r="N50" s="179" t="s">
        <v>185</v>
      </c>
      <c r="Q50" s="123">
        <v>1</v>
      </c>
      <c r="R50" s="123">
        <v>1</v>
      </c>
      <c r="T50" s="114">
        <v>0</v>
      </c>
      <c r="U50" s="114">
        <v>0</v>
      </c>
      <c r="V50" s="114">
        <v>1</v>
      </c>
      <c r="W50" s="114">
        <v>1</v>
      </c>
      <c r="X50" s="114">
        <v>1</v>
      </c>
      <c r="Y50" s="114">
        <v>1</v>
      </c>
      <c r="Z50" s="114" t="s">
        <v>58</v>
      </c>
      <c r="AA50" s="114">
        <v>1</v>
      </c>
      <c r="AB50" s="114">
        <f>_xlfn.IFS(AT50&lt;34,1,AT50=34-51,2,AT50&gt;51,3)</f>
        <v>1</v>
      </c>
      <c r="AC50" s="114">
        <v>2</v>
      </c>
      <c r="AD50" s="114">
        <f>_xlfn.IFS(AR50&lt;1.7,1,AR50=1.7-2.3,2,AR50&gt;2.3,3)</f>
        <v>1</v>
      </c>
      <c r="AE50" s="114">
        <f>Y50+AA50+AB50+AC50+AD50</f>
        <v>6</v>
      </c>
      <c r="AF50" s="116" t="s">
        <v>59</v>
      </c>
      <c r="AG50" s="114">
        <f>AT50/17.1</f>
        <v>1.28654970760234</v>
      </c>
      <c r="AH50" s="114">
        <f>AU50/88.4</f>
        <v>0.509049773755656</v>
      </c>
      <c r="AI50" s="114">
        <f>AR50</f>
        <v>0.97</v>
      </c>
      <c r="AJ50" s="159">
        <f>LN(IF(AG50&gt;=1,AG50,1))*3.8+LN(IF(AH50&gt;=1,AH50,1))*9.6+11.2*LN(IF(AI50&gt;=1,AI50,1))+6.4*AN50</f>
        <v>0.957463161428866</v>
      </c>
      <c r="AK50" s="160">
        <f>IF(AND(AG50&gt;0,AH50&gt;0,AI50&gt;0),AJ50,"")</f>
        <v>0.957463161428866</v>
      </c>
      <c r="AL50" s="160">
        <f>AK50+1.59*(135-AM50)</f>
        <v>0.957463161428866</v>
      </c>
      <c r="AM50" s="160">
        <f>IF(AV50&gt;135,135,IF(AV50&lt;120,120,AV50))</f>
        <v>135</v>
      </c>
      <c r="AN50" s="114">
        <v>0</v>
      </c>
      <c r="AO50" s="114">
        <v>1</v>
      </c>
      <c r="AP50" s="114">
        <v>3.01</v>
      </c>
      <c r="AQ50" s="114">
        <v>120</v>
      </c>
      <c r="AR50" s="114">
        <v>0.97</v>
      </c>
      <c r="AS50" s="160">
        <v>31</v>
      </c>
      <c r="AT50" s="161">
        <v>22</v>
      </c>
      <c r="AU50" s="114">
        <v>45</v>
      </c>
      <c r="AV50" s="114">
        <v>142</v>
      </c>
      <c r="AZ50" s="132" t="s">
        <v>186</v>
      </c>
    </row>
    <row r="51" s="123" customFormat="1" spans="1:52">
      <c r="A51" s="123" t="s">
        <v>187</v>
      </c>
      <c r="B51" s="123" t="s">
        <v>53</v>
      </c>
      <c r="C51" s="123">
        <v>54</v>
      </c>
      <c r="D51" s="176">
        <v>1.67</v>
      </c>
      <c r="E51" s="123">
        <v>60</v>
      </c>
      <c r="F51" s="136">
        <f>E51/(D51*D51)</f>
        <v>21.5138585105239</v>
      </c>
      <c r="G51" s="123">
        <v>0</v>
      </c>
      <c r="H51" s="177">
        <v>43832</v>
      </c>
      <c r="I51" s="177">
        <v>43832</v>
      </c>
      <c r="J51" s="177">
        <v>43846</v>
      </c>
      <c r="K51" s="177"/>
      <c r="L51" s="178">
        <v>1</v>
      </c>
      <c r="M51" s="138">
        <v>14</v>
      </c>
      <c r="N51" s="179" t="s">
        <v>188</v>
      </c>
      <c r="O51" s="123">
        <v>1</v>
      </c>
      <c r="T51" s="114">
        <v>0</v>
      </c>
      <c r="U51" s="114">
        <v>0</v>
      </c>
      <c r="V51" s="114">
        <v>1</v>
      </c>
      <c r="W51" s="114">
        <v>0</v>
      </c>
      <c r="X51" s="114">
        <v>1</v>
      </c>
      <c r="Y51" s="114">
        <v>1</v>
      </c>
      <c r="Z51" s="114" t="s">
        <v>58</v>
      </c>
      <c r="AA51" s="114">
        <v>1</v>
      </c>
      <c r="AB51" s="114">
        <f>_xlfn.IFS(AT51&lt;34,1,AT51=34-51,2,AT51&gt;51,3)</f>
        <v>1</v>
      </c>
      <c r="AC51" s="114">
        <v>2</v>
      </c>
      <c r="AD51" s="114">
        <f>_xlfn.IFS(AR51&lt;1.7,1,AR51=1.7-2.3,2,AR51&gt;2.3,3)</f>
        <v>1</v>
      </c>
      <c r="AE51" s="114">
        <f>Y51+AA51+AB51+AC51+AD51</f>
        <v>6</v>
      </c>
      <c r="AF51" s="116" t="s">
        <v>59</v>
      </c>
      <c r="AG51" s="114">
        <f>AT51/17.1</f>
        <v>0.590643274853801</v>
      </c>
      <c r="AH51" s="114">
        <f>AU51/88.4</f>
        <v>0.599547511312217</v>
      </c>
      <c r="AI51" s="114">
        <f>AR51</f>
        <v>1.19</v>
      </c>
      <c r="AJ51" s="159">
        <f>LN(IF(AG51&gt;=1,AG51,1))*3.8+LN(IF(AH51&gt;=1,AH51,1))*9.6+11.2*LN(IF(AI51&gt;=1,AI51,1))+6.4*AN51</f>
        <v>8.34827703978251</v>
      </c>
      <c r="AK51" s="160">
        <f>IF(AND(AG51&gt;0,AH51&gt;0,AI51&gt;0),AJ51,"")</f>
        <v>8.34827703978251</v>
      </c>
      <c r="AL51" s="160">
        <f>AK51+1.59*(135-AM51)</f>
        <v>8.34827703978251</v>
      </c>
      <c r="AM51" s="160">
        <f>IF(AV51&gt;135,135,IF(AV51&lt;120,120,AV51))</f>
        <v>135</v>
      </c>
      <c r="AN51" s="114">
        <v>1</v>
      </c>
      <c r="AO51" s="114">
        <v>1</v>
      </c>
      <c r="AP51" s="114">
        <v>2.85</v>
      </c>
      <c r="AQ51" s="114">
        <v>84</v>
      </c>
      <c r="AR51" s="114">
        <v>1.19</v>
      </c>
      <c r="AS51" s="160">
        <v>29</v>
      </c>
      <c r="AT51" s="161">
        <v>10.1</v>
      </c>
      <c r="AU51" s="114">
        <v>53</v>
      </c>
      <c r="AV51" s="114">
        <v>142</v>
      </c>
      <c r="AZ51" s="132" t="s">
        <v>189</v>
      </c>
    </row>
    <row r="52" s="125" customFormat="1" spans="1:52">
      <c r="A52" s="125" t="s">
        <v>190</v>
      </c>
      <c r="B52" s="125" t="s">
        <v>53</v>
      </c>
      <c r="C52" s="125">
        <v>71</v>
      </c>
      <c r="D52" s="185">
        <v>1.65</v>
      </c>
      <c r="E52" s="125">
        <v>56</v>
      </c>
      <c r="F52" s="136">
        <f>E52/(D52*D52)</f>
        <v>20.5693296602388</v>
      </c>
      <c r="G52" s="125">
        <v>0</v>
      </c>
      <c r="H52" s="186">
        <v>43840</v>
      </c>
      <c r="I52" s="186">
        <v>43840</v>
      </c>
      <c r="J52" s="186">
        <v>43851</v>
      </c>
      <c r="K52" s="186">
        <v>44501</v>
      </c>
      <c r="L52" s="187">
        <v>10</v>
      </c>
      <c r="M52" s="138">
        <v>11</v>
      </c>
      <c r="N52" s="188" t="s">
        <v>191</v>
      </c>
      <c r="Q52" s="125">
        <v>1</v>
      </c>
      <c r="R52" s="125">
        <v>1</v>
      </c>
      <c r="T52" s="114">
        <v>1</v>
      </c>
      <c r="U52" s="114">
        <v>0</v>
      </c>
      <c r="V52" s="114">
        <v>1</v>
      </c>
      <c r="W52" s="114">
        <v>0</v>
      </c>
      <c r="X52" s="114">
        <v>1</v>
      </c>
      <c r="Y52" s="114">
        <v>1</v>
      </c>
      <c r="Z52" s="114"/>
      <c r="AA52" s="114">
        <v>2</v>
      </c>
      <c r="AB52" s="114">
        <f>_xlfn.IFS(AT52&lt;34,1,AT52=34-51,2,AT52&gt;51,3)</f>
        <v>1</v>
      </c>
      <c r="AC52" s="114">
        <f>_xlfn.IFS(AS52&lt;28,3,AS52=28-35,2,AS52&gt;35,1)</f>
        <v>3</v>
      </c>
      <c r="AD52" s="114">
        <f>_xlfn.IFS(AR52&lt;1.7,1,AR52=1.7-2.3,2,AR52&gt;2.3,3)</f>
        <v>1</v>
      </c>
      <c r="AE52" s="114">
        <f>Y52+AA52+AB52+AC52+AD52</f>
        <v>8</v>
      </c>
      <c r="AF52" s="116" t="s">
        <v>63</v>
      </c>
      <c r="AG52" s="114">
        <f>AT52/17.1</f>
        <v>0.982456140350877</v>
      </c>
      <c r="AH52" s="114">
        <f>AU52/88.4</f>
        <v>0.882352941176471</v>
      </c>
      <c r="AI52" s="114">
        <f>AR52</f>
        <v>1.28</v>
      </c>
      <c r="AJ52" s="159">
        <f>LN(IF(AG52&gt;=1,AG52,1))*3.8+LN(IF(AH52&gt;=1,AH52,1))*9.6+11.2*LN(IF(AI52&gt;=1,AI52,1))+6.4*AN52</f>
        <v>2.76483287283309</v>
      </c>
      <c r="AK52" s="160">
        <f>IF(AND(AG52&gt;0,AH52&gt;0,AI52&gt;0),AJ52,"")</f>
        <v>2.76483287283309</v>
      </c>
      <c r="AL52" s="160">
        <f>AK52+1.59*(135-AM52)</f>
        <v>7.53483287283309</v>
      </c>
      <c r="AM52" s="160">
        <f>IF(AV52&gt;135,135,IF(AV52&lt;120,120,AV52))</f>
        <v>132</v>
      </c>
      <c r="AN52" s="114">
        <v>0</v>
      </c>
      <c r="AO52" s="114">
        <v>1</v>
      </c>
      <c r="AP52" s="114">
        <v>2.11</v>
      </c>
      <c r="AQ52" s="114">
        <v>71</v>
      </c>
      <c r="AR52" s="114">
        <v>1.28</v>
      </c>
      <c r="AS52" s="160">
        <v>24</v>
      </c>
      <c r="AT52" s="161">
        <v>16.8</v>
      </c>
      <c r="AU52" s="114">
        <v>78</v>
      </c>
      <c r="AV52" s="114">
        <v>132</v>
      </c>
      <c r="AZ52" s="131" t="s">
        <v>192</v>
      </c>
    </row>
    <row r="53" spans="1:52">
      <c r="A53" s="117" t="s">
        <v>193</v>
      </c>
      <c r="B53" s="117" t="s">
        <v>53</v>
      </c>
      <c r="C53" s="117">
        <v>57</v>
      </c>
      <c r="D53" s="135">
        <v>1.6</v>
      </c>
      <c r="E53" s="117">
        <v>40</v>
      </c>
      <c r="F53" s="136">
        <f>E53/(D53*D53)</f>
        <v>15.625</v>
      </c>
      <c r="G53" s="117">
        <v>0</v>
      </c>
      <c r="H53" s="158">
        <v>43853</v>
      </c>
      <c r="I53" s="158">
        <v>43840</v>
      </c>
      <c r="J53" s="158">
        <v>43853</v>
      </c>
      <c r="K53" s="158"/>
      <c r="L53" s="137">
        <v>8</v>
      </c>
      <c r="M53" s="137">
        <v>13</v>
      </c>
      <c r="N53" s="139" t="s">
        <v>194</v>
      </c>
      <c r="O53" s="117">
        <v>1</v>
      </c>
      <c r="T53" s="114">
        <v>0</v>
      </c>
      <c r="U53" s="114">
        <v>1</v>
      </c>
      <c r="V53" s="114">
        <v>1</v>
      </c>
      <c r="W53" s="114">
        <v>0</v>
      </c>
      <c r="X53" s="114">
        <v>1</v>
      </c>
      <c r="Y53" s="114">
        <v>2</v>
      </c>
      <c r="Z53" s="114" t="s">
        <v>58</v>
      </c>
      <c r="AA53" s="114">
        <v>1</v>
      </c>
      <c r="AB53" s="114">
        <v>2</v>
      </c>
      <c r="AC53" s="114">
        <v>2</v>
      </c>
      <c r="AD53" s="114">
        <f>_xlfn.IFS(AR53&lt;1.7,1,AR53=1.7-2.3,2,AR53&gt;2.3,3)</f>
        <v>1</v>
      </c>
      <c r="AE53" s="114">
        <f>Y53+AA53+AB53+AC53+AD53</f>
        <v>8</v>
      </c>
      <c r="AF53" s="116" t="s">
        <v>63</v>
      </c>
      <c r="AG53" s="114">
        <f>AT53/17.1</f>
        <v>2.8187134502924</v>
      </c>
      <c r="AH53" s="114">
        <f>AU53/88.4</f>
        <v>0.667420814479638</v>
      </c>
      <c r="AI53" s="114">
        <f>AR53</f>
        <v>1.38</v>
      </c>
      <c r="AJ53" s="159">
        <f>LN(IF(AG53&gt;=1,AG53,1))*3.8+LN(IF(AH53&gt;=1,AH53,1))*9.6+11.2*LN(IF(AI53&gt;=1,AI53,1))+6.4*AN53</f>
        <v>13.9452013093762</v>
      </c>
      <c r="AK53" s="160">
        <f>IF(AND(AG53&gt;0,AH53&gt;0,AI53&gt;0),AJ53,"")</f>
        <v>13.9452013093762</v>
      </c>
      <c r="AL53" s="160">
        <f>AK53+1.59*(135-AM53)</f>
        <v>13.9452013093762</v>
      </c>
      <c r="AM53" s="160">
        <f>IF(AV53&gt;135,135,IF(AV53&lt;120,120,AV53))</f>
        <v>135</v>
      </c>
      <c r="AN53" s="114">
        <v>1</v>
      </c>
      <c r="AO53" s="114">
        <v>1</v>
      </c>
      <c r="AP53" s="114">
        <v>6.29</v>
      </c>
      <c r="AQ53" s="114">
        <v>70</v>
      </c>
      <c r="AR53" s="114">
        <v>1.38</v>
      </c>
      <c r="AS53" s="160">
        <v>31</v>
      </c>
      <c r="AT53" s="161">
        <v>48.2</v>
      </c>
      <c r="AU53" s="114">
        <v>59</v>
      </c>
      <c r="AV53" s="114">
        <v>140</v>
      </c>
      <c r="AZ53" s="119" t="s">
        <v>195</v>
      </c>
    </row>
    <row r="54" s="125" customFormat="1" customHeight="1" spans="1:52">
      <c r="A54" s="125" t="s">
        <v>73</v>
      </c>
      <c r="B54" s="125" t="s">
        <v>48</v>
      </c>
      <c r="C54" s="125">
        <v>69</v>
      </c>
      <c r="D54" s="185">
        <v>1.77</v>
      </c>
      <c r="E54" s="125">
        <v>60</v>
      </c>
      <c r="F54" s="136">
        <f>E54/(D54*D54)</f>
        <v>19.1515847936417</v>
      </c>
      <c r="G54" s="125">
        <v>6</v>
      </c>
      <c r="H54" s="186">
        <v>43488</v>
      </c>
      <c r="I54" s="186">
        <v>43843</v>
      </c>
      <c r="J54" s="186">
        <v>43853</v>
      </c>
      <c r="K54" s="186">
        <v>44076</v>
      </c>
      <c r="L54" s="187">
        <v>2</v>
      </c>
      <c r="M54" s="187">
        <v>10</v>
      </c>
      <c r="N54" s="188" t="s">
        <v>196</v>
      </c>
      <c r="P54" s="125">
        <v>1</v>
      </c>
      <c r="T54" s="114">
        <v>1</v>
      </c>
      <c r="U54" s="114">
        <v>0</v>
      </c>
      <c r="V54" s="114">
        <v>1</v>
      </c>
      <c r="W54" s="114">
        <v>1</v>
      </c>
      <c r="X54" s="114">
        <v>1</v>
      </c>
      <c r="Y54" s="114">
        <v>1</v>
      </c>
      <c r="Z54" s="114"/>
      <c r="AA54" s="114">
        <v>2</v>
      </c>
      <c r="AB54" s="114">
        <f>_xlfn.IFS(AT54&lt;34,1,AT54=34-51,2,AT54&gt;51,3)</f>
        <v>1</v>
      </c>
      <c r="AC54" s="114">
        <v>2</v>
      </c>
      <c r="AD54" s="114">
        <f>_xlfn.IFS(AR54&lt;1.7,1,AR54=1.7-2.3,2,AR54&gt;2.3,3)</f>
        <v>1</v>
      </c>
      <c r="AE54" s="114">
        <f>Y54+AA54+AB54+AC54+AD54</f>
        <v>7</v>
      </c>
      <c r="AF54" s="116" t="s">
        <v>63</v>
      </c>
      <c r="AG54" s="114">
        <f>AT54/17.1</f>
        <v>0.859649122807017</v>
      </c>
      <c r="AH54" s="114">
        <f>AU54/88.4</f>
        <v>4.20814479638009</v>
      </c>
      <c r="AI54" s="114">
        <f>AR54</f>
        <v>1.28</v>
      </c>
      <c r="AJ54" s="159">
        <f>LN(IF(AG54&gt;=1,AG54,1))*3.8+LN(IF(AH54&gt;=1,AH54,1))*9.6+11.2*LN(IF(AI54&gt;=1,AI54,1))+6.4*AN54</f>
        <v>16.5602429652768</v>
      </c>
      <c r="AK54" s="160">
        <f>IF(AND(AG54&gt;0,AH54&gt;0,AI54&gt;0),AJ54,"")</f>
        <v>16.5602429652768</v>
      </c>
      <c r="AL54" s="160">
        <f>AK54+1.59*(135-AM54)</f>
        <v>16.5602429652768</v>
      </c>
      <c r="AM54" s="160">
        <f>IF(AV54&gt;135,135,IF(AV54&lt;120,120,AV54))</f>
        <v>135</v>
      </c>
      <c r="AN54" s="114">
        <v>0</v>
      </c>
      <c r="AO54" s="114">
        <v>2</v>
      </c>
      <c r="AP54" s="114">
        <v>3.47</v>
      </c>
      <c r="AQ54" s="114">
        <v>56</v>
      </c>
      <c r="AR54" s="114">
        <v>1.28</v>
      </c>
      <c r="AS54" s="160">
        <v>32</v>
      </c>
      <c r="AT54" s="161">
        <v>14.7</v>
      </c>
      <c r="AU54" s="114">
        <v>372</v>
      </c>
      <c r="AV54" s="114">
        <v>147</v>
      </c>
      <c r="AZ54" s="131" t="s">
        <v>197</v>
      </c>
    </row>
    <row r="55" s="125" customFormat="1" customHeight="1" spans="1:52">
      <c r="A55" s="125" t="s">
        <v>198</v>
      </c>
      <c r="B55" s="125" t="s">
        <v>48</v>
      </c>
      <c r="C55" s="125">
        <v>64</v>
      </c>
      <c r="D55" s="185">
        <v>1.7</v>
      </c>
      <c r="F55" s="136"/>
      <c r="G55" s="125">
        <v>6</v>
      </c>
      <c r="H55" s="186">
        <v>43870</v>
      </c>
      <c r="I55" s="186">
        <v>43844</v>
      </c>
      <c r="J55" s="186">
        <v>43860</v>
      </c>
      <c r="K55" s="186">
        <v>44092</v>
      </c>
      <c r="L55" s="187">
        <v>11</v>
      </c>
      <c r="M55" s="187">
        <v>16</v>
      </c>
      <c r="N55" s="188" t="s">
        <v>199</v>
      </c>
      <c r="P55" s="125">
        <v>1</v>
      </c>
      <c r="T55" s="114">
        <v>1</v>
      </c>
      <c r="U55" s="114">
        <v>1</v>
      </c>
      <c r="V55" s="114">
        <v>1</v>
      </c>
      <c r="W55" s="114">
        <v>1</v>
      </c>
      <c r="X55" s="114">
        <v>1</v>
      </c>
      <c r="Y55" s="114">
        <v>2</v>
      </c>
      <c r="Z55" s="114"/>
      <c r="AA55" s="114">
        <v>2</v>
      </c>
      <c r="AB55" s="114">
        <f>_xlfn.IFS(AT55&lt;34,1,AT55=34-51,2,AT55&gt;51,3)</f>
        <v>1</v>
      </c>
      <c r="AC55" s="114">
        <f>_xlfn.IFS(AS55&lt;28,3,AS55=28-35,2,AS55&gt;35,1)</f>
        <v>3</v>
      </c>
      <c r="AD55" s="114">
        <f>_xlfn.IFS(AR55&lt;1.7,1,AR55=1.7-2.3,2,AR55&gt;2.3,3)</f>
        <v>1</v>
      </c>
      <c r="AE55" s="114">
        <f>Y55+AA55+AB55+AC55+AD55</f>
        <v>9</v>
      </c>
      <c r="AF55" s="116" t="s">
        <v>63</v>
      </c>
      <c r="AG55" s="114">
        <f>AT55/17.1</f>
        <v>1.91228070175439</v>
      </c>
      <c r="AH55" s="114">
        <f>AU55/88.4</f>
        <v>0.690045248868778</v>
      </c>
      <c r="AI55" s="114">
        <f>AR55</f>
        <v>1.6</v>
      </c>
      <c r="AJ55" s="159">
        <f>LN(IF(AG55&gt;=1,AG55,1))*3.8+LN(IF(AH55&gt;=1,AH55,1))*9.6+11.2*LN(IF(AI55&gt;=1,AI55,1))+6.4*AN55</f>
        <v>7.72756778225169</v>
      </c>
      <c r="AK55" s="160">
        <f>IF(AND(AG55&gt;0,AH55&gt;0,AI55&gt;0),AJ55,"")</f>
        <v>7.72756778225169</v>
      </c>
      <c r="AL55" s="160">
        <f>AK55+1.59*(135-AM55)</f>
        <v>15.6775677822517</v>
      </c>
      <c r="AM55" s="160">
        <f>IF(AV55&gt;135,135,IF(AV55&lt;120,120,AV55))</f>
        <v>130</v>
      </c>
      <c r="AN55" s="114">
        <v>0</v>
      </c>
      <c r="AO55" s="114">
        <v>1</v>
      </c>
      <c r="AP55" s="114">
        <v>4.51</v>
      </c>
      <c r="AQ55" s="114">
        <v>70</v>
      </c>
      <c r="AR55" s="114">
        <v>1.6</v>
      </c>
      <c r="AS55" s="160">
        <v>19</v>
      </c>
      <c r="AT55" s="161">
        <v>32.7</v>
      </c>
      <c r="AU55" s="114">
        <v>61</v>
      </c>
      <c r="AV55" s="114">
        <v>130</v>
      </c>
      <c r="AZ55" s="131" t="s">
        <v>200</v>
      </c>
    </row>
    <row r="56" s="123" customFormat="1" spans="1:52">
      <c r="A56" s="123" t="s">
        <v>201</v>
      </c>
      <c r="B56" s="123" t="s">
        <v>53</v>
      </c>
      <c r="C56" s="123">
        <v>37</v>
      </c>
      <c r="D56" s="176">
        <v>1.65</v>
      </c>
      <c r="E56" s="123">
        <v>68</v>
      </c>
      <c r="F56" s="189">
        <f>E56/(D56*D56)</f>
        <v>24.9770431588613</v>
      </c>
      <c r="G56" s="123">
        <v>0</v>
      </c>
      <c r="H56" s="177">
        <v>43870</v>
      </c>
      <c r="I56" s="177">
        <v>43846</v>
      </c>
      <c r="J56" s="177">
        <v>43858</v>
      </c>
      <c r="K56" s="177"/>
      <c r="L56" s="178">
        <v>2</v>
      </c>
      <c r="M56" s="178">
        <v>12</v>
      </c>
      <c r="N56" s="179" t="s">
        <v>202</v>
      </c>
      <c r="S56" s="123">
        <v>1</v>
      </c>
      <c r="T56" s="114">
        <v>0</v>
      </c>
      <c r="U56" s="114">
        <v>1</v>
      </c>
      <c r="V56" s="114">
        <v>1</v>
      </c>
      <c r="W56" s="114">
        <v>1</v>
      </c>
      <c r="X56" s="114">
        <v>1</v>
      </c>
      <c r="Y56" s="114">
        <v>2</v>
      </c>
      <c r="Z56" s="114" t="s">
        <v>58</v>
      </c>
      <c r="AA56" s="114">
        <v>1</v>
      </c>
      <c r="AB56" s="114">
        <f>_xlfn.IFS(AT56&lt;34,1,AT56=34-51,2,AT56&gt;51,3)</f>
        <v>1</v>
      </c>
      <c r="AC56" s="114">
        <f>_xlfn.IFS(AS56&lt;28,3,AS56=28-35,2,AS56&gt;35,1)</f>
        <v>3</v>
      </c>
      <c r="AD56" s="114">
        <f>_xlfn.IFS(AR56&lt;1.7,1,AR56=1.7-2.3,2,AR56&gt;2.3,3)</f>
        <v>1</v>
      </c>
      <c r="AE56" s="114">
        <f>Y56+AA56+AB56+AC56+AD56</f>
        <v>8</v>
      </c>
      <c r="AF56" s="116" t="s">
        <v>63</v>
      </c>
      <c r="AG56" s="114">
        <f>AT56/17.1</f>
        <v>0.368421052631579</v>
      </c>
      <c r="AH56" s="114">
        <f>AU56/88.4</f>
        <v>0.82579185520362</v>
      </c>
      <c r="AI56" s="114">
        <f>AR56</f>
        <v>1.21</v>
      </c>
      <c r="AJ56" s="159">
        <f>LN(IF(AG56&gt;=1,AG56,1))*3.8+LN(IF(AH56&gt;=1,AH56,1))*9.6+11.2*LN(IF(AI56&gt;=1,AI56,1))+6.4*AN56</f>
        <v>8.53494802761688</v>
      </c>
      <c r="AK56" s="160">
        <f>IF(AND(AG56&gt;0,AH56&gt;0,AI56&gt;0),AJ56,"")</f>
        <v>8.53494802761688</v>
      </c>
      <c r="AL56" s="160">
        <f>AK56+1.59*(135-AM56)</f>
        <v>8.53494802761688</v>
      </c>
      <c r="AM56" s="160">
        <f>IF(AV56&gt;135,135,IF(AV56&lt;120,120,AV56))</f>
        <v>135</v>
      </c>
      <c r="AN56" s="114">
        <v>1</v>
      </c>
      <c r="AO56" s="114">
        <v>1</v>
      </c>
      <c r="AP56" s="114">
        <v>10.46</v>
      </c>
      <c r="AQ56" s="114">
        <v>52</v>
      </c>
      <c r="AR56" s="114">
        <v>1.21</v>
      </c>
      <c r="AS56" s="160">
        <v>25</v>
      </c>
      <c r="AT56" s="161">
        <v>6.3</v>
      </c>
      <c r="AU56" s="114">
        <v>73</v>
      </c>
      <c r="AV56" s="114">
        <v>136</v>
      </c>
      <c r="AZ56" s="132" t="s">
        <v>203</v>
      </c>
    </row>
    <row r="57" s="125" customFormat="1" customHeight="1" spans="1:52">
      <c r="A57" s="125" t="s">
        <v>204</v>
      </c>
      <c r="B57" s="125" t="s">
        <v>48</v>
      </c>
      <c r="C57" s="125">
        <v>58</v>
      </c>
      <c r="D57" s="185">
        <v>1.76</v>
      </c>
      <c r="E57" s="125">
        <v>55</v>
      </c>
      <c r="F57" s="136">
        <f>E57/(D57*D57)</f>
        <v>17.7556818181818</v>
      </c>
      <c r="G57" s="125">
        <v>6</v>
      </c>
      <c r="H57" s="186">
        <v>43870</v>
      </c>
      <c r="I57" s="186">
        <v>43847</v>
      </c>
      <c r="J57" s="186">
        <v>43869</v>
      </c>
      <c r="K57" s="186">
        <v>43869</v>
      </c>
      <c r="L57" s="187">
        <v>2</v>
      </c>
      <c r="M57" s="187">
        <v>22</v>
      </c>
      <c r="N57" s="188" t="s">
        <v>205</v>
      </c>
      <c r="P57" s="125">
        <v>1</v>
      </c>
      <c r="T57" s="114">
        <v>1</v>
      </c>
      <c r="U57" s="114">
        <v>1</v>
      </c>
      <c r="V57" s="114">
        <v>1</v>
      </c>
      <c r="W57" s="114">
        <v>0</v>
      </c>
      <c r="X57" s="114">
        <v>1</v>
      </c>
      <c r="Y57" s="114">
        <v>3</v>
      </c>
      <c r="Z57" s="114"/>
      <c r="AA57" s="114">
        <v>3</v>
      </c>
      <c r="AB57" s="114">
        <f>_xlfn.IFS(AT57&lt;34,1,AT57=34-51,2,AT57&gt;51,3)</f>
        <v>3</v>
      </c>
      <c r="AC57" s="114">
        <f>_xlfn.IFS(AS57&lt;28,3,AS57=28-35,2,AS57&gt;35,1)</f>
        <v>3</v>
      </c>
      <c r="AD57" s="114">
        <f>_xlfn.IFS(AR57&lt;1.7,1,AR57=1.7-2.3,2,AR57&gt;2.3,3)</f>
        <v>1</v>
      </c>
      <c r="AE57" s="114">
        <f>Y57+AA57+AB57+AC57+AD57</f>
        <v>13</v>
      </c>
      <c r="AF57" s="116" t="s">
        <v>50</v>
      </c>
      <c r="AG57" s="114">
        <f>AT57/17.1</f>
        <v>6.80701754385965</v>
      </c>
      <c r="AH57" s="114">
        <f>AU57/88.4</f>
        <v>2.5</v>
      </c>
      <c r="AI57" s="114">
        <f>AR57</f>
        <v>1.63</v>
      </c>
      <c r="AJ57" s="159">
        <f>LN(IF(AG57&gt;=1,AG57,1))*3.8+LN(IF(AH57&gt;=1,AH57,1))*9.6+11.2*LN(IF(AI57&gt;=1,AI57,1))+6.4*AN57</f>
        <v>21.5567126647582</v>
      </c>
      <c r="AK57" s="160">
        <f>IF(AND(AG57&gt;0,AH57&gt;0,AI57&gt;0),AJ57,"")</f>
        <v>21.5567126647582</v>
      </c>
      <c r="AL57" s="160">
        <f>AK57+1.59*(135-AM57)</f>
        <v>24.7367126647582</v>
      </c>
      <c r="AM57" s="160">
        <f>IF(AV57&gt;135,135,IF(AV57&lt;120,120,AV57))</f>
        <v>133</v>
      </c>
      <c r="AN57" s="114">
        <v>0</v>
      </c>
      <c r="AO57" s="114">
        <v>3</v>
      </c>
      <c r="AP57" s="114">
        <v>7.64</v>
      </c>
      <c r="AQ57" s="114">
        <v>93</v>
      </c>
      <c r="AR57" s="114">
        <v>1.63</v>
      </c>
      <c r="AS57" s="160">
        <v>19</v>
      </c>
      <c r="AT57" s="161">
        <v>116.4</v>
      </c>
      <c r="AU57" s="114">
        <v>221</v>
      </c>
      <c r="AV57" s="114">
        <v>133</v>
      </c>
      <c r="AZ57" s="131" t="s">
        <v>58</v>
      </c>
    </row>
    <row r="58" spans="1:52">
      <c r="A58" s="117" t="s">
        <v>206</v>
      </c>
      <c r="B58" s="117" t="s">
        <v>53</v>
      </c>
      <c r="C58" s="117">
        <v>61</v>
      </c>
      <c r="D58" s="135">
        <v>1.6</v>
      </c>
      <c r="E58" s="117">
        <v>48</v>
      </c>
      <c r="F58" s="136">
        <f>E58/(D58*D58)</f>
        <v>18.75</v>
      </c>
      <c r="G58" s="117">
        <v>0</v>
      </c>
      <c r="H58" s="158">
        <v>43870</v>
      </c>
      <c r="I58" s="158">
        <v>43838</v>
      </c>
      <c r="J58" s="158">
        <v>43858</v>
      </c>
      <c r="K58" s="158"/>
      <c r="L58" s="137">
        <v>2</v>
      </c>
      <c r="M58" s="138">
        <v>20</v>
      </c>
      <c r="N58" s="139" t="s">
        <v>207</v>
      </c>
      <c r="Q58" s="117">
        <v>1</v>
      </c>
      <c r="R58" s="117">
        <v>1</v>
      </c>
      <c r="T58" s="114">
        <v>0</v>
      </c>
      <c r="U58" s="114">
        <v>0</v>
      </c>
      <c r="V58" s="114">
        <v>1</v>
      </c>
      <c r="W58" s="114">
        <v>0</v>
      </c>
      <c r="X58" s="114">
        <v>1</v>
      </c>
      <c r="Y58" s="114">
        <v>1</v>
      </c>
      <c r="Z58" s="114" t="s">
        <v>58</v>
      </c>
      <c r="AA58" s="114">
        <v>1</v>
      </c>
      <c r="AB58" s="114">
        <f>_xlfn.IFS(AT58&lt;34,1,AT58=34-51,2,AT58&gt;51,3)</f>
        <v>1</v>
      </c>
      <c r="AC58" s="114">
        <f>_xlfn.IFS(AS58&lt;28,3,AS58=28-35,2,AS58&gt;35,1)</f>
        <v>3</v>
      </c>
      <c r="AD58" s="114">
        <f>_xlfn.IFS(AR58&lt;1.7,1,AR58=1.7-2.3,2,AR58&gt;2.3,3)</f>
        <v>1</v>
      </c>
      <c r="AE58" s="114">
        <f>Y58+AA58+AB58+AC58+AD58</f>
        <v>7</v>
      </c>
      <c r="AF58" s="116" t="s">
        <v>63</v>
      </c>
      <c r="AG58" s="114">
        <f>AT58/17.1</f>
        <v>1.87719298245614</v>
      </c>
      <c r="AH58" s="114">
        <f>AU58/88.4</f>
        <v>0.429864253393665</v>
      </c>
      <c r="AI58" s="114">
        <f>AR58</f>
        <v>1.19</v>
      </c>
      <c r="AJ58" s="159">
        <f>LN(IF(AG58&gt;=1,AG58,1))*3.8+LN(IF(AH58&gt;=1,AH58,1))*9.6+11.2*LN(IF(AI58&gt;=1,AI58,1))+6.4*AN58</f>
        <v>4.34143179296646</v>
      </c>
      <c r="AK58" s="160">
        <f>IF(AND(AG58&gt;0,AH58&gt;0,AI58&gt;0),AJ58,"")</f>
        <v>4.34143179296646</v>
      </c>
      <c r="AL58" s="160">
        <f>AK58+1.59*(135-AM58)</f>
        <v>4.34143179296646</v>
      </c>
      <c r="AM58" s="160">
        <f>IF(AV58&gt;135,135,IF(AV58&lt;120,120,AV58))</f>
        <v>135</v>
      </c>
      <c r="AN58" s="114">
        <v>0</v>
      </c>
      <c r="AO58" s="114">
        <v>1</v>
      </c>
      <c r="AP58" s="114">
        <v>2.01</v>
      </c>
      <c r="AQ58" s="114">
        <v>66</v>
      </c>
      <c r="AR58" s="114">
        <v>1.19</v>
      </c>
      <c r="AS58" s="160">
        <v>25</v>
      </c>
      <c r="AT58" s="161">
        <v>32.1</v>
      </c>
      <c r="AU58" s="114">
        <v>38</v>
      </c>
      <c r="AV58" s="114">
        <v>139</v>
      </c>
      <c r="AZ58" s="119" t="s">
        <v>208</v>
      </c>
    </row>
    <row r="59" s="114" customFormat="1" spans="1:52">
      <c r="A59" s="114" t="s">
        <v>209</v>
      </c>
      <c r="B59" s="114" t="s">
        <v>48</v>
      </c>
      <c r="C59" s="114">
        <v>64</v>
      </c>
      <c r="D59" s="211">
        <v>1.65</v>
      </c>
      <c r="E59" s="114">
        <v>72</v>
      </c>
      <c r="F59" s="136">
        <f>E59/(D59*D59)</f>
        <v>26.4462809917355</v>
      </c>
      <c r="G59" s="212">
        <v>1</v>
      </c>
      <c r="H59" s="210">
        <v>43851</v>
      </c>
      <c r="I59" s="210">
        <v>43797</v>
      </c>
      <c r="J59" s="210">
        <v>43804</v>
      </c>
      <c r="K59" s="210"/>
      <c r="L59" s="138">
        <v>2</v>
      </c>
      <c r="M59" s="138">
        <v>7</v>
      </c>
      <c r="N59" s="213" t="s">
        <v>210</v>
      </c>
      <c r="P59" s="114">
        <v>1</v>
      </c>
      <c r="T59" s="114">
        <v>0</v>
      </c>
      <c r="U59" s="114">
        <v>0</v>
      </c>
      <c r="V59" s="114">
        <v>1</v>
      </c>
      <c r="W59" s="114">
        <v>0</v>
      </c>
      <c r="X59" s="114">
        <v>1</v>
      </c>
      <c r="Y59" s="114">
        <v>1</v>
      </c>
      <c r="Z59" s="114" t="s">
        <v>58</v>
      </c>
      <c r="AA59" s="114">
        <v>1</v>
      </c>
      <c r="AB59" s="114">
        <f>_xlfn.IFS(AT59&lt;34,1,AT59=34-51,2,AT59&gt;51,3)</f>
        <v>1</v>
      </c>
      <c r="AC59" s="114">
        <v>2</v>
      </c>
      <c r="AD59" s="114">
        <f t="shared" ref="AD59:AD66" si="6">_xlfn.IFS(AR59&lt;1.7,1,AR59=1.7-2.3,2,AR59&gt;2.3,3)</f>
        <v>1</v>
      </c>
      <c r="AE59" s="114">
        <f>Y59+AA59+AB59+AC59+AD59</f>
        <v>6</v>
      </c>
      <c r="AF59" s="116" t="s">
        <v>59</v>
      </c>
      <c r="AG59" s="114">
        <f>AT59/17.1</f>
        <v>0.970760233918129</v>
      </c>
      <c r="AH59" s="114">
        <f>AU59/88.4</f>
        <v>0.82579185520362</v>
      </c>
      <c r="AI59" s="114">
        <f>AR59</f>
        <v>1.38</v>
      </c>
      <c r="AJ59" s="159">
        <f t="shared" ref="AJ59:AJ83" si="7">LN(IF(AG59&gt;=1,AG59,1))*3.8+LN(IF(AH59&gt;=1,AH59,1))*9.6+11.2*LN(IF(AI59&gt;=1,AI59,1))+6.4*AN59</f>
        <v>3.60733519069407</v>
      </c>
      <c r="AK59" s="160">
        <f t="shared" ref="AK59:AK64" si="8">IF(AND(AG59&gt;0,AH59&gt;0,AI59&gt;0),AJ59,"")</f>
        <v>3.60733519069407</v>
      </c>
      <c r="AL59" s="160">
        <f>AK59+1.59*(135-AM59)</f>
        <v>3.60733519069407</v>
      </c>
      <c r="AM59" s="160">
        <f t="shared" ref="AM59:AM67" si="9">IF(AV59&gt;135,135,IF(AV59&lt;120,120,AV59))</f>
        <v>135</v>
      </c>
      <c r="AN59" s="114">
        <v>0</v>
      </c>
      <c r="AO59" s="114">
        <v>1</v>
      </c>
      <c r="AP59" s="114">
        <v>2.15</v>
      </c>
      <c r="AQ59" s="114">
        <v>72</v>
      </c>
      <c r="AR59" s="114">
        <v>1.38</v>
      </c>
      <c r="AS59" s="160">
        <v>29</v>
      </c>
      <c r="AT59" s="161">
        <v>16.6</v>
      </c>
      <c r="AU59" s="114">
        <v>73</v>
      </c>
      <c r="AV59" s="114">
        <v>141</v>
      </c>
      <c r="AZ59" s="116" t="s">
        <v>211</v>
      </c>
    </row>
    <row r="60" spans="1:52">
      <c r="A60" s="117" t="s">
        <v>212</v>
      </c>
      <c r="B60" s="117" t="s">
        <v>48</v>
      </c>
      <c r="C60" s="117">
        <v>43</v>
      </c>
      <c r="D60" s="135">
        <v>1.7</v>
      </c>
      <c r="E60" s="117">
        <v>65</v>
      </c>
      <c r="F60" s="136">
        <f>E60/(D60*D60)</f>
        <v>22.4913494809689</v>
      </c>
      <c r="G60" s="117">
        <v>0</v>
      </c>
      <c r="H60" s="158">
        <v>43870</v>
      </c>
      <c r="I60" s="158">
        <v>43864</v>
      </c>
      <c r="J60" s="158">
        <v>43868</v>
      </c>
      <c r="K60" s="158"/>
      <c r="L60" s="137">
        <v>1</v>
      </c>
      <c r="M60" s="138">
        <v>4</v>
      </c>
      <c r="N60" s="139" t="s">
        <v>213</v>
      </c>
      <c r="S60" s="117">
        <v>1</v>
      </c>
      <c r="T60" s="114">
        <v>0</v>
      </c>
      <c r="U60" s="114">
        <v>0</v>
      </c>
      <c r="V60" s="114">
        <v>0</v>
      </c>
      <c r="W60" s="114">
        <v>0</v>
      </c>
      <c r="X60" s="114">
        <v>1</v>
      </c>
      <c r="Y60" s="114">
        <v>1</v>
      </c>
      <c r="Z60" s="114" t="s">
        <v>58</v>
      </c>
      <c r="AA60" s="114">
        <v>1</v>
      </c>
      <c r="AB60" s="114">
        <f>_xlfn.IFS(AT60&lt;34,1,AT60=34-51,2,AT60&gt;51,3)</f>
        <v>1</v>
      </c>
      <c r="AC60" s="114">
        <f>_xlfn.IFS(AS60&lt;28,3,AS60=28-35,2,AS60&gt;35,1)</f>
        <v>1</v>
      </c>
      <c r="AD60" s="114">
        <f t="shared" si="6"/>
        <v>1</v>
      </c>
      <c r="AE60" s="114">
        <f>Y60+AA60+AB60+AC60+AD60</f>
        <v>5</v>
      </c>
      <c r="AF60" s="116" t="s">
        <v>59</v>
      </c>
      <c r="AG60" s="114">
        <f>AT60/17.1</f>
        <v>0.649122807017544</v>
      </c>
      <c r="AH60" s="114">
        <f>AU60/88.4</f>
        <v>0.644796380090498</v>
      </c>
      <c r="AI60" s="114">
        <f>AR60</f>
        <v>1.19</v>
      </c>
      <c r="AJ60" s="159">
        <f t="shared" si="7"/>
        <v>8.34827703978251</v>
      </c>
      <c r="AK60" s="160">
        <f t="shared" si="8"/>
        <v>8.34827703978251</v>
      </c>
      <c r="AL60" s="160">
        <f>AK60+1.59*(135-AM60)</f>
        <v>8.34827703978251</v>
      </c>
      <c r="AM60" s="160">
        <f t="shared" si="9"/>
        <v>135</v>
      </c>
      <c r="AN60" s="114">
        <v>1</v>
      </c>
      <c r="AO60" s="114">
        <v>1</v>
      </c>
      <c r="AP60" s="114">
        <v>7.3</v>
      </c>
      <c r="AQ60" s="114">
        <v>141</v>
      </c>
      <c r="AR60" s="114">
        <v>1.19</v>
      </c>
      <c r="AS60" s="160">
        <v>39</v>
      </c>
      <c r="AT60" s="161">
        <v>11.1</v>
      </c>
      <c r="AU60" s="114">
        <v>57</v>
      </c>
      <c r="AV60" s="114">
        <v>141</v>
      </c>
      <c r="AZ60" s="119" t="s">
        <v>214</v>
      </c>
    </row>
    <row r="61" spans="1:52">
      <c r="A61" s="117" t="s">
        <v>215</v>
      </c>
      <c r="B61" s="117" t="s">
        <v>48</v>
      </c>
      <c r="C61" s="117">
        <v>60</v>
      </c>
      <c r="D61" s="135">
        <v>1.7</v>
      </c>
      <c r="E61" s="117">
        <v>62</v>
      </c>
      <c r="F61" s="136">
        <f>E61/(D61*D61)</f>
        <v>21.4532871972318</v>
      </c>
      <c r="G61" s="117">
        <v>6</v>
      </c>
      <c r="H61" s="158">
        <v>43870</v>
      </c>
      <c r="I61" s="158">
        <v>43864</v>
      </c>
      <c r="J61" s="158">
        <v>43876</v>
      </c>
      <c r="L61" s="137">
        <v>3</v>
      </c>
      <c r="M61" s="137">
        <v>12</v>
      </c>
      <c r="N61" s="139" t="s">
        <v>216</v>
      </c>
      <c r="P61" s="117">
        <v>1</v>
      </c>
      <c r="Q61" s="117">
        <v>1</v>
      </c>
      <c r="T61" s="114">
        <v>0</v>
      </c>
      <c r="U61" s="114">
        <v>0</v>
      </c>
      <c r="V61" s="114">
        <v>1</v>
      </c>
      <c r="W61" s="114">
        <v>0</v>
      </c>
      <c r="X61" s="114">
        <v>1</v>
      </c>
      <c r="Y61" s="114">
        <v>1</v>
      </c>
      <c r="Z61" s="114" t="s">
        <v>58</v>
      </c>
      <c r="AA61" s="114">
        <v>1</v>
      </c>
      <c r="AB61" s="114">
        <v>2</v>
      </c>
      <c r="AC61" s="114">
        <f>_xlfn.IFS(AS61&lt;28,3,AS61=28-35,2,AS61&gt;35,1)</f>
        <v>3</v>
      </c>
      <c r="AD61" s="114">
        <f t="shared" si="6"/>
        <v>1</v>
      </c>
      <c r="AE61" s="114">
        <f>Y61+AA61+AB61+AC61+AD61</f>
        <v>8</v>
      </c>
      <c r="AF61" s="116" t="s">
        <v>63</v>
      </c>
      <c r="AG61" s="114">
        <f>AT61/17.1</f>
        <v>2.11695906432749</v>
      </c>
      <c r="AH61" s="114">
        <f>AU61/88.4</f>
        <v>0.610859728506787</v>
      </c>
      <c r="AI61" s="114">
        <f>AR61</f>
        <v>1.41</v>
      </c>
      <c r="AJ61" s="159">
        <f t="shared" si="7"/>
        <v>6.69813117939668</v>
      </c>
      <c r="AK61" s="160">
        <f t="shared" si="8"/>
        <v>6.69813117939668</v>
      </c>
      <c r="AL61" s="160">
        <f>AK61+1.59*(135-AM61)</f>
        <v>8.28813117939668</v>
      </c>
      <c r="AM61" s="160">
        <f t="shared" si="9"/>
        <v>134</v>
      </c>
      <c r="AN61" s="114">
        <v>0</v>
      </c>
      <c r="AO61" s="114">
        <v>1</v>
      </c>
      <c r="AP61" s="114">
        <v>8.41</v>
      </c>
      <c r="AQ61" s="114">
        <v>80</v>
      </c>
      <c r="AR61" s="114">
        <v>1.41</v>
      </c>
      <c r="AS61" s="160">
        <v>27</v>
      </c>
      <c r="AT61" s="161">
        <v>36.2</v>
      </c>
      <c r="AU61" s="114">
        <v>54</v>
      </c>
      <c r="AV61" s="114">
        <v>134</v>
      </c>
      <c r="AZ61" s="119" t="s">
        <v>217</v>
      </c>
    </row>
    <row r="62" spans="1:52">
      <c r="A62" s="117" t="s">
        <v>218</v>
      </c>
      <c r="B62" s="117" t="s">
        <v>53</v>
      </c>
      <c r="C62" s="117">
        <v>61</v>
      </c>
      <c r="D62" s="135">
        <v>1.55</v>
      </c>
      <c r="E62" s="117">
        <v>75</v>
      </c>
      <c r="F62" s="136">
        <f>E62/(D62*D62)</f>
        <v>31.2174817898023</v>
      </c>
      <c r="G62" s="117">
        <v>0</v>
      </c>
      <c r="H62" s="158">
        <v>43871</v>
      </c>
      <c r="I62" s="158">
        <v>43862</v>
      </c>
      <c r="J62" s="158">
        <v>43871</v>
      </c>
      <c r="K62" s="158"/>
      <c r="L62" s="137">
        <v>6</v>
      </c>
      <c r="M62" s="138">
        <v>9</v>
      </c>
      <c r="N62" s="139" t="s">
        <v>219</v>
      </c>
      <c r="O62" s="117">
        <v>1</v>
      </c>
      <c r="T62" s="114">
        <v>0</v>
      </c>
      <c r="U62" s="114">
        <v>0</v>
      </c>
      <c r="V62" s="114">
        <v>1</v>
      </c>
      <c r="W62" s="114">
        <v>0</v>
      </c>
      <c r="X62" s="114">
        <v>1</v>
      </c>
      <c r="Y62" s="114">
        <v>1</v>
      </c>
      <c r="Z62" s="114" t="s">
        <v>58</v>
      </c>
      <c r="AA62" s="114">
        <v>1</v>
      </c>
      <c r="AB62" s="114">
        <f>_xlfn.IFS(AT62&lt;34,1,AT62=34-51,2,AT62&gt;51,3)</f>
        <v>1</v>
      </c>
      <c r="AC62" s="114">
        <v>2</v>
      </c>
      <c r="AD62" s="114">
        <f t="shared" si="6"/>
        <v>1</v>
      </c>
      <c r="AE62" s="114">
        <f>Y62+AA62+AB62+AC62+AD62</f>
        <v>6</v>
      </c>
      <c r="AF62" s="116" t="s">
        <v>59</v>
      </c>
      <c r="AG62" s="114">
        <f>AT62/17.1</f>
        <v>0.713450292397661</v>
      </c>
      <c r="AH62" s="114">
        <f>AU62/88.4</f>
        <v>0.395927601809955</v>
      </c>
      <c r="AI62" s="114">
        <f>AR62</f>
        <v>1.27</v>
      </c>
      <c r="AJ62" s="159">
        <f t="shared" si="7"/>
        <v>9.0769892852696</v>
      </c>
      <c r="AK62" s="160">
        <f t="shared" si="8"/>
        <v>9.0769892852696</v>
      </c>
      <c r="AL62" s="160">
        <f>AK62+1.59*(135-AM62)</f>
        <v>9.0769892852696</v>
      </c>
      <c r="AM62" s="160">
        <f t="shared" si="9"/>
        <v>135</v>
      </c>
      <c r="AN62" s="114">
        <v>1</v>
      </c>
      <c r="AO62" s="114">
        <v>1</v>
      </c>
      <c r="AP62" s="114">
        <v>3.42</v>
      </c>
      <c r="AQ62" s="114">
        <v>81</v>
      </c>
      <c r="AR62" s="114">
        <v>1.27</v>
      </c>
      <c r="AS62" s="160">
        <v>32</v>
      </c>
      <c r="AT62" s="161">
        <v>12.2</v>
      </c>
      <c r="AU62" s="114">
        <v>35</v>
      </c>
      <c r="AV62" s="114">
        <v>137</v>
      </c>
      <c r="AZ62" s="119" t="s">
        <v>220</v>
      </c>
    </row>
    <row r="63" s="128" customFormat="1" spans="1:52">
      <c r="A63" s="128" t="s">
        <v>166</v>
      </c>
      <c r="B63" s="128" t="s">
        <v>48</v>
      </c>
      <c r="C63" s="128">
        <v>70</v>
      </c>
      <c r="D63" s="204">
        <v>1.74</v>
      </c>
      <c r="E63" s="128">
        <v>82</v>
      </c>
      <c r="F63" s="205">
        <f>E63/(D63*D63)</f>
        <v>27.0841590698903</v>
      </c>
      <c r="G63" s="128">
        <v>0</v>
      </c>
      <c r="H63" s="206">
        <v>43870</v>
      </c>
      <c r="I63" s="206">
        <v>43866</v>
      </c>
      <c r="J63" s="206">
        <v>43871</v>
      </c>
      <c r="K63" s="206"/>
      <c r="L63" s="207">
        <v>4</v>
      </c>
      <c r="M63" s="207">
        <v>5</v>
      </c>
      <c r="N63" s="208" t="s">
        <v>221</v>
      </c>
      <c r="S63" s="128">
        <v>1</v>
      </c>
      <c r="T63" s="114">
        <v>0</v>
      </c>
      <c r="U63" s="114">
        <v>0</v>
      </c>
      <c r="V63" s="114">
        <v>1</v>
      </c>
      <c r="W63" s="114">
        <v>0</v>
      </c>
      <c r="X63" s="114">
        <v>1</v>
      </c>
      <c r="Y63" s="114">
        <v>1</v>
      </c>
      <c r="Z63" s="114" t="s">
        <v>58</v>
      </c>
      <c r="AA63" s="114">
        <v>1</v>
      </c>
      <c r="AB63" s="114">
        <f>_xlfn.IFS(AT63&lt;34,1,AT63=34-51,2,AT63&gt;51,3)</f>
        <v>1</v>
      </c>
      <c r="AC63" s="114">
        <f>_xlfn.IFS(AS63&lt;28,3,AS63=28-35,2,AS63&gt;35,1)</f>
        <v>1</v>
      </c>
      <c r="AD63" s="114">
        <f t="shared" si="6"/>
        <v>1</v>
      </c>
      <c r="AE63" s="114">
        <f>Y63+AA63+AB63+AC63+AD63</f>
        <v>5</v>
      </c>
      <c r="AF63" s="116" t="s">
        <v>59</v>
      </c>
      <c r="AG63" s="114">
        <f>AT63/17.1</f>
        <v>1.01754385964912</v>
      </c>
      <c r="AH63" s="114">
        <f>AU63/88.4</f>
        <v>0.927601809954751</v>
      </c>
      <c r="AI63" s="114">
        <f>AR63</f>
        <v>1.17</v>
      </c>
      <c r="AJ63" s="159">
        <f t="shared" si="7"/>
        <v>8.22453060897335</v>
      </c>
      <c r="AK63" s="160">
        <f t="shared" si="8"/>
        <v>8.22453060897335</v>
      </c>
      <c r="AL63" s="160">
        <f>AK63+1.59*(135-AM63)</f>
        <v>8.22453060897335</v>
      </c>
      <c r="AM63" s="160">
        <f t="shared" si="9"/>
        <v>135</v>
      </c>
      <c r="AN63" s="114">
        <v>1</v>
      </c>
      <c r="AO63" s="114">
        <v>1</v>
      </c>
      <c r="AP63" s="114">
        <v>7.51</v>
      </c>
      <c r="AQ63" s="114">
        <v>140</v>
      </c>
      <c r="AR63" s="114">
        <v>1.17</v>
      </c>
      <c r="AS63" s="160">
        <v>45</v>
      </c>
      <c r="AT63" s="161">
        <v>17.4</v>
      </c>
      <c r="AU63" s="114">
        <v>82</v>
      </c>
      <c r="AV63" s="114">
        <v>137</v>
      </c>
      <c r="AZ63" s="209" t="s">
        <v>58</v>
      </c>
    </row>
    <row r="64" spans="1:52">
      <c r="A64" s="117" t="s">
        <v>222</v>
      </c>
      <c r="B64" s="117" t="s">
        <v>48</v>
      </c>
      <c r="C64" s="117">
        <v>50</v>
      </c>
      <c r="D64" s="135">
        <v>1.8</v>
      </c>
      <c r="E64" s="117">
        <v>90</v>
      </c>
      <c r="F64" s="136">
        <f>E64/(D64*D64)</f>
        <v>27.7777777777778</v>
      </c>
      <c r="G64" s="117">
        <v>6</v>
      </c>
      <c r="H64" s="158">
        <v>43852</v>
      </c>
      <c r="I64" s="158">
        <v>43852</v>
      </c>
      <c r="J64" s="158">
        <v>43900</v>
      </c>
      <c r="K64" s="158"/>
      <c r="L64" s="137">
        <v>2</v>
      </c>
      <c r="M64" s="138">
        <v>48</v>
      </c>
      <c r="N64" s="139" t="s">
        <v>223</v>
      </c>
      <c r="P64" s="117">
        <v>1</v>
      </c>
      <c r="T64" s="114">
        <v>0</v>
      </c>
      <c r="U64" s="114">
        <v>0</v>
      </c>
      <c r="V64" s="114">
        <v>1</v>
      </c>
      <c r="W64" s="114">
        <v>1</v>
      </c>
      <c r="X64" s="114">
        <v>1</v>
      </c>
      <c r="Y64" s="114">
        <v>1</v>
      </c>
      <c r="Z64" s="114" t="s">
        <v>58</v>
      </c>
      <c r="AA64" s="114">
        <v>1</v>
      </c>
      <c r="AB64" s="114">
        <v>2</v>
      </c>
      <c r="AC64" s="114">
        <v>2</v>
      </c>
      <c r="AD64" s="114">
        <f t="shared" si="6"/>
        <v>1</v>
      </c>
      <c r="AE64" s="114">
        <f>Y64+AA64+AB64+AC64+AD64</f>
        <v>7</v>
      </c>
      <c r="AF64" s="116" t="s">
        <v>63</v>
      </c>
      <c r="AG64" s="114">
        <f>AT64/17.1</f>
        <v>2.53216374269006</v>
      </c>
      <c r="AH64" s="114">
        <f>AU64/88.4</f>
        <v>0.701357466063348</v>
      </c>
      <c r="AI64" s="114">
        <f>AR64</f>
        <v>1.34</v>
      </c>
      <c r="AJ64" s="159">
        <f t="shared" si="7"/>
        <v>6.80838152808294</v>
      </c>
      <c r="AK64" s="160">
        <f t="shared" si="8"/>
        <v>6.80838152808294</v>
      </c>
      <c r="AL64" s="160">
        <f>AK64+1.59*(135-AM64)</f>
        <v>6.80838152808294</v>
      </c>
      <c r="AM64" s="160">
        <f t="shared" si="9"/>
        <v>135</v>
      </c>
      <c r="AN64" s="114">
        <v>0</v>
      </c>
      <c r="AO64" s="114">
        <v>1</v>
      </c>
      <c r="AP64" s="114">
        <v>6.58</v>
      </c>
      <c r="AQ64" s="114">
        <v>130</v>
      </c>
      <c r="AR64" s="114">
        <v>1.34</v>
      </c>
      <c r="AS64" s="160">
        <v>28</v>
      </c>
      <c r="AT64" s="161">
        <v>43.3</v>
      </c>
      <c r="AU64" s="114">
        <v>62</v>
      </c>
      <c r="AV64" s="114">
        <v>140</v>
      </c>
      <c r="AZ64" s="119" t="s">
        <v>224</v>
      </c>
    </row>
    <row r="65" spans="1:52">
      <c r="A65" s="117" t="s">
        <v>225</v>
      </c>
      <c r="B65" s="117" t="s">
        <v>48</v>
      </c>
      <c r="C65" s="117">
        <v>78</v>
      </c>
      <c r="D65" s="135">
        <v>1.72</v>
      </c>
      <c r="E65" s="117">
        <v>80</v>
      </c>
      <c r="F65" s="136">
        <f>E65/(D65*D65)</f>
        <v>27.0416441319632</v>
      </c>
      <c r="G65" s="117">
        <v>6</v>
      </c>
      <c r="H65" s="158">
        <v>43895</v>
      </c>
      <c r="I65" s="158">
        <v>43895</v>
      </c>
      <c r="J65" s="158">
        <v>43904</v>
      </c>
      <c r="K65" s="158"/>
      <c r="L65" s="137">
        <v>2</v>
      </c>
      <c r="M65" s="137">
        <v>9</v>
      </c>
      <c r="N65" s="139" t="s">
        <v>226</v>
      </c>
      <c r="Q65" s="117">
        <v>1</v>
      </c>
      <c r="T65" s="114">
        <v>1</v>
      </c>
      <c r="U65" s="114">
        <v>0</v>
      </c>
      <c r="V65" s="114">
        <v>1</v>
      </c>
      <c r="W65" s="114">
        <v>0</v>
      </c>
      <c r="X65" s="114">
        <v>1</v>
      </c>
      <c r="Y65" s="114">
        <v>1</v>
      </c>
      <c r="Z65" s="114"/>
      <c r="AA65" s="114">
        <v>3</v>
      </c>
      <c r="AB65" s="114">
        <f>_xlfn.IFS(AT65&lt;34,1,AT65=34-51,2,AT65&gt;51,3)</f>
        <v>1</v>
      </c>
      <c r="AC65" s="114">
        <f>_xlfn.IFS(AS65&lt;28,3,AS65=28-35,2,AS65&gt;35,1)</f>
        <v>3</v>
      </c>
      <c r="AD65" s="114">
        <f t="shared" si="6"/>
        <v>1</v>
      </c>
      <c r="AE65" s="114">
        <f>Y65+AA65+AB65+AC65+AD65</f>
        <v>9</v>
      </c>
      <c r="AF65" s="116" t="s">
        <v>63</v>
      </c>
      <c r="AG65" s="114">
        <f>AT65/17.1</f>
        <v>1.2280701754386</v>
      </c>
      <c r="AH65" s="114">
        <f>AU65/88.4</f>
        <v>1.45927601809955</v>
      </c>
      <c r="AI65" s="114">
        <f>AR65</f>
        <v>1.3</v>
      </c>
      <c r="AJ65" s="159">
        <f t="shared" si="7"/>
        <v>13.7473950373457</v>
      </c>
      <c r="AK65" s="160">
        <f>IF(AND(AG65&gt;0,AH65&gt;0,AI65&gt;0),AJ65,"")</f>
        <v>13.7473950373457</v>
      </c>
      <c r="AL65" s="160">
        <f>AK65+1.59*(135-AM65)</f>
        <v>13.7473950373457</v>
      </c>
      <c r="AM65" s="160">
        <f t="shared" si="9"/>
        <v>135</v>
      </c>
      <c r="AN65" s="114">
        <v>1</v>
      </c>
      <c r="AO65" s="114">
        <v>1</v>
      </c>
      <c r="AP65" s="114">
        <v>4.73</v>
      </c>
      <c r="AQ65" s="114">
        <v>56</v>
      </c>
      <c r="AR65" s="114">
        <v>1.3</v>
      </c>
      <c r="AS65" s="160">
        <v>27</v>
      </c>
      <c r="AT65" s="161">
        <v>21</v>
      </c>
      <c r="AU65" s="114">
        <v>129</v>
      </c>
      <c r="AV65" s="114">
        <v>140</v>
      </c>
      <c r="AZ65" s="119" t="s">
        <v>227</v>
      </c>
    </row>
    <row r="66" s="128" customFormat="1" spans="1:52">
      <c r="A66" s="128" t="s">
        <v>228</v>
      </c>
      <c r="B66" s="128" t="s">
        <v>53</v>
      </c>
      <c r="C66" s="128">
        <v>50</v>
      </c>
      <c r="D66" s="204">
        <v>1.58</v>
      </c>
      <c r="E66" s="128">
        <v>60</v>
      </c>
      <c r="F66" s="205">
        <f>E66/(D66*D66)</f>
        <v>24.034609838167</v>
      </c>
      <c r="G66" s="128">
        <v>0</v>
      </c>
      <c r="H66" s="206">
        <v>43889</v>
      </c>
      <c r="I66" s="206">
        <v>43886</v>
      </c>
      <c r="J66" s="206">
        <v>43913</v>
      </c>
      <c r="K66" s="206"/>
      <c r="L66" s="207">
        <v>1</v>
      </c>
      <c r="M66" s="207">
        <v>27</v>
      </c>
      <c r="N66" s="208" t="s">
        <v>229</v>
      </c>
      <c r="S66" s="128">
        <v>1</v>
      </c>
      <c r="T66" s="114">
        <v>0</v>
      </c>
      <c r="U66" s="114">
        <v>0</v>
      </c>
      <c r="V66" s="114">
        <v>0</v>
      </c>
      <c r="W66" s="114">
        <v>1</v>
      </c>
      <c r="X66" s="114">
        <v>1</v>
      </c>
      <c r="Y66" s="114">
        <v>1</v>
      </c>
      <c r="Z66" s="114" t="s">
        <v>58</v>
      </c>
      <c r="AA66" s="114">
        <v>1</v>
      </c>
      <c r="AB66" s="114">
        <f>_xlfn.IFS(AT66&lt;34,1,AT66=34-51,2,AT66&gt;51,3)</f>
        <v>1</v>
      </c>
      <c r="AC66" s="114">
        <f>_xlfn.IFS(AS66&lt;28,3,AS66=28-35,2,AS66&gt;35,1)</f>
        <v>3</v>
      </c>
      <c r="AD66" s="114">
        <f t="shared" si="6"/>
        <v>1</v>
      </c>
      <c r="AE66" s="114">
        <f>Y66+AA66+AB66+AC66+AD66</f>
        <v>7</v>
      </c>
      <c r="AF66" s="116" t="s">
        <v>63</v>
      </c>
      <c r="AG66" s="114">
        <f>AT66/17.1</f>
        <v>0.842105263157895</v>
      </c>
      <c r="AH66" s="114">
        <f>AU66/88.4</f>
        <v>0.667420814479638</v>
      </c>
      <c r="AI66" s="114">
        <f>AR66</f>
        <v>1.17</v>
      </c>
      <c r="AJ66" s="159">
        <f t="shared" si="7"/>
        <v>8.15844198666824</v>
      </c>
      <c r="AK66" s="160">
        <f>IF(AND(AG66&gt;0,AH66&gt;0,AI66&gt;0),AJ66,"")</f>
        <v>8.15844198666824</v>
      </c>
      <c r="AL66" s="160">
        <f>AK66+1.59*(135-AM66)</f>
        <v>8.15844198666824</v>
      </c>
      <c r="AM66" s="160">
        <f t="shared" si="9"/>
        <v>135</v>
      </c>
      <c r="AN66" s="114">
        <v>1</v>
      </c>
      <c r="AO66" s="114">
        <v>1</v>
      </c>
      <c r="AP66" s="114">
        <v>4.7</v>
      </c>
      <c r="AQ66" s="114">
        <v>53</v>
      </c>
      <c r="AR66" s="114">
        <v>1.17</v>
      </c>
      <c r="AS66" s="160">
        <v>20</v>
      </c>
      <c r="AT66" s="161">
        <v>14.4</v>
      </c>
      <c r="AU66" s="114">
        <v>59</v>
      </c>
      <c r="AV66" s="114">
        <v>139</v>
      </c>
      <c r="AZ66" s="209" t="s">
        <v>230</v>
      </c>
    </row>
    <row r="67" s="125" customFormat="1" spans="1:52">
      <c r="A67" s="125" t="s">
        <v>231</v>
      </c>
      <c r="B67" s="125" t="s">
        <v>53</v>
      </c>
      <c r="C67" s="125">
        <v>54</v>
      </c>
      <c r="D67" s="185">
        <v>1.6</v>
      </c>
      <c r="E67" s="125">
        <v>50</v>
      </c>
      <c r="F67" s="136">
        <f>E67/(D67*D67)</f>
        <v>19.53125</v>
      </c>
      <c r="G67" s="125">
        <v>6</v>
      </c>
      <c r="H67" s="186">
        <v>43892</v>
      </c>
      <c r="I67" s="186">
        <v>43892</v>
      </c>
      <c r="J67" s="186">
        <v>43906</v>
      </c>
      <c r="K67" s="186">
        <v>44115</v>
      </c>
      <c r="L67" s="187">
        <v>1</v>
      </c>
      <c r="M67" s="187">
        <v>14</v>
      </c>
      <c r="N67" s="188" t="s">
        <v>232</v>
      </c>
      <c r="P67" s="125">
        <v>1</v>
      </c>
      <c r="T67" s="114">
        <v>0</v>
      </c>
      <c r="U67" s="114">
        <v>0</v>
      </c>
      <c r="V67" s="114">
        <v>0</v>
      </c>
      <c r="W67" s="114">
        <v>1</v>
      </c>
      <c r="X67" s="114">
        <v>1</v>
      </c>
      <c r="Y67" s="114">
        <v>1</v>
      </c>
      <c r="Z67" s="114" t="s">
        <v>58</v>
      </c>
      <c r="AA67" s="114">
        <v>1</v>
      </c>
      <c r="AB67" s="114">
        <f>_xlfn.IFS(AT67&lt;34,1,AT67=34-51,2,AT67&gt;51,3)</f>
        <v>3</v>
      </c>
      <c r="AC67" s="114">
        <f>_xlfn.IFS(AS67&lt;28,3,AS67=28-35,2,AS67&gt;35,1)</f>
        <v>3</v>
      </c>
      <c r="AD67" s="114">
        <v>2</v>
      </c>
      <c r="AE67" s="114">
        <f>Y67+AA67+AB67+AC67+AD67</f>
        <v>10</v>
      </c>
      <c r="AF67" s="116" t="s">
        <v>50</v>
      </c>
      <c r="AG67" s="114">
        <f>AT67/17.1</f>
        <v>7.59649122807018</v>
      </c>
      <c r="AH67" s="114">
        <f>AU67/88.4</f>
        <v>0.373303167420814</v>
      </c>
      <c r="AI67" s="114">
        <f>AR67</f>
        <v>2.22</v>
      </c>
      <c r="AJ67" s="159">
        <f t="shared" si="7"/>
        <v>16.6372891425411</v>
      </c>
      <c r="AK67" s="160">
        <f>IF(AND(AG67&gt;0,AH67&gt;0,AI67&gt;0),AJ67,"")</f>
        <v>16.6372891425411</v>
      </c>
      <c r="AL67" s="160">
        <f>AK67+1.59*(135-AM67)</f>
        <v>19.8172891425411</v>
      </c>
      <c r="AM67" s="160">
        <f t="shared" si="9"/>
        <v>133</v>
      </c>
      <c r="AN67" s="114">
        <v>0</v>
      </c>
      <c r="AO67" s="114">
        <v>2</v>
      </c>
      <c r="AP67" s="114">
        <v>9.98</v>
      </c>
      <c r="AQ67" s="114">
        <v>66</v>
      </c>
      <c r="AR67" s="114">
        <v>2.22</v>
      </c>
      <c r="AS67" s="160">
        <v>22</v>
      </c>
      <c r="AT67" s="161">
        <v>129.9</v>
      </c>
      <c r="AU67" s="114">
        <v>33</v>
      </c>
      <c r="AV67" s="114">
        <v>133</v>
      </c>
      <c r="AZ67" s="131" t="s">
        <v>233</v>
      </c>
    </row>
    <row r="68" spans="1:52">
      <c r="A68" s="117" t="s">
        <v>234</v>
      </c>
      <c r="B68" s="117" t="s">
        <v>48</v>
      </c>
      <c r="C68" s="117">
        <v>63</v>
      </c>
      <c r="D68" s="135">
        <v>1.72</v>
      </c>
      <c r="E68" s="117">
        <v>93</v>
      </c>
      <c r="F68" s="136">
        <f>E68/(D68*D68)</f>
        <v>31.4359113034073</v>
      </c>
      <c r="G68" s="117">
        <v>6</v>
      </c>
      <c r="H68" s="158">
        <v>43892</v>
      </c>
      <c r="I68" s="158">
        <v>43892</v>
      </c>
      <c r="J68" s="158">
        <v>43910</v>
      </c>
      <c r="K68" s="158"/>
      <c r="L68" s="137">
        <v>1</v>
      </c>
      <c r="M68" s="137">
        <v>18</v>
      </c>
      <c r="N68" s="139" t="s">
        <v>235</v>
      </c>
      <c r="P68" s="117">
        <v>1</v>
      </c>
      <c r="T68" s="114">
        <v>1</v>
      </c>
      <c r="U68" s="114">
        <v>0</v>
      </c>
      <c r="V68" s="114">
        <v>0</v>
      </c>
      <c r="W68" s="114">
        <v>0</v>
      </c>
      <c r="X68" s="114">
        <v>1</v>
      </c>
      <c r="Y68" s="114">
        <v>1</v>
      </c>
      <c r="Z68" s="114"/>
      <c r="AA68" s="114">
        <v>2</v>
      </c>
      <c r="AB68" s="114">
        <f>_xlfn.IFS(AT68&lt;34,1,AT68=34-51,2,AT68&gt;51,3)</f>
        <v>3</v>
      </c>
      <c r="AC68" s="114">
        <f>_xlfn.IFS(AS68&lt;28,3,AS68=28-35,2,AS68&gt;35,1)</f>
        <v>3</v>
      </c>
      <c r="AD68" s="114">
        <f>_xlfn.IFS(AR68&lt;1.7,1,AR68=1.7-2.3,2,AR68&gt;2.3,3)</f>
        <v>1</v>
      </c>
      <c r="AE68" s="114">
        <f>Y68+AA68+AB68+AC68+AD68</f>
        <v>10</v>
      </c>
      <c r="AF68" s="116" t="s">
        <v>50</v>
      </c>
      <c r="AG68" s="114">
        <f>AT68/17.1</f>
        <v>3.11111111111111</v>
      </c>
      <c r="AH68" s="114">
        <f>AU68/88.4</f>
        <v>0.576923076923077</v>
      </c>
      <c r="AI68" s="114">
        <f>AR68</f>
        <v>1.33</v>
      </c>
      <c r="AJ68" s="159">
        <f t="shared" si="7"/>
        <v>7.50692789780516</v>
      </c>
      <c r="AK68" s="160">
        <f>IF(AND(AG68&gt;0,AH68&gt;0,AI68&gt;0),AJ68,"")</f>
        <v>7.50692789780516</v>
      </c>
      <c r="AL68" s="160">
        <f>AK68+1.59*(135-AM68)</f>
        <v>7.50692789780516</v>
      </c>
      <c r="AM68" s="160">
        <f>IF(AV68&gt;135,135,IF(AV68&lt;120,120,AV68))</f>
        <v>135</v>
      </c>
      <c r="AN68" s="114">
        <v>0</v>
      </c>
      <c r="AO68" s="114">
        <v>1</v>
      </c>
      <c r="AP68" s="114">
        <v>2.14</v>
      </c>
      <c r="AQ68" s="114">
        <v>86</v>
      </c>
      <c r="AR68" s="114">
        <v>1.33</v>
      </c>
      <c r="AS68" s="160">
        <v>21</v>
      </c>
      <c r="AT68" s="161">
        <v>53.2</v>
      </c>
      <c r="AU68" s="114">
        <v>51</v>
      </c>
      <c r="AV68" s="114">
        <v>138</v>
      </c>
      <c r="AZ68" s="119" t="s">
        <v>236</v>
      </c>
    </row>
    <row r="69" s="125" customFormat="1" spans="1:52">
      <c r="A69" s="125" t="s">
        <v>237</v>
      </c>
      <c r="B69" s="125" t="s">
        <v>48</v>
      </c>
      <c r="C69" s="125">
        <v>38</v>
      </c>
      <c r="D69" s="185">
        <v>1.78</v>
      </c>
      <c r="E69" s="125">
        <v>86</v>
      </c>
      <c r="F69" s="136">
        <f>E69/(D69*D69)</f>
        <v>27.1430374952657</v>
      </c>
      <c r="G69" s="125">
        <v>6</v>
      </c>
      <c r="H69" s="186">
        <v>43895</v>
      </c>
      <c r="I69" s="186">
        <v>43891</v>
      </c>
      <c r="J69" s="186">
        <v>43899</v>
      </c>
      <c r="K69" s="186">
        <v>43922</v>
      </c>
      <c r="L69" s="187">
        <v>1</v>
      </c>
      <c r="M69" s="138">
        <v>8</v>
      </c>
      <c r="N69" s="188" t="s">
        <v>238</v>
      </c>
      <c r="O69" s="125">
        <v>1</v>
      </c>
      <c r="P69" s="125">
        <v>1</v>
      </c>
      <c r="T69" s="114">
        <v>0</v>
      </c>
      <c r="U69" s="114">
        <v>0</v>
      </c>
      <c r="V69" s="114">
        <v>1</v>
      </c>
      <c r="W69" s="114">
        <v>0</v>
      </c>
      <c r="X69" s="114">
        <v>1</v>
      </c>
      <c r="Y69" s="114">
        <v>1</v>
      </c>
      <c r="Z69" s="114" t="s">
        <v>58</v>
      </c>
      <c r="AA69" s="114">
        <v>1</v>
      </c>
      <c r="AB69" s="114">
        <f>_xlfn.IFS(AT69&lt;34,1,AT69=34-51,2,AT69&gt;51,3)</f>
        <v>1</v>
      </c>
      <c r="AC69" s="114">
        <v>2</v>
      </c>
      <c r="AD69" s="114">
        <f>_xlfn.IFS(AR69&lt;1.7,1,AR69=1.7-2.3,2,AR69&gt;2.3,3)</f>
        <v>1</v>
      </c>
      <c r="AE69" s="114">
        <f>Y69+AA69+AB69+AC69+AD69</f>
        <v>6</v>
      </c>
      <c r="AF69" s="116" t="s">
        <v>59</v>
      </c>
      <c r="AG69" s="114">
        <f>AT69/17.1</f>
        <v>0.982456140350877</v>
      </c>
      <c r="AH69" s="114">
        <f>AU69/88.4</f>
        <v>0.576923076923077</v>
      </c>
      <c r="AI69" s="114">
        <f>AR69</f>
        <v>1.43</v>
      </c>
      <c r="AJ69" s="159">
        <f t="shared" si="7"/>
        <v>4.00595377584434</v>
      </c>
      <c r="AK69" s="160">
        <f>IF(AND(AG69&gt;0,AH69&gt;0,AI69&gt;0),AJ69,"")</f>
        <v>4.00595377584434</v>
      </c>
      <c r="AL69" s="160">
        <f>AK69+1.59*(135-AM69)</f>
        <v>4.00595377584434</v>
      </c>
      <c r="AM69" s="160">
        <f>IF(AV69&gt;135,135,IF(AV69&lt;120,120,AV69))</f>
        <v>135</v>
      </c>
      <c r="AN69" s="114">
        <v>0</v>
      </c>
      <c r="AO69" s="114">
        <v>1</v>
      </c>
      <c r="AP69" s="114">
        <v>2.39</v>
      </c>
      <c r="AQ69" s="114">
        <v>68</v>
      </c>
      <c r="AR69" s="114">
        <v>1.43</v>
      </c>
      <c r="AS69" s="160">
        <v>28</v>
      </c>
      <c r="AT69" s="161">
        <v>16.8</v>
      </c>
      <c r="AU69" s="114">
        <v>51</v>
      </c>
      <c r="AV69" s="114">
        <v>135</v>
      </c>
      <c r="AZ69" s="131" t="s">
        <v>239</v>
      </c>
    </row>
    <row r="70" s="125" customFormat="1" spans="1:52">
      <c r="A70" s="125" t="s">
        <v>240</v>
      </c>
      <c r="B70" s="125" t="s">
        <v>48</v>
      </c>
      <c r="C70" s="125">
        <v>66</v>
      </c>
      <c r="D70" s="185">
        <v>1.7</v>
      </c>
      <c r="E70" s="125">
        <v>55</v>
      </c>
      <c r="F70" s="136">
        <f>E70/(D70*D70)</f>
        <v>19.0311418685121</v>
      </c>
      <c r="G70" s="125">
        <v>2</v>
      </c>
      <c r="H70" s="186">
        <v>43896</v>
      </c>
      <c r="I70" s="186">
        <v>43888</v>
      </c>
      <c r="J70" s="186">
        <v>43901</v>
      </c>
      <c r="K70" s="186">
        <v>43901</v>
      </c>
      <c r="L70" s="187">
        <v>1</v>
      </c>
      <c r="M70" s="187">
        <v>13</v>
      </c>
      <c r="N70" s="188" t="s">
        <v>241</v>
      </c>
      <c r="S70" s="125">
        <v>1</v>
      </c>
      <c r="T70" s="114">
        <v>1</v>
      </c>
      <c r="U70" s="114">
        <v>0</v>
      </c>
      <c r="V70" s="114">
        <v>1</v>
      </c>
      <c r="W70" s="114">
        <v>1</v>
      </c>
      <c r="X70" s="114">
        <v>1</v>
      </c>
      <c r="Y70" s="114">
        <v>1</v>
      </c>
      <c r="Z70" s="114"/>
      <c r="AA70" s="114">
        <v>3</v>
      </c>
      <c r="AB70" s="114">
        <v>2</v>
      </c>
      <c r="AC70" s="114">
        <v>3</v>
      </c>
      <c r="AD70" s="114">
        <f>_xlfn.IFS(AR70&lt;1.7,1,AR70=1.7-2.3,2,AR70&gt;2.3,3)</f>
        <v>1</v>
      </c>
      <c r="AE70" s="114">
        <f>Y70+AA70+AB70+AC70+AD70</f>
        <v>10</v>
      </c>
      <c r="AF70" s="116" t="s">
        <v>50</v>
      </c>
      <c r="AG70" s="114">
        <f>AT70/17.1</f>
        <v>2.59649122807017</v>
      </c>
      <c r="AH70" s="114">
        <f>AU70/88.4</f>
        <v>0.938914027149321</v>
      </c>
      <c r="AI70" s="114">
        <f>AR70</f>
        <v>1.52</v>
      </c>
      <c r="AJ70" s="159">
        <f t="shared" si="7"/>
        <v>14.715367572944</v>
      </c>
      <c r="AK70" s="160">
        <f>IF(AND(AG70&gt;0,AH70&gt;0,AI70&gt;0),AJ70,"")</f>
        <v>14.715367572944</v>
      </c>
      <c r="AL70" s="160">
        <f>AK70+1.59*(135-AM70)</f>
        <v>33.795367572944</v>
      </c>
      <c r="AM70" s="160">
        <f>IF(AV70&gt;135,135,IF(AV70&lt;120,120,AV70))</f>
        <v>123</v>
      </c>
      <c r="AN70" s="114">
        <v>1</v>
      </c>
      <c r="AO70" s="114">
        <v>2</v>
      </c>
      <c r="AP70" s="114">
        <v>7.76</v>
      </c>
      <c r="AQ70" s="114">
        <v>104</v>
      </c>
      <c r="AR70" s="114">
        <v>1.52</v>
      </c>
      <c r="AS70" s="160">
        <v>19</v>
      </c>
      <c r="AT70" s="161">
        <v>44.4</v>
      </c>
      <c r="AU70" s="114">
        <v>83</v>
      </c>
      <c r="AV70" s="114">
        <v>123</v>
      </c>
      <c r="AZ70" s="131" t="s">
        <v>58</v>
      </c>
    </row>
    <row r="71" spans="1:52">
      <c r="A71" s="117" t="s">
        <v>242</v>
      </c>
      <c r="B71" s="117" t="s">
        <v>48</v>
      </c>
      <c r="C71" s="117">
        <v>49</v>
      </c>
      <c r="D71" s="135">
        <v>1.7</v>
      </c>
      <c r="E71" s="117">
        <v>95</v>
      </c>
      <c r="F71" s="136">
        <f>E71/(D71*D71)</f>
        <v>32.8719723183391</v>
      </c>
      <c r="G71" s="117">
        <v>0</v>
      </c>
      <c r="H71" s="158">
        <v>43896</v>
      </c>
      <c r="I71" s="158">
        <v>43892</v>
      </c>
      <c r="J71" s="158">
        <v>43900</v>
      </c>
      <c r="L71" s="137">
        <v>1</v>
      </c>
      <c r="M71" s="138">
        <v>8</v>
      </c>
      <c r="N71" s="139" t="s">
        <v>243</v>
      </c>
      <c r="O71" s="117">
        <v>1</v>
      </c>
      <c r="T71" s="114">
        <v>0</v>
      </c>
      <c r="U71" s="114">
        <v>0</v>
      </c>
      <c r="V71" s="114">
        <v>0</v>
      </c>
      <c r="W71" s="114">
        <v>0</v>
      </c>
      <c r="X71" s="114">
        <v>1</v>
      </c>
      <c r="Y71" s="114">
        <v>1</v>
      </c>
      <c r="Z71" s="114" t="s">
        <v>58</v>
      </c>
      <c r="AA71" s="114">
        <v>1</v>
      </c>
      <c r="AB71" s="114">
        <f>_xlfn.IFS(AT71&lt;34,1,AT71=34-51,2,AT71&gt;51,3)</f>
        <v>1</v>
      </c>
      <c r="AC71" s="114">
        <f>_xlfn.IFS(AS71&lt;28,3,AS71=28-35,2,AS71&gt;35,1)</f>
        <v>3</v>
      </c>
      <c r="AD71" s="114">
        <f>_xlfn.IFS(AR71&lt;1.7,1,AR71=1.7-2.3,2,AR71&gt;2.3,3)</f>
        <v>1</v>
      </c>
      <c r="AE71" s="114">
        <f>Y71+AA71+AB71+AC71+AD71</f>
        <v>7</v>
      </c>
      <c r="AF71" s="116" t="s">
        <v>63</v>
      </c>
      <c r="AG71" s="114">
        <f>AT71/17.1</f>
        <v>1.5672514619883</v>
      </c>
      <c r="AH71" s="114">
        <f>AU71/88.4</f>
        <v>0.746606334841629</v>
      </c>
      <c r="AI71" s="114">
        <f>AR71</f>
        <v>1.23</v>
      </c>
      <c r="AJ71" s="159">
        <f t="shared" si="7"/>
        <v>10.4259877083356</v>
      </c>
      <c r="AK71" s="160">
        <f>IF(AND(AG71&gt;0,AH71&gt;0,AI71&gt;0),AJ71,"")</f>
        <v>10.4259877083356</v>
      </c>
      <c r="AL71" s="160">
        <f>AK71+1.59*(135-AM71)</f>
        <v>10.4259877083356</v>
      </c>
      <c r="AM71" s="160">
        <f>IF(AV71&gt;135,135,IF(AV71&lt;120,120,AV71))</f>
        <v>135</v>
      </c>
      <c r="AN71" s="114">
        <v>1</v>
      </c>
      <c r="AO71" s="114">
        <v>1</v>
      </c>
      <c r="AP71" s="114">
        <v>3.45</v>
      </c>
      <c r="AQ71" s="114">
        <v>144</v>
      </c>
      <c r="AR71" s="114">
        <v>1.23</v>
      </c>
      <c r="AS71" s="160">
        <v>26</v>
      </c>
      <c r="AT71" s="161">
        <v>26.8</v>
      </c>
      <c r="AU71" s="114">
        <v>66</v>
      </c>
      <c r="AV71" s="114">
        <v>144</v>
      </c>
      <c r="AZ71" s="119" t="s">
        <v>244</v>
      </c>
    </row>
    <row r="72" s="128" customFormat="1" spans="1:52">
      <c r="A72" s="128" t="s">
        <v>245</v>
      </c>
      <c r="B72" s="128" t="s">
        <v>53</v>
      </c>
      <c r="C72" s="128">
        <v>83</v>
      </c>
      <c r="D72" s="204">
        <v>1.65</v>
      </c>
      <c r="E72" s="128">
        <v>58</v>
      </c>
      <c r="F72" s="205">
        <f>E72/(D72*D72)</f>
        <v>21.3039485766759</v>
      </c>
      <c r="G72" s="128">
        <v>4</v>
      </c>
      <c r="H72" s="206">
        <v>43900</v>
      </c>
      <c r="I72" s="206">
        <v>43899</v>
      </c>
      <c r="J72" s="206">
        <v>43913</v>
      </c>
      <c r="L72" s="207">
        <v>1</v>
      </c>
      <c r="M72" s="207">
        <v>14</v>
      </c>
      <c r="N72" s="208" t="s">
        <v>246</v>
      </c>
      <c r="Q72" s="128">
        <v>1</v>
      </c>
      <c r="R72" s="128">
        <v>1</v>
      </c>
      <c r="T72" s="114">
        <v>1</v>
      </c>
      <c r="U72" s="114">
        <v>0</v>
      </c>
      <c r="V72" s="114">
        <v>0</v>
      </c>
      <c r="W72" s="114">
        <v>0</v>
      </c>
      <c r="X72" s="114">
        <v>0</v>
      </c>
      <c r="Y72" s="114">
        <v>1</v>
      </c>
      <c r="Z72" s="114"/>
      <c r="AA72" s="114">
        <v>2</v>
      </c>
      <c r="AB72" s="114">
        <v>1</v>
      </c>
      <c r="AC72" s="114">
        <f>_xlfn.IFS(AS72&lt;28,3,AS72=28-35,2,AS72&gt;35,1)</f>
        <v>3</v>
      </c>
      <c r="AD72" s="114">
        <f>_xlfn.IFS(AR72&lt;1.7,1,AR72=1.7-2.3,2,AR72&gt;2.3,3)</f>
        <v>1</v>
      </c>
      <c r="AE72" s="114">
        <f>Y72+AA72+AB72+AC72+AD72</f>
        <v>8</v>
      </c>
      <c r="AF72" s="116" t="s">
        <v>63</v>
      </c>
      <c r="AG72" s="114">
        <f>AT72/17.1</f>
        <v>1.99415204678363</v>
      </c>
      <c r="AH72" s="114">
        <f>AU72/88.4</f>
        <v>0.520361990950226</v>
      </c>
      <c r="AI72" s="114">
        <f>AR72</f>
        <v>1.19</v>
      </c>
      <c r="AJ72" s="159">
        <f>LN(IF(AG72&gt;=1,AG72,1))*3.8+LN(IF(AH72&gt;=1,AH72,1))*9.6+11.2*LN(IF(AI72&gt;=1,AI72,1))+6.4*AN72</f>
        <v>4.57110893874976</v>
      </c>
      <c r="AK72" s="160">
        <f>IF(AND(AG72&gt;0,AH72&gt;0,AI72&gt;0),AJ72,"")</f>
        <v>4.57110893874976</v>
      </c>
      <c r="AL72" s="160">
        <f>AK72+1.59*(135-AM72)</f>
        <v>7.75110893874976</v>
      </c>
      <c r="AM72" s="160">
        <f>IF(AV72&gt;135,135,IF(AV72&lt;120,120,AV72))</f>
        <v>133</v>
      </c>
      <c r="AN72" s="114">
        <v>0</v>
      </c>
      <c r="AO72" s="114">
        <v>1</v>
      </c>
      <c r="AP72" s="114">
        <v>8.81</v>
      </c>
      <c r="AQ72" s="114">
        <v>141</v>
      </c>
      <c r="AR72" s="114">
        <v>1.19</v>
      </c>
      <c r="AS72" s="160">
        <v>20</v>
      </c>
      <c r="AT72" s="161">
        <v>34.1</v>
      </c>
      <c r="AU72" s="114">
        <v>46</v>
      </c>
      <c r="AV72" s="114">
        <v>133</v>
      </c>
      <c r="AZ72" s="209" t="s">
        <v>247</v>
      </c>
    </row>
    <row r="73" spans="1:52">
      <c r="A73" s="117" t="s">
        <v>248</v>
      </c>
      <c r="B73" s="117" t="s">
        <v>48</v>
      </c>
      <c r="C73" s="117">
        <v>65</v>
      </c>
      <c r="D73" s="135">
        <v>1.72</v>
      </c>
      <c r="E73" s="117">
        <v>98</v>
      </c>
      <c r="F73" s="136">
        <f>E73/(D73*D73)</f>
        <v>33.1260140616549</v>
      </c>
      <c r="G73" s="117">
        <v>0</v>
      </c>
      <c r="H73" s="158">
        <v>43900</v>
      </c>
      <c r="I73" s="158">
        <v>43900</v>
      </c>
      <c r="J73" s="158">
        <v>43907</v>
      </c>
      <c r="L73" s="137">
        <v>1</v>
      </c>
      <c r="M73" s="137">
        <v>7</v>
      </c>
      <c r="N73" s="139" t="s">
        <v>249</v>
      </c>
      <c r="S73" s="117">
        <v>1</v>
      </c>
      <c r="T73" s="114">
        <v>0</v>
      </c>
      <c r="U73" s="114">
        <v>1</v>
      </c>
      <c r="V73" s="114">
        <v>1</v>
      </c>
      <c r="W73" s="114">
        <v>0</v>
      </c>
      <c r="X73" s="114">
        <v>1</v>
      </c>
      <c r="Y73" s="114">
        <v>2</v>
      </c>
      <c r="Z73" s="114" t="s">
        <v>58</v>
      </c>
      <c r="AA73" s="114">
        <v>1</v>
      </c>
      <c r="AB73" s="114">
        <v>2</v>
      </c>
      <c r="AC73" s="114">
        <f>_xlfn.IFS(AS73&lt;28,3,AS73=28-35,2,AS73&gt;35,1)</f>
        <v>3</v>
      </c>
      <c r="AD73" s="114">
        <f>_xlfn.IFS(AR73&lt;1.7,1,AR73=1.7-2.3,2,AR73&gt;2.3,3)</f>
        <v>1</v>
      </c>
      <c r="AE73" s="114">
        <f>Y73+AA73+AB73+AC73+AD73</f>
        <v>9</v>
      </c>
      <c r="AF73" s="116" t="s">
        <v>63</v>
      </c>
      <c r="AG73" s="114">
        <f>AT73/17.1</f>
        <v>2.6140350877193</v>
      </c>
      <c r="AH73" s="114">
        <f>AU73/88.4</f>
        <v>0.599547511312217</v>
      </c>
      <c r="AI73" s="114">
        <f>AR73</f>
        <v>1.36</v>
      </c>
      <c r="AJ73" s="159">
        <f>LN(IF(AG73&gt;=1,AG73,1))*3.8+LN(IF(AH73&gt;=1,AH73,1))*9.6+11.2*LN(IF(AI73&gt;=1,AI73,1))+6.4*AN73</f>
        <v>13.4952297819986</v>
      </c>
      <c r="AK73" s="160">
        <f>IF(AND(AG73&gt;0,AH73&gt;0,AI73&gt;0),AJ73,"")</f>
        <v>13.4952297819986</v>
      </c>
      <c r="AL73" s="160">
        <f>AK73+1.59*(135-AM73)</f>
        <v>13.4952297819986</v>
      </c>
      <c r="AM73" s="160">
        <f>IF(AV73&gt;135,135,IF(AV73&lt;120,120,AV73))</f>
        <v>135</v>
      </c>
      <c r="AN73" s="114">
        <v>1</v>
      </c>
      <c r="AO73" s="114">
        <v>1</v>
      </c>
      <c r="AP73" s="114">
        <v>2.91</v>
      </c>
      <c r="AQ73" s="114">
        <v>117</v>
      </c>
      <c r="AR73" s="114">
        <v>1.36</v>
      </c>
      <c r="AS73" s="160">
        <v>24</v>
      </c>
      <c r="AT73" s="161">
        <v>44.7</v>
      </c>
      <c r="AU73" s="114">
        <v>53</v>
      </c>
      <c r="AV73" s="114">
        <v>141</v>
      </c>
      <c r="AZ73" s="119" t="s">
        <v>250</v>
      </c>
    </row>
    <row r="74" s="122" customFormat="1" spans="1:52">
      <c r="A74" s="122" t="s">
        <v>251</v>
      </c>
      <c r="B74" s="122" t="s">
        <v>53</v>
      </c>
      <c r="C74" s="122">
        <v>65</v>
      </c>
      <c r="D74" s="171">
        <v>1.57</v>
      </c>
      <c r="F74" s="148"/>
      <c r="G74" s="122">
        <v>3</v>
      </c>
      <c r="H74" s="172">
        <v>43902</v>
      </c>
      <c r="I74" s="172">
        <v>43902</v>
      </c>
      <c r="J74" s="172">
        <v>43916</v>
      </c>
      <c r="L74" s="173">
        <v>1</v>
      </c>
      <c r="M74" s="173">
        <v>14</v>
      </c>
      <c r="N74" s="174" t="s">
        <v>252</v>
      </c>
      <c r="S74" s="122">
        <v>1</v>
      </c>
      <c r="T74" s="114">
        <v>1</v>
      </c>
      <c r="U74" s="114">
        <v>0</v>
      </c>
      <c r="V74" s="114">
        <v>1</v>
      </c>
      <c r="W74" s="114">
        <v>0</v>
      </c>
      <c r="X74" s="114">
        <v>1</v>
      </c>
      <c r="Y74" s="114">
        <v>1</v>
      </c>
      <c r="Z74" s="114"/>
      <c r="AA74" s="114">
        <v>2</v>
      </c>
      <c r="AB74" s="114">
        <v>2</v>
      </c>
      <c r="AC74" s="114">
        <v>2</v>
      </c>
      <c r="AD74" s="114">
        <f>_xlfn.IFS(AR74&lt;1.7,1,AR74=1.7-2.3,2,AR74&gt;2.3,3)</f>
        <v>1</v>
      </c>
      <c r="AE74" s="114">
        <f>Y74+AA74+AB74+AC74+AD74</f>
        <v>8</v>
      </c>
      <c r="AF74" s="116" t="s">
        <v>63</v>
      </c>
      <c r="AG74" s="114">
        <f>AT74/17.1</f>
        <v>2.25730994152047</v>
      </c>
      <c r="AH74" s="114">
        <f>AU74/88.4</f>
        <v>0.373303167420814</v>
      </c>
      <c r="AI74" s="114">
        <f>AR74</f>
        <v>1.15</v>
      </c>
      <c r="AJ74" s="159">
        <f>LN(IF(AG74&gt;=1,AG74,1))*3.8+LN(IF(AH74&gt;=1,AH74,1))*9.6+11.2*LN(IF(AI74&gt;=1,AI74,1))+6.4*AN74</f>
        <v>11.059194243858</v>
      </c>
      <c r="AK74" s="160">
        <f>IF(AND(AG74&gt;0,AH74&gt;0,AI74&gt;0),AJ74,"")</f>
        <v>11.059194243858</v>
      </c>
      <c r="AL74" s="160">
        <f>AK74+1.59*(135-AM74)</f>
        <v>11.059194243858</v>
      </c>
      <c r="AM74" s="160">
        <f>IF(AV74&gt;135,135,IF(AV74&lt;120,120,AV74))</f>
        <v>135</v>
      </c>
      <c r="AN74" s="114">
        <v>1</v>
      </c>
      <c r="AO74" s="114">
        <v>1</v>
      </c>
      <c r="AP74" s="114">
        <v>2.29</v>
      </c>
      <c r="AQ74" s="114">
        <v>78</v>
      </c>
      <c r="AR74" s="114">
        <v>1.15</v>
      </c>
      <c r="AS74" s="160">
        <v>33</v>
      </c>
      <c r="AT74" s="161">
        <v>38.6</v>
      </c>
      <c r="AU74" s="114">
        <v>33</v>
      </c>
      <c r="AV74" s="114">
        <v>137</v>
      </c>
      <c r="AZ74" s="175" t="s">
        <v>253</v>
      </c>
    </row>
    <row r="75" s="123" customFormat="1" spans="1:52">
      <c r="A75" s="123" t="s">
        <v>254</v>
      </c>
      <c r="B75" s="123" t="s">
        <v>48</v>
      </c>
      <c r="C75" s="123">
        <v>70</v>
      </c>
      <c r="D75" s="176">
        <v>1.63</v>
      </c>
      <c r="E75" s="123">
        <v>70</v>
      </c>
      <c r="F75" s="189">
        <f>E75/(D75*D75)</f>
        <v>26.346494034401</v>
      </c>
      <c r="G75" s="123">
        <v>0</v>
      </c>
      <c r="H75" s="177">
        <v>43904</v>
      </c>
      <c r="I75" s="177">
        <v>43900</v>
      </c>
      <c r="J75" s="177">
        <v>43913</v>
      </c>
      <c r="L75" s="178">
        <v>2</v>
      </c>
      <c r="M75" s="178">
        <v>13</v>
      </c>
      <c r="N75" s="179" t="s">
        <v>255</v>
      </c>
      <c r="P75" s="123">
        <v>1</v>
      </c>
      <c r="Q75" s="123">
        <v>1</v>
      </c>
      <c r="T75" s="114">
        <v>0</v>
      </c>
      <c r="U75" s="114">
        <v>0</v>
      </c>
      <c r="V75" s="114">
        <v>0</v>
      </c>
      <c r="W75" s="114">
        <v>0</v>
      </c>
      <c r="X75" s="114">
        <v>0</v>
      </c>
      <c r="Y75" s="114">
        <v>1</v>
      </c>
      <c r="Z75" s="114" t="s">
        <v>58</v>
      </c>
      <c r="AA75" s="114">
        <v>1</v>
      </c>
      <c r="AB75" s="114">
        <f>_xlfn.IFS(AT75&lt;34,1,AT75=34-51,2,AT75&gt;51,3)</f>
        <v>3</v>
      </c>
      <c r="AC75" s="114">
        <v>2</v>
      </c>
      <c r="AD75" s="114">
        <f>_xlfn.IFS(AR75&lt;1.7,1,AR75=1.7-2.3,2,AR75&gt;2.3,3)</f>
        <v>1</v>
      </c>
      <c r="AE75" s="114">
        <f>Y75+AA75+AB75+AC75+AD75</f>
        <v>8</v>
      </c>
      <c r="AF75" s="116" t="s">
        <v>63</v>
      </c>
      <c r="AG75" s="114">
        <f>AT75/17.1</f>
        <v>7.31578947368421</v>
      </c>
      <c r="AH75" s="114">
        <f>AU75/88.4</f>
        <v>0.690045248868778</v>
      </c>
      <c r="AI75" s="114">
        <f>AR75</f>
        <v>1.15</v>
      </c>
      <c r="AJ75" s="159">
        <f>LN(IF(AG75&gt;=1,AG75,1))*3.8+LN(IF(AH75&gt;=1,AH75,1))*9.6+11.2*LN(IF(AI75&gt;=1,AI75,1))+6.4*AN75</f>
        <v>9.12746657966593</v>
      </c>
      <c r="AK75" s="160">
        <f>IF(AND(AG75&gt;0,AH75&gt;0,AI75&gt;0),AJ75,"")</f>
        <v>9.12746657966593</v>
      </c>
      <c r="AL75" s="160">
        <f>AK75+1.59*(135-AM75)</f>
        <v>9.12746657966593</v>
      </c>
      <c r="AM75" s="160">
        <f>IF(AV75&gt;135,135,IF(AV75&lt;120,120,AV75))</f>
        <v>135</v>
      </c>
      <c r="AN75" s="114">
        <v>0</v>
      </c>
      <c r="AO75" s="114">
        <v>1</v>
      </c>
      <c r="AP75" s="114">
        <v>3.45</v>
      </c>
      <c r="AQ75" s="114">
        <v>144</v>
      </c>
      <c r="AR75" s="114">
        <v>1.15</v>
      </c>
      <c r="AS75" s="160">
        <v>31</v>
      </c>
      <c r="AT75" s="161">
        <v>125.1</v>
      </c>
      <c r="AU75" s="114">
        <v>61</v>
      </c>
      <c r="AV75" s="114">
        <v>141</v>
      </c>
      <c r="AZ75" s="132" t="s">
        <v>256</v>
      </c>
    </row>
    <row r="76" s="125" customFormat="1" spans="1:52">
      <c r="A76" s="125" t="s">
        <v>257</v>
      </c>
      <c r="B76" s="125" t="s">
        <v>53</v>
      </c>
      <c r="C76" s="125">
        <v>69</v>
      </c>
      <c r="D76" s="185">
        <v>1.55</v>
      </c>
      <c r="E76" s="125">
        <v>55</v>
      </c>
      <c r="F76" s="136">
        <f>E76/(D76*D76)</f>
        <v>22.8928199791883</v>
      </c>
      <c r="G76" s="125">
        <v>2</v>
      </c>
      <c r="H76" s="186">
        <v>43905</v>
      </c>
      <c r="I76" s="186">
        <v>43902</v>
      </c>
      <c r="J76" s="186">
        <v>43914</v>
      </c>
      <c r="K76" s="186">
        <v>44197</v>
      </c>
      <c r="L76" s="187">
        <v>2</v>
      </c>
      <c r="M76" s="187">
        <v>12</v>
      </c>
      <c r="N76" s="188" t="s">
        <v>258</v>
      </c>
      <c r="S76" s="125">
        <v>1</v>
      </c>
      <c r="T76" s="114">
        <v>0</v>
      </c>
      <c r="U76" s="114">
        <v>0</v>
      </c>
      <c r="V76" s="114">
        <v>0</v>
      </c>
      <c r="W76" s="114">
        <v>0</v>
      </c>
      <c r="X76" s="114">
        <v>1</v>
      </c>
      <c r="Y76" s="114">
        <v>1</v>
      </c>
      <c r="Z76" s="114" t="s">
        <v>58</v>
      </c>
      <c r="AA76" s="114">
        <v>1</v>
      </c>
      <c r="AB76" s="114">
        <f>_xlfn.IFS(AT76&lt;34,1,AT76=34-51,2,AT76&gt;51,3)</f>
        <v>1</v>
      </c>
      <c r="AC76" s="114">
        <v>2</v>
      </c>
      <c r="AD76" s="114">
        <f>_xlfn.IFS(AR76&lt;1.7,1,AR76=1.7-2.3,2,AR76&gt;2.3,3)</f>
        <v>1</v>
      </c>
      <c r="AE76" s="114">
        <f>Y76+AA76+AB76+AC76+AD76</f>
        <v>6</v>
      </c>
      <c r="AF76" s="116" t="s">
        <v>59</v>
      </c>
      <c r="AG76" s="114">
        <f>AT76/17.1</f>
        <v>1.25730994152047</v>
      </c>
      <c r="AH76" s="114">
        <f>AU76/88.4</f>
        <v>2.47737556561086</v>
      </c>
      <c r="AI76" s="114">
        <f>AR76</f>
        <v>1.24</v>
      </c>
      <c r="AJ76" s="159">
        <f>LN(IF(AG76&gt;=1,AG76,1))*3.8+LN(IF(AH76&gt;=1,AH76,1))*9.6+11.2*LN(IF(AI76&gt;=1,AI76,1))+6.4*AN76</f>
        <v>18.3884681415447</v>
      </c>
      <c r="AK76" s="160">
        <f>IF(AND(AG76&gt;0,AH76&gt;0,AI76&gt;0),AJ76,"")</f>
        <v>18.3884681415447</v>
      </c>
      <c r="AL76" s="160">
        <f>AK76+1.59*(135-AM76)</f>
        <v>26.3384681415447</v>
      </c>
      <c r="AM76" s="160">
        <f>IF(AV76&gt;135,135,IF(AV76&lt;120,120,AV76))</f>
        <v>130</v>
      </c>
      <c r="AN76" s="114">
        <v>1</v>
      </c>
      <c r="AO76" s="114">
        <v>3</v>
      </c>
      <c r="AP76" s="114">
        <v>10.26</v>
      </c>
      <c r="AQ76" s="114">
        <v>102</v>
      </c>
      <c r="AR76" s="114">
        <v>1.24</v>
      </c>
      <c r="AS76" s="160">
        <v>29</v>
      </c>
      <c r="AT76" s="161">
        <v>21.5</v>
      </c>
      <c r="AU76" s="114">
        <v>219</v>
      </c>
      <c r="AV76" s="114">
        <v>130</v>
      </c>
      <c r="AZ76" s="131" t="s">
        <v>259</v>
      </c>
    </row>
    <row r="77" spans="1:52">
      <c r="A77" s="117" t="s">
        <v>260</v>
      </c>
      <c r="B77" s="117" t="s">
        <v>48</v>
      </c>
      <c r="C77" s="117">
        <v>59</v>
      </c>
      <c r="D77" s="135">
        <v>1.72</v>
      </c>
      <c r="E77" s="117">
        <v>75</v>
      </c>
      <c r="F77" s="136">
        <f>E77/(D77*D77)</f>
        <v>25.3515413737155</v>
      </c>
      <c r="G77" s="117">
        <v>6</v>
      </c>
      <c r="H77" s="158">
        <v>43905</v>
      </c>
      <c r="I77" s="158">
        <v>43902</v>
      </c>
      <c r="J77" s="158">
        <v>43914</v>
      </c>
      <c r="L77" s="137">
        <v>1</v>
      </c>
      <c r="M77" s="138">
        <v>12</v>
      </c>
      <c r="N77" s="139" t="s">
        <v>261</v>
      </c>
      <c r="P77" s="117">
        <v>1</v>
      </c>
      <c r="T77" s="114">
        <v>0</v>
      </c>
      <c r="U77" s="114">
        <v>0</v>
      </c>
      <c r="V77" s="114">
        <v>1</v>
      </c>
      <c r="W77" s="114">
        <v>0</v>
      </c>
      <c r="X77" s="114">
        <v>1</v>
      </c>
      <c r="Y77" s="114">
        <v>1</v>
      </c>
      <c r="Z77" s="114" t="s">
        <v>58</v>
      </c>
      <c r="AA77" s="114">
        <v>1</v>
      </c>
      <c r="AB77" s="114">
        <f>_xlfn.IFS(AT77&lt;34,1,AT77=34-51,2,AT77&gt;51,3)</f>
        <v>1</v>
      </c>
      <c r="AC77" s="114">
        <f>_xlfn.IFS(AS77&lt;28,3,AS77=28-35,2,AS77&gt;35,1)</f>
        <v>3</v>
      </c>
      <c r="AD77" s="114">
        <f>_xlfn.IFS(AR77&lt;1.7,1,AR77=1.7-2.3,2,AR77&gt;2.3,3)</f>
        <v>1</v>
      </c>
      <c r="AE77" s="114">
        <f>Y77+AA77+AB77+AC77+AD77</f>
        <v>7</v>
      </c>
      <c r="AF77" s="116" t="s">
        <v>63</v>
      </c>
      <c r="AG77" s="114">
        <f>AT77/17.1</f>
        <v>0.555555555555555</v>
      </c>
      <c r="AH77" s="114">
        <f>AU77/88.4</f>
        <v>0.599547511312217</v>
      </c>
      <c r="AI77" s="114">
        <f>AR77</f>
        <v>1.28</v>
      </c>
      <c r="AJ77" s="159">
        <f>LN(IF(AG77&gt;=1,AG77,1))*3.8+LN(IF(AH77&gt;=1,AH77,1))*9.6+11.2*LN(IF(AI77&gt;=1,AI77,1))+6.4*AN77</f>
        <v>2.76483287283309</v>
      </c>
      <c r="AK77" s="160">
        <f>IF(AND(AG77&gt;0,AH77&gt;0,AI77&gt;0),AJ77,"")</f>
        <v>2.76483287283309</v>
      </c>
      <c r="AL77" s="160">
        <f>AK77+1.59*(135-AM77)</f>
        <v>2.76483287283309</v>
      </c>
      <c r="AM77" s="160">
        <f>IF(AV77&gt;135,135,IF(AV77&lt;120,120,AV77))</f>
        <v>135</v>
      </c>
      <c r="AN77" s="114">
        <v>0</v>
      </c>
      <c r="AO77" s="114">
        <v>1</v>
      </c>
      <c r="AP77" s="114">
        <v>2.29</v>
      </c>
      <c r="AQ77" s="114">
        <v>93</v>
      </c>
      <c r="AR77" s="114">
        <v>1.28</v>
      </c>
      <c r="AS77" s="160">
        <v>27</v>
      </c>
      <c r="AT77" s="161">
        <v>9.5</v>
      </c>
      <c r="AU77" s="114">
        <v>53</v>
      </c>
      <c r="AV77" s="114">
        <v>140</v>
      </c>
      <c r="AZ77" s="119" t="s">
        <v>262</v>
      </c>
    </row>
    <row r="78" s="125" customFormat="1" spans="1:52">
      <c r="A78" s="125" t="s">
        <v>198</v>
      </c>
      <c r="B78" s="125" t="s">
        <v>48</v>
      </c>
      <c r="C78" s="125">
        <v>64</v>
      </c>
      <c r="D78" s="185">
        <v>1.7</v>
      </c>
      <c r="F78" s="136"/>
      <c r="G78" s="125">
        <v>3</v>
      </c>
      <c r="H78" s="186">
        <v>43907</v>
      </c>
      <c r="I78" s="186">
        <v>43913</v>
      </c>
      <c r="J78" s="186">
        <v>43922</v>
      </c>
      <c r="K78" s="186">
        <v>44092</v>
      </c>
      <c r="L78" s="187">
        <v>12</v>
      </c>
      <c r="M78" s="138">
        <v>9</v>
      </c>
      <c r="N78" s="188" t="s">
        <v>263</v>
      </c>
      <c r="P78" s="125">
        <v>1</v>
      </c>
      <c r="T78" s="114">
        <v>1</v>
      </c>
      <c r="U78" s="114">
        <v>1</v>
      </c>
      <c r="V78" s="114">
        <v>1</v>
      </c>
      <c r="W78" s="114">
        <v>0</v>
      </c>
      <c r="X78" s="114">
        <v>1</v>
      </c>
      <c r="Y78" s="114">
        <v>2</v>
      </c>
      <c r="Z78" s="114"/>
      <c r="AA78" s="114">
        <v>2</v>
      </c>
      <c r="AB78" s="114">
        <f>_xlfn.IFS(AT78&lt;34,1,AT78=34-51,2,AT78&gt;51,3)</f>
        <v>3</v>
      </c>
      <c r="AC78" s="114">
        <f>_xlfn.IFS(AS78&lt;28,3,AS78=28-35,2,AS78&gt;35,1)</f>
        <v>3</v>
      </c>
      <c r="AD78" s="114">
        <f>_xlfn.IFS(AR78&lt;1.7,1,AR78=1.7-2.3,2,AR78&gt;2.3,3)</f>
        <v>1</v>
      </c>
      <c r="AE78" s="114">
        <f>Y78+AA78+AB78+AC78+AD78</f>
        <v>11</v>
      </c>
      <c r="AF78" s="116" t="s">
        <v>50</v>
      </c>
      <c r="AG78" s="114">
        <f>AT78/17.1</f>
        <v>3.05847953216374</v>
      </c>
      <c r="AH78" s="114">
        <f>AU78/88.4</f>
        <v>0.599547511312217</v>
      </c>
      <c r="AI78" s="114">
        <f>AR78</f>
        <v>1.52</v>
      </c>
      <c r="AJ78" s="159">
        <f>LN(IF(AG78&gt;=1,AG78,1))*3.8+LN(IF(AH78&gt;=1,AH78,1))*9.6+11.2*LN(IF(AI78&gt;=1,AI78,1))+6.4*AN78</f>
        <v>8.93764379914827</v>
      </c>
      <c r="AK78" s="160">
        <f>IF(AND(AG78&gt;0,AH78&gt;0,AI78&gt;0),AJ78,"")</f>
        <v>8.93764379914827</v>
      </c>
      <c r="AL78" s="160">
        <f>AK78+1.59*(135-AM78)</f>
        <v>18.4776437991483</v>
      </c>
      <c r="AM78" s="160">
        <f>IF(AV78&gt;135,135,IF(AV78&lt;120,120,AV78))</f>
        <v>129</v>
      </c>
      <c r="AN78" s="114">
        <v>0</v>
      </c>
      <c r="AO78" s="114">
        <v>1</v>
      </c>
      <c r="AP78" s="114">
        <v>4.26</v>
      </c>
      <c r="AQ78" s="114">
        <v>77</v>
      </c>
      <c r="AR78" s="114">
        <v>1.52</v>
      </c>
      <c r="AS78" s="160">
        <v>22</v>
      </c>
      <c r="AT78" s="161">
        <v>52.3</v>
      </c>
      <c r="AU78" s="114">
        <v>53</v>
      </c>
      <c r="AV78" s="114">
        <v>129</v>
      </c>
      <c r="AZ78" s="131" t="s">
        <v>264</v>
      </c>
    </row>
    <row r="79" spans="1:52">
      <c r="A79" s="117" t="s">
        <v>265</v>
      </c>
      <c r="B79" s="117" t="s">
        <v>53</v>
      </c>
      <c r="C79" s="117">
        <v>67</v>
      </c>
      <c r="D79" s="135">
        <v>1.67</v>
      </c>
      <c r="E79" s="117">
        <v>87</v>
      </c>
      <c r="F79" s="136">
        <f>E79/(D79*D79)</f>
        <v>31.1950948402596</v>
      </c>
      <c r="G79" s="117">
        <v>0</v>
      </c>
      <c r="H79" s="158">
        <v>43915</v>
      </c>
      <c r="I79" s="158">
        <v>43915</v>
      </c>
      <c r="J79" s="158">
        <v>43927</v>
      </c>
      <c r="L79" s="137">
        <v>1</v>
      </c>
      <c r="M79" s="138">
        <v>12</v>
      </c>
      <c r="N79" s="139" t="s">
        <v>266</v>
      </c>
      <c r="O79" s="117">
        <v>1</v>
      </c>
      <c r="T79" s="114">
        <v>1</v>
      </c>
      <c r="U79" s="114">
        <v>0</v>
      </c>
      <c r="V79" s="114">
        <v>1</v>
      </c>
      <c r="W79" s="114">
        <v>1</v>
      </c>
      <c r="X79" s="114">
        <v>1</v>
      </c>
      <c r="Y79" s="114">
        <v>1</v>
      </c>
      <c r="Z79" s="114"/>
      <c r="AA79" s="114">
        <v>2</v>
      </c>
      <c r="AB79" s="114">
        <f>_xlfn.IFS(AT79&lt;34,1,AT79=34-51,2,AT79&gt;51,3)</f>
        <v>1</v>
      </c>
      <c r="AC79" s="114">
        <v>2</v>
      </c>
      <c r="AD79" s="114">
        <f>_xlfn.IFS(AR79&lt;1.7,1,AR79=1.7-2.3,2,AR79&gt;2.3,3)</f>
        <v>1</v>
      </c>
      <c r="AE79" s="114">
        <f>Y79+AA79+AB79+AC79+AD79</f>
        <v>7</v>
      </c>
      <c r="AF79" s="116" t="s">
        <v>63</v>
      </c>
      <c r="AG79" s="114">
        <f>AT79/17.1</f>
        <v>1.28070175438596</v>
      </c>
      <c r="AH79" s="114">
        <f>AU79/88.4</f>
        <v>0.667420814479638</v>
      </c>
      <c r="AI79" s="114">
        <f>AR79</f>
        <v>1.23</v>
      </c>
      <c r="AJ79" s="159">
        <f>LN(IF(AG79&gt;=1,AG79,1))*3.8+LN(IF(AH79&gt;=1,AH79,1))*9.6+11.2*LN(IF(AI79&gt;=1,AI79,1))+6.4*AN79</f>
        <v>9.65870975569705</v>
      </c>
      <c r="AK79" s="160">
        <f>IF(AND(AG79&gt;0,AH79&gt;0,AI79&gt;0),AJ79,"")</f>
        <v>9.65870975569705</v>
      </c>
      <c r="AL79" s="160">
        <f>AK79+1.59*(135-AM79)</f>
        <v>9.65870975569705</v>
      </c>
      <c r="AM79" s="160">
        <f>IF(AV79&gt;135,135,IF(AV79&lt;120,120,AV79))</f>
        <v>135</v>
      </c>
      <c r="AN79" s="114">
        <v>1</v>
      </c>
      <c r="AO79" s="114">
        <v>1</v>
      </c>
      <c r="AP79" s="114">
        <v>3.77</v>
      </c>
      <c r="AQ79" s="114">
        <v>62</v>
      </c>
      <c r="AR79" s="114">
        <v>1.23</v>
      </c>
      <c r="AS79" s="160">
        <v>31</v>
      </c>
      <c r="AT79" s="161">
        <v>21.9</v>
      </c>
      <c r="AU79" s="114">
        <v>59</v>
      </c>
      <c r="AV79" s="114">
        <v>139</v>
      </c>
      <c r="AZ79" s="119" t="s">
        <v>267</v>
      </c>
    </row>
    <row r="80" s="123" customFormat="1" spans="1:52">
      <c r="A80" s="123" t="s">
        <v>268</v>
      </c>
      <c r="B80" s="123" t="s">
        <v>53</v>
      </c>
      <c r="C80" s="123">
        <v>57</v>
      </c>
      <c r="D80" s="176">
        <v>1.6</v>
      </c>
      <c r="E80" s="123">
        <v>59</v>
      </c>
      <c r="F80" s="136">
        <f>E80/(D80*D80)</f>
        <v>23.046875</v>
      </c>
      <c r="G80" s="123">
        <v>0</v>
      </c>
      <c r="H80" s="177">
        <v>43924</v>
      </c>
      <c r="I80" s="177">
        <v>43920</v>
      </c>
      <c r="J80" s="123" t="s">
        <v>269</v>
      </c>
      <c r="L80" s="178">
        <v>1</v>
      </c>
      <c r="M80" s="178">
        <v>7</v>
      </c>
      <c r="N80" s="179" t="s">
        <v>270</v>
      </c>
      <c r="S80" s="123">
        <v>1</v>
      </c>
      <c r="T80" s="114">
        <v>1</v>
      </c>
      <c r="U80" s="114">
        <v>0</v>
      </c>
      <c r="V80" s="114">
        <v>1</v>
      </c>
      <c r="W80" s="114">
        <v>1</v>
      </c>
      <c r="X80" s="114">
        <v>1</v>
      </c>
      <c r="Y80" s="114">
        <v>1</v>
      </c>
      <c r="Z80" s="114"/>
      <c r="AA80" s="114">
        <v>3</v>
      </c>
      <c r="AB80" s="114">
        <v>2</v>
      </c>
      <c r="AC80" s="114">
        <v>2</v>
      </c>
      <c r="AD80" s="114">
        <f>_xlfn.IFS(AR80&lt;1.7,1,AR80=1.7-2.3,2,AR80&gt;2.3,3)</f>
        <v>1</v>
      </c>
      <c r="AE80" s="114">
        <f>Y80+AA80+AB80+AC80+AD80</f>
        <v>9</v>
      </c>
      <c r="AF80" s="116" t="s">
        <v>63</v>
      </c>
      <c r="AG80" s="114">
        <f>AT80/17.1</f>
        <v>2.12280701754386</v>
      </c>
      <c r="AH80" s="114">
        <f>AU80/88.4</f>
        <v>0.441176470588235</v>
      </c>
      <c r="AI80" s="114">
        <f>AR80</f>
        <v>1.37</v>
      </c>
      <c r="AJ80" s="159">
        <f>LN(IF(AG80&gt;=1,AG80,1))*3.8+LN(IF(AH80&gt;=1,AH80,1))*9.6+11.2*LN(IF(AI80&gt;=1,AI80,1))+6.4*AN80</f>
        <v>12.7862895417047</v>
      </c>
      <c r="AK80" s="160">
        <f>IF(AND(AG80&gt;0,AH80&gt;0,AI80&gt;0),AJ80,"")</f>
        <v>12.7862895417047</v>
      </c>
      <c r="AL80" s="160">
        <f>AK80+1.59*(135-AM80)</f>
        <v>12.7862895417047</v>
      </c>
      <c r="AM80" s="160">
        <f>IF(AV80&gt;135,135,IF(AV80&lt;120,120,AV80))</f>
        <v>135</v>
      </c>
      <c r="AN80" s="114">
        <v>1</v>
      </c>
      <c r="AO80" s="114">
        <v>1</v>
      </c>
      <c r="AP80" s="114">
        <v>2.96</v>
      </c>
      <c r="AQ80" s="114">
        <v>75</v>
      </c>
      <c r="AR80" s="114">
        <v>1.37</v>
      </c>
      <c r="AS80" s="160">
        <v>28</v>
      </c>
      <c r="AT80" s="161">
        <v>36.3</v>
      </c>
      <c r="AU80" s="114">
        <v>39</v>
      </c>
      <c r="AV80" s="114">
        <v>139</v>
      </c>
      <c r="AZ80" s="132" t="s">
        <v>271</v>
      </c>
    </row>
    <row r="81" s="117" customFormat="1" spans="1:53">
      <c r="A81" s="117" t="s">
        <v>272</v>
      </c>
      <c r="B81" s="117" t="s">
        <v>53</v>
      </c>
      <c r="C81" s="117">
        <v>53</v>
      </c>
      <c r="D81" s="135">
        <v>1.63</v>
      </c>
      <c r="E81" s="117">
        <v>62</v>
      </c>
      <c r="F81" s="136">
        <f t="shared" ref="F81:F99" si="10">E81/(D81*D81)</f>
        <v>23.3354661447552</v>
      </c>
      <c r="G81" s="117">
        <v>2</v>
      </c>
      <c r="H81" s="158">
        <v>43931</v>
      </c>
      <c r="I81" s="158">
        <v>43927</v>
      </c>
      <c r="J81" s="158">
        <v>43937</v>
      </c>
      <c r="L81" s="137">
        <v>1</v>
      </c>
      <c r="M81" s="137">
        <v>10</v>
      </c>
      <c r="N81" s="139" t="s">
        <v>273</v>
      </c>
      <c r="O81" s="117">
        <v>1</v>
      </c>
      <c r="T81" s="114">
        <v>1</v>
      </c>
      <c r="U81" s="114">
        <v>0</v>
      </c>
      <c r="V81" s="114">
        <v>1</v>
      </c>
      <c r="W81" s="114">
        <v>0</v>
      </c>
      <c r="X81" s="114">
        <v>1</v>
      </c>
      <c r="Y81" s="114">
        <v>1</v>
      </c>
      <c r="Z81" s="114"/>
      <c r="AA81" s="114">
        <v>2</v>
      </c>
      <c r="AB81" s="114">
        <f t="shared" ref="AB81:AB99" si="11">_xlfn.IFS(AT81&lt;34,1,AT81=34-51,2,AT81&gt;51,3)</f>
        <v>1</v>
      </c>
      <c r="AC81" s="114">
        <f>_xlfn.IFS(AS81&lt;28,3,AS81=28-35,2,AS81&gt;35,1)</f>
        <v>3</v>
      </c>
      <c r="AD81" s="114">
        <f t="shared" ref="AD81:AD87" si="12">_xlfn.IFS(AR81&lt;1.7,1,AR81=1.7-2.3,2,AR81&gt;2.3,3)</f>
        <v>1</v>
      </c>
      <c r="AE81" s="114">
        <f>Y81+AA81+AB81+AC81+AD81</f>
        <v>8</v>
      </c>
      <c r="AF81" s="116" t="s">
        <v>63</v>
      </c>
      <c r="AG81" s="114">
        <f>AT81/17.1</f>
        <v>0.614035087719298</v>
      </c>
      <c r="AH81" s="114">
        <f>AU81/88.4</f>
        <v>0.542986425339366</v>
      </c>
      <c r="AI81" s="114">
        <f>AR81</f>
        <v>1.32</v>
      </c>
      <c r="AJ81" s="159">
        <f>LN(IF(AG81&gt;=1,AG81,1))*3.8+LN(IF(AH81&gt;=1,AH81,1))*9.6+11.2*LN(IF(AI81&gt;=1,AI81,1))+6.4*AN81</f>
        <v>9.50947544990073</v>
      </c>
      <c r="AK81" s="160">
        <f>IF(AND(AG81&gt;0,AH81&gt;0,AI81&gt;0),AJ81,"")</f>
        <v>9.50947544990073</v>
      </c>
      <c r="AL81" s="160">
        <f t="shared" ref="AL81:AL87" si="13">AK81+1.59*(135-AM81)</f>
        <v>9.50947544990073</v>
      </c>
      <c r="AM81" s="160">
        <f>IF(AV81&gt;135,135,IF(AV81&lt;120,120,AV81))</f>
        <v>135</v>
      </c>
      <c r="AN81" s="114">
        <v>1</v>
      </c>
      <c r="AO81" s="114">
        <v>1</v>
      </c>
      <c r="AP81" s="114">
        <v>4.47</v>
      </c>
      <c r="AQ81" s="114">
        <v>94</v>
      </c>
      <c r="AR81" s="114">
        <v>1.32</v>
      </c>
      <c r="AS81" s="160">
        <v>24</v>
      </c>
      <c r="AT81" s="161">
        <v>10.5</v>
      </c>
      <c r="AU81" s="114">
        <v>48</v>
      </c>
      <c r="AV81" s="114">
        <v>144</v>
      </c>
      <c r="AZ81" s="119" t="s">
        <v>274</v>
      </c>
    </row>
    <row r="82" s="123" customFormat="1" spans="1:53">
      <c r="A82" s="123" t="s">
        <v>275</v>
      </c>
      <c r="B82" s="123" t="s">
        <v>53</v>
      </c>
      <c r="C82" s="123">
        <v>74</v>
      </c>
      <c r="D82" s="176">
        <v>1.6</v>
      </c>
      <c r="E82" s="123">
        <v>60</v>
      </c>
      <c r="F82" s="136">
        <f>E82/D82/D82</f>
        <v>23.4375</v>
      </c>
      <c r="G82" s="123">
        <v>1</v>
      </c>
      <c r="H82" s="177">
        <v>43928</v>
      </c>
      <c r="I82" s="177">
        <v>43928</v>
      </c>
      <c r="J82" s="177">
        <v>43939</v>
      </c>
      <c r="L82" s="178">
        <v>1</v>
      </c>
      <c r="M82" s="178">
        <v>11</v>
      </c>
      <c r="N82" s="179" t="s">
        <v>276</v>
      </c>
      <c r="S82" s="123">
        <v>1</v>
      </c>
      <c r="T82" s="114">
        <v>1</v>
      </c>
      <c r="U82" s="114">
        <v>0</v>
      </c>
      <c r="V82" s="114">
        <v>0</v>
      </c>
      <c r="W82" s="114">
        <v>1</v>
      </c>
      <c r="X82" s="114">
        <v>0</v>
      </c>
      <c r="Y82" s="114">
        <v>1</v>
      </c>
      <c r="Z82" s="114"/>
      <c r="AA82" s="114">
        <v>3</v>
      </c>
      <c r="AB82" s="114">
        <f t="shared" si="11"/>
        <v>1</v>
      </c>
      <c r="AC82" s="114">
        <f>_xlfn.IFS(AS82&lt;28,3,AS82=28-35,2,AS82&gt;35,1)</f>
        <v>3</v>
      </c>
      <c r="AD82" s="114">
        <f t="shared" si="12"/>
        <v>1</v>
      </c>
      <c r="AE82" s="114">
        <f>Y82+AA82+AB82+AC82+AD82</f>
        <v>9</v>
      </c>
      <c r="AF82" s="116" t="s">
        <v>63</v>
      </c>
      <c r="AG82" s="114">
        <f>AT82/17.1</f>
        <v>1.35087719298246</v>
      </c>
      <c r="AH82" s="114">
        <f>AU82/88.4</f>
        <v>0.904977375565611</v>
      </c>
      <c r="AI82" s="114">
        <f>AR82</f>
        <v>1.27</v>
      </c>
      <c r="AJ82" s="159">
        <f>LN(IF(AG82&gt;=1,AG82,1))*3.8+LN(IF(AH82&gt;=1,AH82,1))*9.6+11.2*LN(IF(AI82&gt;=1,AI82,1))+6.4*AN82</f>
        <v>10.2198550705423</v>
      </c>
      <c r="AK82" s="160">
        <f>IF(AND(AG82&gt;0,AH82&gt;0,AI82&gt;0),AJ82,"")</f>
        <v>10.2198550705423</v>
      </c>
      <c r="AL82" s="160">
        <f t="shared" si="13"/>
        <v>10.2198550705423</v>
      </c>
      <c r="AM82" s="160">
        <f>IF(AV82&gt;135,135,IF(AV82&lt;120,120,AV82))</f>
        <v>135</v>
      </c>
      <c r="AN82" s="114">
        <v>1</v>
      </c>
      <c r="AO82" s="114">
        <v>1</v>
      </c>
      <c r="AP82" s="114">
        <v>7.57</v>
      </c>
      <c r="AQ82" s="114">
        <v>70</v>
      </c>
      <c r="AR82" s="114">
        <v>1.27</v>
      </c>
      <c r="AS82" s="160">
        <v>14</v>
      </c>
      <c r="AT82" s="161">
        <v>23.1</v>
      </c>
      <c r="AU82" s="114">
        <v>80</v>
      </c>
      <c r="AV82" s="114">
        <v>136</v>
      </c>
      <c r="AZ82" s="132" t="s">
        <v>277</v>
      </c>
    </row>
    <row r="83" s="123" customFormat="1" spans="1:53">
      <c r="A83" s="123" t="s">
        <v>278</v>
      </c>
      <c r="B83" s="123" t="s">
        <v>53</v>
      </c>
      <c r="C83" s="123">
        <v>74</v>
      </c>
      <c r="D83" s="176">
        <v>1.67</v>
      </c>
      <c r="E83" s="123">
        <v>50</v>
      </c>
      <c r="F83" s="136">
        <f>E83/(D83*D83)</f>
        <v>17.9282154254366</v>
      </c>
      <c r="G83" s="123">
        <v>4</v>
      </c>
      <c r="H83" s="177">
        <v>43927</v>
      </c>
      <c r="I83" s="177">
        <v>43927</v>
      </c>
      <c r="J83" s="177">
        <v>43937</v>
      </c>
      <c r="L83" s="178">
        <v>6</v>
      </c>
      <c r="M83" s="178">
        <v>10</v>
      </c>
      <c r="N83" s="179" t="s">
        <v>279</v>
      </c>
      <c r="S83" s="123">
        <v>1</v>
      </c>
      <c r="T83" s="114">
        <v>1</v>
      </c>
      <c r="U83" s="114">
        <v>0</v>
      </c>
      <c r="V83" s="114">
        <v>1</v>
      </c>
      <c r="W83" s="114">
        <v>0</v>
      </c>
      <c r="X83" s="114">
        <v>1</v>
      </c>
      <c r="Y83" s="114">
        <v>1</v>
      </c>
      <c r="Z83" s="114"/>
      <c r="AA83" s="114">
        <v>3</v>
      </c>
      <c r="AB83" s="114">
        <f t="shared" si="11"/>
        <v>1</v>
      </c>
      <c r="AC83" s="114">
        <v>2</v>
      </c>
      <c r="AD83" s="114">
        <f t="shared" si="12"/>
        <v>1</v>
      </c>
      <c r="AE83" s="114">
        <f>Y83+AA83+AB83+AC83+AD83</f>
        <v>8</v>
      </c>
      <c r="AF83" s="116" t="s">
        <v>63</v>
      </c>
      <c r="AG83" s="114">
        <f>AT83/17.1</f>
        <v>0.555555555555555</v>
      </c>
      <c r="AH83" s="114">
        <f>AU83/88.4</f>
        <v>0.81447963800905</v>
      </c>
      <c r="AI83" s="114">
        <f>AR83</f>
        <v>1.26</v>
      </c>
      <c r="AJ83" s="159">
        <f>LN(IF(AG83&gt;=1,AG83,1))*3.8+LN(IF(AH83&gt;=1,AH83,1))*9.6+11.2*LN(IF(AI83&gt;=1,AI83,1))+6.4*AN83</f>
        <v>8.98845127478993</v>
      </c>
      <c r="AK83" s="160">
        <f>IF(AND(AG83&gt;0,AH83&gt;0,AI83&gt;0),AJ83,"")</f>
        <v>8.98845127478993</v>
      </c>
      <c r="AL83" s="160">
        <f t="shared" si="13"/>
        <v>8.98845127478993</v>
      </c>
      <c r="AM83" s="160">
        <f>IF(AV83&gt;135,135,IF(AV83&lt;120,120,AV83))</f>
        <v>135</v>
      </c>
      <c r="AN83" s="114">
        <v>1</v>
      </c>
      <c r="AO83" s="114">
        <v>1</v>
      </c>
      <c r="AP83" s="114">
        <v>3.38</v>
      </c>
      <c r="AQ83" s="114">
        <v>58</v>
      </c>
      <c r="AR83" s="114">
        <v>1.26</v>
      </c>
      <c r="AS83" s="160">
        <v>31</v>
      </c>
      <c r="AT83" s="161">
        <v>9.5</v>
      </c>
      <c r="AU83" s="114">
        <v>72</v>
      </c>
      <c r="AV83" s="114">
        <v>141</v>
      </c>
      <c r="AZ83" s="132" t="s">
        <v>280</v>
      </c>
    </row>
    <row r="84" s="125" customFormat="1" spans="1:53">
      <c r="A84" s="125" t="s">
        <v>281</v>
      </c>
      <c r="B84" s="125" t="s">
        <v>53</v>
      </c>
      <c r="C84" s="125">
        <v>63</v>
      </c>
      <c r="D84" s="185">
        <v>1.6</v>
      </c>
      <c r="F84" s="136"/>
      <c r="G84" s="125">
        <v>7</v>
      </c>
      <c r="H84" s="186">
        <v>43922</v>
      </c>
      <c r="I84" s="186">
        <v>43922</v>
      </c>
      <c r="J84" s="186">
        <v>43935</v>
      </c>
      <c r="K84" s="186">
        <v>43952</v>
      </c>
      <c r="L84" s="187">
        <v>6</v>
      </c>
      <c r="M84" s="187">
        <v>13</v>
      </c>
      <c r="N84" s="188" t="s">
        <v>282</v>
      </c>
      <c r="S84" s="125">
        <v>1</v>
      </c>
      <c r="T84" s="114">
        <v>1</v>
      </c>
      <c r="U84" s="114">
        <v>0</v>
      </c>
      <c r="V84" s="114">
        <v>0</v>
      </c>
      <c r="W84" s="114">
        <v>1</v>
      </c>
      <c r="X84" s="114">
        <v>1</v>
      </c>
      <c r="Y84" s="114">
        <v>1</v>
      </c>
      <c r="Z84" s="114"/>
      <c r="AA84" s="114">
        <v>3</v>
      </c>
      <c r="AB84" s="114">
        <f t="shared" si="11"/>
        <v>1</v>
      </c>
      <c r="AC84" s="114">
        <f>_xlfn.IFS(AS84&lt;28,3,AS84=28-35,2,AS84&gt;35,1)</f>
        <v>3</v>
      </c>
      <c r="AD84" s="114">
        <f t="shared" si="12"/>
        <v>1</v>
      </c>
      <c r="AE84" s="114">
        <f>Y84+AA84+AB84+AC84+AD84</f>
        <v>9</v>
      </c>
      <c r="AF84" s="116" t="s">
        <v>63</v>
      </c>
      <c r="AG84" s="114">
        <f>AT84/17.1</f>
        <v>1.44444444444444</v>
      </c>
      <c r="AH84" s="114">
        <f>AU84/88.4</f>
        <v>2.33031674208145</v>
      </c>
      <c r="AI84" s="114">
        <f>AR84</f>
        <v>1.47</v>
      </c>
      <c r="AJ84" s="159">
        <f>LN(IF(AG84&gt;=1,AG84,1))*3.8+LN(IF(AH84&gt;=1,AH84,1))*9.6+11.2*LN(IF(AI84&gt;=1,AI84,1))+6.4*AN84</f>
        <v>20.2339333651329</v>
      </c>
      <c r="AK84" s="160">
        <f>IF(AND(AG84&gt;0,AH84&gt;0,AI84&gt;0),AJ84,"")</f>
        <v>20.2339333651329</v>
      </c>
      <c r="AL84" s="160">
        <f t="shared" si="13"/>
        <v>20.2339333651329</v>
      </c>
      <c r="AM84" s="160">
        <f>IF(AV84&gt;135,135,IF(AV84&lt;120,120,AV84))</f>
        <v>135</v>
      </c>
      <c r="AN84" s="114">
        <v>1</v>
      </c>
      <c r="AO84" s="114">
        <v>3</v>
      </c>
      <c r="AP84" s="114">
        <v>19.67</v>
      </c>
      <c r="AQ84" s="114">
        <v>101</v>
      </c>
      <c r="AR84" s="114">
        <v>1.47</v>
      </c>
      <c r="AS84" s="160">
        <v>18</v>
      </c>
      <c r="AT84" s="161">
        <v>24.7</v>
      </c>
      <c r="AU84" s="114">
        <v>206</v>
      </c>
      <c r="AV84" s="114">
        <v>143</v>
      </c>
      <c r="AZ84" s="131" t="s">
        <v>283</v>
      </c>
    </row>
    <row r="85" spans="1:53">
      <c r="A85" s="117" t="s">
        <v>284</v>
      </c>
      <c r="B85" s="117" t="s">
        <v>48</v>
      </c>
      <c r="C85" s="117">
        <v>41</v>
      </c>
      <c r="D85" s="135">
        <v>1.72</v>
      </c>
      <c r="E85" s="117">
        <v>62</v>
      </c>
      <c r="F85" s="136">
        <f t="shared" si="10"/>
        <v>20.9572742022715</v>
      </c>
      <c r="G85" s="117">
        <v>0</v>
      </c>
      <c r="H85" s="158">
        <v>43938</v>
      </c>
      <c r="I85" s="158">
        <v>43931</v>
      </c>
      <c r="J85" s="158">
        <v>43950</v>
      </c>
      <c r="L85" s="137">
        <v>1</v>
      </c>
      <c r="M85" s="137">
        <v>19</v>
      </c>
      <c r="N85" s="139" t="s">
        <v>285</v>
      </c>
      <c r="O85" s="117">
        <v>1</v>
      </c>
      <c r="T85" s="114">
        <v>0</v>
      </c>
      <c r="U85" s="114">
        <v>0</v>
      </c>
      <c r="V85" s="114">
        <v>1</v>
      </c>
      <c r="W85" s="114">
        <v>0</v>
      </c>
      <c r="X85" s="114">
        <v>1</v>
      </c>
      <c r="Y85" s="114">
        <v>1</v>
      </c>
      <c r="Z85" s="114" t="s">
        <v>58</v>
      </c>
      <c r="AA85" s="114">
        <v>1</v>
      </c>
      <c r="AB85" s="114">
        <f t="shared" si="11"/>
        <v>1</v>
      </c>
      <c r="AC85" s="114">
        <v>2</v>
      </c>
      <c r="AD85" s="114">
        <f t="shared" si="12"/>
        <v>1</v>
      </c>
      <c r="AE85" s="114">
        <f>Y85+AA85+AB85+AC85+AD85</f>
        <v>6</v>
      </c>
      <c r="AF85" s="116" t="s">
        <v>59</v>
      </c>
      <c r="AG85" s="114">
        <f>AT85/17.1</f>
        <v>0.64327485380117</v>
      </c>
      <c r="AH85" s="114">
        <f>AU85/88.4</f>
        <v>0.656108597285068</v>
      </c>
      <c r="AI85" s="114">
        <f>AR85</f>
        <v>1.2</v>
      </c>
      <c r="AJ85" s="159">
        <f>LN(IF(AG85&gt;=1,AG85,1))*3.8+LN(IF(AH85&gt;=1,AH85,1))*9.6+11.2*LN(IF(AI85&gt;=1,AI85,1))+6.4*AN85</f>
        <v>8.44200143609229</v>
      </c>
      <c r="AK85" s="160">
        <f>IF(AND(AG85&gt;0,AH85&gt;0,AI85&gt;0),AJ85,"")</f>
        <v>8.44200143609229</v>
      </c>
      <c r="AL85" s="160">
        <f t="shared" si="13"/>
        <v>8.44200143609229</v>
      </c>
      <c r="AM85" s="160">
        <f>IF(AV85&gt;135,135,IF(AV85&lt;120,120,AV85))</f>
        <v>135</v>
      </c>
      <c r="AN85" s="114">
        <v>1</v>
      </c>
      <c r="AO85" s="114">
        <v>1</v>
      </c>
      <c r="AP85" s="114">
        <v>7.21</v>
      </c>
      <c r="AQ85" s="114">
        <v>72</v>
      </c>
      <c r="AR85" s="114">
        <v>1.2</v>
      </c>
      <c r="AS85" s="160">
        <v>28</v>
      </c>
      <c r="AT85" s="161">
        <v>11</v>
      </c>
      <c r="AU85" s="114">
        <v>58</v>
      </c>
      <c r="AV85" s="114">
        <v>141</v>
      </c>
      <c r="AZ85" s="119" t="s">
        <v>58</v>
      </c>
    </row>
    <row r="86" spans="1:53">
      <c r="A86" s="117" t="s">
        <v>286</v>
      </c>
      <c r="B86" s="117" t="s">
        <v>53</v>
      </c>
      <c r="D86" s="135">
        <v>1.68</v>
      </c>
      <c r="E86" s="117">
        <v>64</v>
      </c>
      <c r="F86" s="136">
        <f t="shared" si="10"/>
        <v>22.6757369614512</v>
      </c>
      <c r="G86" s="117">
        <v>0</v>
      </c>
      <c r="H86" s="158">
        <v>43938</v>
      </c>
      <c r="I86" s="158">
        <v>43935</v>
      </c>
      <c r="J86" s="158">
        <v>43948</v>
      </c>
      <c r="L86" s="137">
        <v>1</v>
      </c>
      <c r="M86" s="137">
        <v>13</v>
      </c>
      <c r="N86" s="139" t="s">
        <v>287</v>
      </c>
      <c r="Q86" s="117">
        <v>1</v>
      </c>
      <c r="T86" s="114">
        <v>1</v>
      </c>
      <c r="U86" s="114">
        <v>0</v>
      </c>
      <c r="V86" s="114">
        <v>1</v>
      </c>
      <c r="W86" s="114">
        <v>0</v>
      </c>
      <c r="X86" s="114">
        <v>1</v>
      </c>
      <c r="Y86" s="114">
        <v>1</v>
      </c>
      <c r="Z86" s="114"/>
      <c r="AA86" s="114">
        <v>2</v>
      </c>
      <c r="AB86" s="114">
        <f t="shared" si="11"/>
        <v>1</v>
      </c>
      <c r="AC86" s="114">
        <f>_xlfn.IFS(AS86&lt;28,3,AS86=28-35,2,AS86&gt;35,1)</f>
        <v>3</v>
      </c>
      <c r="AD86" s="114">
        <f t="shared" si="12"/>
        <v>1</v>
      </c>
      <c r="AE86" s="114">
        <f>Y86+AA86+AB86+AC86+AD86</f>
        <v>8</v>
      </c>
      <c r="AF86" s="116" t="s">
        <v>63</v>
      </c>
      <c r="AG86" s="114">
        <f>AT86/17.1</f>
        <v>0.491228070175439</v>
      </c>
      <c r="AH86" s="114">
        <f>AU86/88.4</f>
        <v>0.599547511312217</v>
      </c>
      <c r="AI86" s="114">
        <f>AR86</f>
        <v>1.23</v>
      </c>
      <c r="AJ86" s="159">
        <f>LN(IF(AG86&gt;=1,AG86,1))*3.8+LN(IF(AH86&gt;=1,AH86,1))*9.6+11.2*LN(IF(AI86&gt;=1,AI86,1))+6.4*AN86</f>
        <v>8.71855869710445</v>
      </c>
      <c r="AK86" s="160">
        <f>IF(AND(AG86&gt;0,AH86&gt;0,AI86&gt;0),AJ86,"")</f>
        <v>8.71855869710445</v>
      </c>
      <c r="AL86" s="160">
        <f t="shared" si="13"/>
        <v>8.71855869710445</v>
      </c>
      <c r="AM86" s="160">
        <f>IF(AV86&gt;135,135,IF(AV86&lt;120,120,AV86))</f>
        <v>135</v>
      </c>
      <c r="AN86" s="114">
        <v>1</v>
      </c>
      <c r="AO86" s="114">
        <v>1</v>
      </c>
      <c r="AP86" s="114">
        <v>6.38</v>
      </c>
      <c r="AQ86" s="114">
        <v>47</v>
      </c>
      <c r="AR86" s="114">
        <v>1.23</v>
      </c>
      <c r="AS86" s="160">
        <v>23</v>
      </c>
      <c r="AT86" s="161">
        <v>8.4</v>
      </c>
      <c r="AU86" s="114">
        <v>53</v>
      </c>
      <c r="AV86" s="114">
        <v>142</v>
      </c>
      <c r="AZ86" s="119" t="s">
        <v>288</v>
      </c>
    </row>
    <row r="87" s="125" customFormat="1" ht="14.65" customHeight="1" spans="1:53">
      <c r="A87" s="125" t="s">
        <v>257</v>
      </c>
      <c r="B87" s="125" t="s">
        <v>53</v>
      </c>
      <c r="D87" s="185">
        <v>1.55</v>
      </c>
      <c r="E87" s="125">
        <v>55</v>
      </c>
      <c r="F87" s="136">
        <f t="shared" si="10"/>
        <v>22.8928199791883</v>
      </c>
      <c r="G87" s="125">
        <v>3</v>
      </c>
      <c r="H87" s="186">
        <v>43938</v>
      </c>
      <c r="I87" s="186">
        <v>43936</v>
      </c>
      <c r="J87" s="186">
        <v>43948</v>
      </c>
      <c r="K87" s="186">
        <v>44197</v>
      </c>
      <c r="L87" s="187">
        <v>3</v>
      </c>
      <c r="M87" s="187">
        <v>12</v>
      </c>
      <c r="N87" s="188" t="s">
        <v>289</v>
      </c>
      <c r="O87" s="125">
        <v>1</v>
      </c>
      <c r="T87" s="114">
        <v>0</v>
      </c>
      <c r="U87" s="114">
        <v>0</v>
      </c>
      <c r="V87" s="114">
        <v>1</v>
      </c>
      <c r="W87" s="114">
        <v>0</v>
      </c>
      <c r="X87" s="114">
        <v>1</v>
      </c>
      <c r="Y87" s="114">
        <v>1</v>
      </c>
      <c r="Z87" s="114" t="s">
        <v>58</v>
      </c>
      <c r="AA87" s="114">
        <v>1</v>
      </c>
      <c r="AB87" s="114">
        <f t="shared" si="11"/>
        <v>1</v>
      </c>
      <c r="AC87" s="114">
        <f>_xlfn.IFS(AS87&lt;28,3,AS87=28-35,2,AS87&gt;35,1)</f>
        <v>3</v>
      </c>
      <c r="AD87" s="114">
        <f t="shared" si="12"/>
        <v>1</v>
      </c>
      <c r="AE87" s="114">
        <f>Y87+AA87+AB87+AC87+AD87</f>
        <v>7</v>
      </c>
      <c r="AF87" s="116" t="s">
        <v>63</v>
      </c>
      <c r="AG87" s="114">
        <f>AT87/17.1</f>
        <v>0.894736842105263</v>
      </c>
      <c r="AH87" s="114">
        <f>AU87/88.4</f>
        <v>0.678733031674208</v>
      </c>
      <c r="AI87" s="114">
        <f>AR87</f>
        <v>1.11</v>
      </c>
      <c r="AJ87" s="159">
        <f>LN(IF(AG87&gt;=1,AG87,1))*3.8+LN(IF(AH87&gt;=1,AH87,1))*9.6+11.2*LN(IF(AI87&gt;=1,AI87,1))+6.4*AN87</f>
        <v>7.56883217163152</v>
      </c>
      <c r="AK87" s="160">
        <f>IF(AND(AG87&gt;0,AH87&gt;0,AI87&gt;0),AJ87,"")</f>
        <v>7.56883217163152</v>
      </c>
      <c r="AL87" s="160">
        <f t="shared" si="13"/>
        <v>7.56883217163152</v>
      </c>
      <c r="AM87" s="160">
        <f>IF(AV87&gt;135,135,IF(AV87&lt;120,120,AV87))</f>
        <v>135</v>
      </c>
      <c r="AN87" s="114">
        <v>1</v>
      </c>
      <c r="AO87" s="114">
        <v>1</v>
      </c>
      <c r="AP87" s="114">
        <v>2.83</v>
      </c>
      <c r="AQ87" s="114">
        <v>62</v>
      </c>
      <c r="AR87" s="114">
        <v>1.11</v>
      </c>
      <c r="AS87" s="160">
        <v>26</v>
      </c>
      <c r="AT87" s="161">
        <v>15.3</v>
      </c>
      <c r="AU87" s="114">
        <v>60</v>
      </c>
      <c r="AV87" s="114">
        <v>138</v>
      </c>
      <c r="AZ87" s="131" t="s">
        <v>290</v>
      </c>
      <c r="BA87" s="131" t="s">
        <v>291</v>
      </c>
    </row>
    <row r="88" s="125" customFormat="1" spans="1:53">
      <c r="A88" s="125" t="s">
        <v>292</v>
      </c>
      <c r="B88" s="125" t="s">
        <v>53</v>
      </c>
      <c r="C88" s="125">
        <v>49</v>
      </c>
      <c r="D88" s="185">
        <v>1.64</v>
      </c>
      <c r="E88" s="125">
        <v>75</v>
      </c>
      <c r="F88" s="136">
        <f t="shared" si="10"/>
        <v>27.8851873884593</v>
      </c>
      <c r="G88" s="125">
        <v>3</v>
      </c>
      <c r="H88" s="186">
        <v>43916</v>
      </c>
      <c r="I88" s="186">
        <v>43916</v>
      </c>
      <c r="J88" s="186">
        <v>43934</v>
      </c>
      <c r="K88" s="186">
        <v>44287</v>
      </c>
      <c r="L88" s="187">
        <v>1</v>
      </c>
      <c r="M88" s="187">
        <v>18</v>
      </c>
      <c r="N88" s="188" t="s">
        <v>293</v>
      </c>
      <c r="S88" s="125">
        <v>1</v>
      </c>
      <c r="T88" s="114">
        <v>1</v>
      </c>
      <c r="U88" s="114">
        <v>0</v>
      </c>
      <c r="V88" s="114">
        <v>0</v>
      </c>
      <c r="W88" s="114">
        <v>0</v>
      </c>
      <c r="X88" s="114">
        <v>1</v>
      </c>
      <c r="Y88" s="114">
        <v>1</v>
      </c>
      <c r="Z88" s="114"/>
      <c r="AA88" s="114">
        <v>2</v>
      </c>
      <c r="AB88" s="114">
        <f t="shared" si="11"/>
        <v>3</v>
      </c>
      <c r="AC88" s="114">
        <v>2</v>
      </c>
      <c r="AD88" s="114">
        <v>2</v>
      </c>
      <c r="AE88" s="114">
        <f>Y88+AA88+AB88+AC88+AD88</f>
        <v>10</v>
      </c>
      <c r="AF88" s="116" t="s">
        <v>50</v>
      </c>
      <c r="AG88" s="114">
        <f>AT88/17.1</f>
        <v>6.33333333333333</v>
      </c>
      <c r="AH88" s="114">
        <f>AU88/88.4</f>
        <v>0.656108597285068</v>
      </c>
      <c r="AI88" s="114">
        <f>AR88</f>
        <v>2.16</v>
      </c>
      <c r="AJ88" s="159">
        <f>LN(IF(AG88&gt;=1,AG88,1))*3.8+LN(IF(AH88&gt;=1,AH88,1))*9.6+11.2*LN(IF(AI88&gt;=1,AI88,1))+6.4*AN88</f>
        <v>22.0393535068897</v>
      </c>
      <c r="AK88" s="160">
        <f>IF(AND(AG88&gt;0,AH88&gt;0,AI88&gt;0),AJ88,"")</f>
        <v>22.0393535068897</v>
      </c>
      <c r="AL88" s="160">
        <f>AK88+1.59*(135-AM88)</f>
        <v>22.0393535068897</v>
      </c>
      <c r="AM88" s="160">
        <f>IF(AV88&gt;135,135,IF(AV88&lt;120,120,AV88))</f>
        <v>135</v>
      </c>
      <c r="AN88" s="114">
        <v>1</v>
      </c>
      <c r="AO88" s="114">
        <v>3</v>
      </c>
      <c r="AP88" s="114">
        <v>3</v>
      </c>
      <c r="AQ88" s="114">
        <v>89</v>
      </c>
      <c r="AR88" s="114">
        <v>2.16</v>
      </c>
      <c r="AS88" s="160">
        <v>28</v>
      </c>
      <c r="AT88" s="161">
        <v>108.3</v>
      </c>
      <c r="AU88" s="114">
        <v>58</v>
      </c>
      <c r="AV88" s="114">
        <v>141</v>
      </c>
      <c r="AZ88" s="131" t="s">
        <v>294</v>
      </c>
    </row>
    <row r="89" s="125" customFormat="1" spans="1:53">
      <c r="A89" s="125" t="s">
        <v>295</v>
      </c>
      <c r="B89" s="125" t="s">
        <v>48</v>
      </c>
      <c r="C89" s="125">
        <v>67</v>
      </c>
      <c r="D89" s="185">
        <v>1.67</v>
      </c>
      <c r="E89" s="125">
        <v>80</v>
      </c>
      <c r="F89" s="136">
        <f t="shared" si="10"/>
        <v>28.6851446806985</v>
      </c>
      <c r="G89" s="125">
        <v>0</v>
      </c>
      <c r="H89" s="186">
        <v>43921</v>
      </c>
      <c r="I89" s="186">
        <v>43921</v>
      </c>
      <c r="J89" s="186">
        <v>43929</v>
      </c>
      <c r="K89" s="186">
        <v>44301</v>
      </c>
      <c r="L89" s="187">
        <v>5</v>
      </c>
      <c r="M89" s="187">
        <v>8</v>
      </c>
      <c r="N89" s="188" t="s">
        <v>296</v>
      </c>
      <c r="Q89" s="125">
        <v>1</v>
      </c>
      <c r="T89" s="114">
        <v>0</v>
      </c>
      <c r="U89" s="114">
        <v>0</v>
      </c>
      <c r="V89" s="114">
        <v>1</v>
      </c>
      <c r="W89" s="114">
        <v>0</v>
      </c>
      <c r="X89" s="114">
        <v>1</v>
      </c>
      <c r="Y89" s="114">
        <v>1</v>
      </c>
      <c r="Z89" s="114" t="s">
        <v>58</v>
      </c>
      <c r="AA89" s="114">
        <v>1</v>
      </c>
      <c r="AB89" s="114">
        <f t="shared" si="11"/>
        <v>1</v>
      </c>
      <c r="AC89" s="114">
        <v>2</v>
      </c>
      <c r="AD89" s="114">
        <f>_xlfn.IFS(AR89&lt;1.7,1,AR89=1.7-2.3,2,AR89&gt;2.3,3)</f>
        <v>1</v>
      </c>
      <c r="AE89" s="114">
        <f>Y89+AA89+AB89+AC89+AD89</f>
        <v>6</v>
      </c>
      <c r="AF89" s="116" t="s">
        <v>59</v>
      </c>
      <c r="AG89" s="114">
        <f>AT89/17.1</f>
        <v>0.935672514619883</v>
      </c>
      <c r="AH89" s="114">
        <f>AU89/88.4</f>
        <v>0.84841628959276</v>
      </c>
      <c r="AI89" s="114">
        <f>AR89</f>
        <v>1.07</v>
      </c>
      <c r="AJ89" s="159">
        <f>LN(IF(AG89&gt;=1,AG89,1))*3.8+LN(IF(AH89&gt;=1,AH89,1))*9.6+11.2*LN(IF(AI89&gt;=1,AI89,1))+6.4*AN89</f>
        <v>7.15777686290673</v>
      </c>
      <c r="AK89" s="160">
        <f>IF(AND(AG89&gt;0,AH89&gt;0,AI89&gt;0),AJ89,"")</f>
        <v>7.15777686290673</v>
      </c>
      <c r="AL89" s="160">
        <f>AK89+1.59*(135-AM89)</f>
        <v>7.15777686290673</v>
      </c>
      <c r="AM89" s="160">
        <f>IF(AV89&gt;135,135,IF(AV89&lt;120,120,AV89))</f>
        <v>135</v>
      </c>
      <c r="AN89" s="114">
        <v>1</v>
      </c>
      <c r="AO89" s="114">
        <v>1</v>
      </c>
      <c r="AP89" s="114">
        <v>2.77</v>
      </c>
      <c r="AQ89" s="114">
        <v>120</v>
      </c>
      <c r="AR89" s="136">
        <v>1.07</v>
      </c>
      <c r="AS89" s="160">
        <v>32</v>
      </c>
      <c r="AT89" s="161">
        <v>16</v>
      </c>
      <c r="AU89" s="114">
        <v>75</v>
      </c>
      <c r="AV89" s="114">
        <v>137</v>
      </c>
      <c r="AZ89" s="131" t="s">
        <v>297</v>
      </c>
    </row>
    <row r="90" s="123" customFormat="1" spans="1:53">
      <c r="A90" s="132" t="s">
        <v>298</v>
      </c>
      <c r="B90" s="123" t="s">
        <v>53</v>
      </c>
      <c r="C90" s="123">
        <v>60</v>
      </c>
      <c r="D90" s="176">
        <v>1.58</v>
      </c>
      <c r="E90" s="123">
        <v>54</v>
      </c>
      <c r="F90" s="189">
        <f>E90/(D90*D90)</f>
        <v>21.6311488543503</v>
      </c>
      <c r="G90" s="123">
        <v>0</v>
      </c>
      <c r="H90" s="177">
        <v>43936</v>
      </c>
      <c r="I90" s="177">
        <v>43934</v>
      </c>
      <c r="J90" s="177">
        <v>43938</v>
      </c>
      <c r="L90" s="178">
        <v>2</v>
      </c>
      <c r="M90" s="178">
        <v>4</v>
      </c>
      <c r="N90" s="179" t="s">
        <v>299</v>
      </c>
      <c r="Q90" s="123">
        <v>1</v>
      </c>
      <c r="T90" s="114">
        <v>1</v>
      </c>
      <c r="U90" s="114">
        <v>0</v>
      </c>
      <c r="V90" s="114">
        <v>1</v>
      </c>
      <c r="W90" s="114">
        <v>0</v>
      </c>
      <c r="X90" s="114">
        <v>1</v>
      </c>
      <c r="Y90" s="114">
        <v>1</v>
      </c>
      <c r="Z90" s="114" t="s">
        <v>300</v>
      </c>
      <c r="AA90" s="114">
        <v>2</v>
      </c>
      <c r="AB90" s="114">
        <f>_xlfn.IFS(AT90&lt;34,1,AT90=34-51,2,AT90&gt;51,3)</f>
        <v>1</v>
      </c>
      <c r="AC90" s="114">
        <f>_xlfn.IFS(AS90&lt;28,3,AS90=28-35,2,AS90&gt;35,1)</f>
        <v>1</v>
      </c>
      <c r="AD90" s="114">
        <f t="shared" ref="AD90:AD98" si="14">_xlfn.IFS(AR90&lt;1.7,1,AR90=1.7-2.3,2,AR90&gt;2.3,3)</f>
        <v>1</v>
      </c>
      <c r="AE90" s="114">
        <f t="shared" ref="AE90:AE120" si="15">Y90+AA90+AB90+AC90+AD90</f>
        <v>6</v>
      </c>
      <c r="AF90" s="116" t="s">
        <v>59</v>
      </c>
      <c r="AG90" s="114">
        <f t="shared" ref="AG90:AG101" si="16">AT90/17.1</f>
        <v>1.04093567251462</v>
      </c>
      <c r="AH90" s="114">
        <f t="shared" ref="AH90:AH101" si="17">AU90/88.4</f>
        <v>0.554298642533937</v>
      </c>
      <c r="AI90" s="114">
        <f t="shared" ref="AI90:AI101" si="18">AR90</f>
        <v>1.21</v>
      </c>
      <c r="AJ90" s="159">
        <f t="shared" ref="AJ90:AJ136" si="19">LN(IF(AG90&gt;=1,AG90,1))*3.8+LN(IF(AH90&gt;=1,AH90,1))*9.6+11.2*LN(IF(AI90&gt;=1,AI90,1))+6.4*AN90</f>
        <v>8.68740400401669</v>
      </c>
      <c r="AK90" s="160">
        <f t="shared" ref="AK90:AK117" si="20">IF(AND(AG90&gt;0,AH90&gt;0,AI90&gt;0),AJ90,"")</f>
        <v>8.68740400401669</v>
      </c>
      <c r="AL90" s="160">
        <f t="shared" ref="AL90:AL120" si="21">AK90+1.59*(135-AM90)</f>
        <v>8.68740400401669</v>
      </c>
      <c r="AM90" s="160">
        <f t="shared" ref="AM90:AM120" si="22">IF(AV90&gt;135,135,IF(AV90&lt;120,120,AV90))</f>
        <v>135</v>
      </c>
      <c r="AN90" s="114">
        <v>1</v>
      </c>
      <c r="AO90" s="114">
        <v>1</v>
      </c>
      <c r="AP90" s="114">
        <v>2.1</v>
      </c>
      <c r="AQ90" s="114">
        <v>109</v>
      </c>
      <c r="AR90" s="114">
        <v>1.21</v>
      </c>
      <c r="AS90" s="160">
        <v>43</v>
      </c>
      <c r="AT90" s="161">
        <v>17.8</v>
      </c>
      <c r="AU90" s="114">
        <v>49</v>
      </c>
      <c r="AV90" s="114">
        <v>143</v>
      </c>
      <c r="AZ90" s="132" t="s">
        <v>301</v>
      </c>
    </row>
    <row r="91" spans="1:53">
      <c r="A91" s="117" t="s">
        <v>302</v>
      </c>
      <c r="B91" s="117" t="s">
        <v>48</v>
      </c>
      <c r="C91" s="117">
        <v>66</v>
      </c>
      <c r="D91" s="135">
        <v>1.8</v>
      </c>
      <c r="E91" s="117">
        <v>80</v>
      </c>
      <c r="F91" s="136">
        <f>E91/(D91*D91)</f>
        <v>24.6913580246914</v>
      </c>
      <c r="G91" s="117">
        <v>0</v>
      </c>
      <c r="H91" s="158">
        <v>43936</v>
      </c>
      <c r="I91" s="158">
        <v>43934</v>
      </c>
      <c r="J91" s="158">
        <v>43942</v>
      </c>
      <c r="L91" s="137">
        <v>2</v>
      </c>
      <c r="M91" s="138">
        <v>8</v>
      </c>
      <c r="N91" s="139" t="s">
        <v>303</v>
      </c>
      <c r="O91" s="117">
        <v>1</v>
      </c>
      <c r="T91" s="114">
        <v>0</v>
      </c>
      <c r="U91" s="114">
        <v>0</v>
      </c>
      <c r="V91" s="114">
        <v>1</v>
      </c>
      <c r="W91" s="114">
        <v>0</v>
      </c>
      <c r="X91" s="114">
        <v>1</v>
      </c>
      <c r="Y91" s="114">
        <v>1</v>
      </c>
      <c r="Z91" s="114" t="s">
        <v>58</v>
      </c>
      <c r="AA91" s="114">
        <v>1</v>
      </c>
      <c r="AB91" s="114">
        <f>_xlfn.IFS(AT91&lt;34,1,AT91=34-51,2,AT91&gt;51,3)</f>
        <v>1</v>
      </c>
      <c r="AC91" s="114">
        <v>2</v>
      </c>
      <c r="AD91" s="114">
        <f t="shared" si="14"/>
        <v>1</v>
      </c>
      <c r="AE91" s="114">
        <f t="shared" si="15"/>
        <v>6</v>
      </c>
      <c r="AF91" s="116" t="s">
        <v>59</v>
      </c>
      <c r="AG91" s="114">
        <f t="shared" si="16"/>
        <v>1.85964912280702</v>
      </c>
      <c r="AH91" s="114">
        <f t="shared" si="17"/>
        <v>0.769230769230769</v>
      </c>
      <c r="AI91" s="114">
        <f t="shared" si="18"/>
        <v>1.49</v>
      </c>
      <c r="AJ91" s="159">
        <f t="shared" si="19"/>
        <v>13.2237662833771</v>
      </c>
      <c r="AK91" s="160">
        <f t="shared" si="20"/>
        <v>13.2237662833771</v>
      </c>
      <c r="AL91" s="160">
        <f t="shared" si="21"/>
        <v>13.2237662833771</v>
      </c>
      <c r="AM91" s="160">
        <f t="shared" si="22"/>
        <v>135</v>
      </c>
      <c r="AN91" s="114">
        <v>1</v>
      </c>
      <c r="AO91" s="114">
        <v>1</v>
      </c>
      <c r="AP91" s="114">
        <v>1.8</v>
      </c>
      <c r="AQ91" s="114">
        <v>104</v>
      </c>
      <c r="AR91" s="114">
        <v>1.49</v>
      </c>
      <c r="AS91" s="160">
        <v>30</v>
      </c>
      <c r="AT91" s="161">
        <v>31.8</v>
      </c>
      <c r="AU91" s="114">
        <v>68</v>
      </c>
      <c r="AV91" s="114">
        <v>138</v>
      </c>
      <c r="AZ91" s="119" t="s">
        <v>304</v>
      </c>
    </row>
    <row r="92" spans="1:53">
      <c r="A92" s="119" t="s">
        <v>305</v>
      </c>
      <c r="B92" s="117" t="s">
        <v>48</v>
      </c>
      <c r="C92" s="117">
        <v>64</v>
      </c>
      <c r="D92" s="135">
        <v>1.72</v>
      </c>
      <c r="E92" s="117">
        <v>85</v>
      </c>
      <c r="F92" s="136">
        <f>E92/(D92*D92)</f>
        <v>28.7317468902109</v>
      </c>
      <c r="G92" s="117">
        <v>1</v>
      </c>
      <c r="H92" s="158">
        <v>43936</v>
      </c>
      <c r="I92" s="158">
        <v>43929</v>
      </c>
      <c r="J92" s="158">
        <v>43943</v>
      </c>
      <c r="L92" s="137">
        <v>1</v>
      </c>
      <c r="M92" s="137">
        <v>14</v>
      </c>
      <c r="N92" s="139" t="s">
        <v>306</v>
      </c>
      <c r="O92" s="117">
        <v>1</v>
      </c>
      <c r="T92" s="114">
        <v>1</v>
      </c>
      <c r="U92" s="114">
        <v>0</v>
      </c>
      <c r="V92" s="114">
        <v>0</v>
      </c>
      <c r="W92" s="114">
        <v>0</v>
      </c>
      <c r="X92" s="114">
        <v>0</v>
      </c>
      <c r="Y92" s="114">
        <v>1</v>
      </c>
      <c r="Z92" s="114" t="s">
        <v>307</v>
      </c>
      <c r="AA92" s="114">
        <v>3</v>
      </c>
      <c r="AB92" s="114">
        <f>_xlfn.IFS(AT92&lt;34,1,AT92=34-51,2,AT92&gt;51,3)</f>
        <v>1</v>
      </c>
      <c r="AC92" s="114">
        <f>_xlfn.IFS(AS92&lt;28,3,AS92=28-35,2,AS92&gt;35,1)</f>
        <v>3</v>
      </c>
      <c r="AD92" s="114">
        <f t="shared" si="14"/>
        <v>1</v>
      </c>
      <c r="AE92" s="114">
        <f t="shared" si="15"/>
        <v>9</v>
      </c>
      <c r="AF92" s="116" t="s">
        <v>63</v>
      </c>
      <c r="AG92" s="114">
        <f t="shared" si="16"/>
        <v>1.39181286549708</v>
      </c>
      <c r="AH92" s="114">
        <f t="shared" si="17"/>
        <v>1.05203619909502</v>
      </c>
      <c r="AI92" s="114">
        <f t="shared" si="18"/>
        <v>1.26</v>
      </c>
      <c r="AJ92" s="159">
        <f t="shared" si="19"/>
        <v>10.7317425457241</v>
      </c>
      <c r="AK92" s="160">
        <f t="shared" si="20"/>
        <v>10.7317425457241</v>
      </c>
      <c r="AL92" s="160">
        <f t="shared" si="21"/>
        <v>10.7317425457241</v>
      </c>
      <c r="AM92" s="160">
        <f t="shared" si="22"/>
        <v>135</v>
      </c>
      <c r="AN92" s="114">
        <v>1</v>
      </c>
      <c r="AO92" s="114">
        <v>1</v>
      </c>
      <c r="AP92" s="114">
        <v>6.4</v>
      </c>
      <c r="AQ92" s="114">
        <v>122</v>
      </c>
      <c r="AR92" s="114">
        <v>1.26</v>
      </c>
      <c r="AS92" s="160">
        <v>19</v>
      </c>
      <c r="AT92" s="161">
        <v>23.8</v>
      </c>
      <c r="AU92" s="114">
        <v>93</v>
      </c>
      <c r="AV92" s="114">
        <v>138</v>
      </c>
      <c r="AZ92" s="119" t="s">
        <v>308</v>
      </c>
    </row>
    <row r="93" spans="1:53">
      <c r="A93" s="117" t="s">
        <v>61</v>
      </c>
      <c r="B93" s="117" t="s">
        <v>53</v>
      </c>
      <c r="C93" s="117">
        <v>68</v>
      </c>
      <c r="D93" s="135">
        <v>1.65</v>
      </c>
      <c r="E93" s="117">
        <v>85</v>
      </c>
      <c r="F93" s="136">
        <f>E93/(D93*D93)</f>
        <v>31.2213039485767</v>
      </c>
      <c r="G93" s="117">
        <v>5</v>
      </c>
      <c r="H93" s="117" t="s">
        <v>309</v>
      </c>
      <c r="I93" s="158">
        <v>43952</v>
      </c>
      <c r="J93" s="158">
        <v>43970</v>
      </c>
      <c r="L93" s="137">
        <v>2</v>
      </c>
      <c r="M93" s="137">
        <v>18</v>
      </c>
      <c r="N93" s="139" t="s">
        <v>310</v>
      </c>
      <c r="Q93" s="117">
        <v>1</v>
      </c>
      <c r="T93" s="114">
        <v>1</v>
      </c>
      <c r="U93" s="114">
        <v>0</v>
      </c>
      <c r="V93" s="114">
        <v>1</v>
      </c>
      <c r="W93" s="114">
        <v>0</v>
      </c>
      <c r="X93" s="114">
        <v>1</v>
      </c>
      <c r="Y93" s="114">
        <v>1</v>
      </c>
      <c r="Z93" s="114"/>
      <c r="AA93" s="114">
        <v>2</v>
      </c>
      <c r="AB93" s="114">
        <f>_xlfn.IFS(AT93&lt;34,1,AT93=34-51,2,AT93&gt;51,3)</f>
        <v>1</v>
      </c>
      <c r="AC93" s="114">
        <f>_xlfn.IFS(AS93&lt;28,3,AS93=28-35,2,AS93&gt;35,1)</f>
        <v>3</v>
      </c>
      <c r="AD93" s="114">
        <f t="shared" si="14"/>
        <v>1</v>
      </c>
      <c r="AE93" s="114">
        <f t="shared" si="15"/>
        <v>8</v>
      </c>
      <c r="AF93" s="116" t="s">
        <v>63</v>
      </c>
      <c r="AG93" s="114">
        <f t="shared" si="16"/>
        <v>0.52046783625731</v>
      </c>
      <c r="AH93" s="114">
        <f t="shared" si="17"/>
        <v>2.26244343891403</v>
      </c>
      <c r="AI93" s="114">
        <f t="shared" si="18"/>
        <v>1.12</v>
      </c>
      <c r="AJ93" s="159">
        <f t="shared" si="19"/>
        <v>15.507157085721</v>
      </c>
      <c r="AK93" s="160">
        <f t="shared" si="20"/>
        <v>15.507157085721</v>
      </c>
      <c r="AL93" s="160">
        <f t="shared" si="21"/>
        <v>15.507157085721</v>
      </c>
      <c r="AM93" s="160">
        <f t="shared" si="22"/>
        <v>135</v>
      </c>
      <c r="AN93" s="114">
        <v>1</v>
      </c>
      <c r="AO93" s="114">
        <v>2</v>
      </c>
      <c r="AP93" s="114">
        <v>3.77</v>
      </c>
      <c r="AQ93" s="114">
        <v>91</v>
      </c>
      <c r="AR93" s="114">
        <v>1.12</v>
      </c>
      <c r="AS93" s="160">
        <v>22</v>
      </c>
      <c r="AT93" s="161">
        <v>8.9</v>
      </c>
      <c r="AU93" s="114">
        <v>200</v>
      </c>
      <c r="AV93" s="114">
        <v>142</v>
      </c>
      <c r="AZ93" s="119" t="s">
        <v>311</v>
      </c>
    </row>
    <row r="94" spans="1:53">
      <c r="A94" s="117" t="s">
        <v>312</v>
      </c>
      <c r="B94" s="117" t="s">
        <v>48</v>
      </c>
      <c r="C94" s="117">
        <v>49</v>
      </c>
      <c r="D94" s="135">
        <v>1.7</v>
      </c>
      <c r="E94" s="117">
        <v>70</v>
      </c>
      <c r="F94" s="136">
        <f>E94/(D94*D94)</f>
        <v>24.2214532871972</v>
      </c>
      <c r="G94" s="117">
        <v>6</v>
      </c>
      <c r="H94" s="117" t="s">
        <v>309</v>
      </c>
      <c r="I94" s="158">
        <v>43956</v>
      </c>
      <c r="J94" s="214" t="s">
        <v>313</v>
      </c>
      <c r="L94" s="137">
        <v>1</v>
      </c>
      <c r="M94" s="137">
        <v>9</v>
      </c>
      <c r="N94" s="139" t="s">
        <v>314</v>
      </c>
      <c r="O94" s="117">
        <v>1</v>
      </c>
      <c r="P94" s="117">
        <v>1</v>
      </c>
      <c r="T94" s="114">
        <v>1</v>
      </c>
      <c r="U94" s="114">
        <v>0</v>
      </c>
      <c r="V94" s="114">
        <v>1</v>
      </c>
      <c r="W94" s="114">
        <v>0</v>
      </c>
      <c r="X94" s="114">
        <v>1</v>
      </c>
      <c r="Y94" s="114">
        <v>1</v>
      </c>
      <c r="Z94" s="114"/>
      <c r="AA94" s="114">
        <v>2</v>
      </c>
      <c r="AB94" s="114">
        <f>_xlfn.IFS(AT94&lt;34,1,AT94=34-51,2,AT94&gt;51,3)</f>
        <v>1</v>
      </c>
      <c r="AC94" s="114">
        <v>2</v>
      </c>
      <c r="AD94" s="114">
        <f t="shared" si="14"/>
        <v>1</v>
      </c>
      <c r="AE94" s="114">
        <f t="shared" si="15"/>
        <v>7</v>
      </c>
      <c r="AF94" s="116" t="s">
        <v>63</v>
      </c>
      <c r="AG94" s="114">
        <f t="shared" si="16"/>
        <v>0.257309941520468</v>
      </c>
      <c r="AH94" s="114">
        <f t="shared" si="17"/>
        <v>1.9683257918552</v>
      </c>
      <c r="AI94" s="114">
        <f t="shared" si="18"/>
        <v>0.95</v>
      </c>
      <c r="AJ94" s="159">
        <f t="shared" si="19"/>
        <v>6.50095996388094</v>
      </c>
      <c r="AK94" s="160">
        <f t="shared" si="20"/>
        <v>6.50095996388094</v>
      </c>
      <c r="AL94" s="160">
        <f t="shared" si="21"/>
        <v>6.50095996388094</v>
      </c>
      <c r="AM94" s="160">
        <f t="shared" si="22"/>
        <v>135</v>
      </c>
      <c r="AN94" s="114">
        <v>0</v>
      </c>
      <c r="AO94" s="114">
        <v>1</v>
      </c>
      <c r="AP94" s="114">
        <v>3.61</v>
      </c>
      <c r="AQ94" s="114">
        <v>129</v>
      </c>
      <c r="AR94" s="114">
        <v>0.95</v>
      </c>
      <c r="AS94" s="160">
        <v>28</v>
      </c>
      <c r="AT94" s="161">
        <v>4.4</v>
      </c>
      <c r="AU94" s="114">
        <v>174</v>
      </c>
      <c r="AV94" s="114">
        <v>142</v>
      </c>
      <c r="AZ94" s="119" t="s">
        <v>315</v>
      </c>
    </row>
    <row r="95" spans="1:53">
      <c r="A95" s="117" t="s">
        <v>316</v>
      </c>
      <c r="B95" s="117" t="s">
        <v>53</v>
      </c>
      <c r="C95" s="117">
        <v>76</v>
      </c>
      <c r="D95" s="135">
        <v>1.6</v>
      </c>
      <c r="E95" s="117">
        <v>65</v>
      </c>
      <c r="F95" s="136">
        <f>E95/(D95*D95)</f>
        <v>25.390625</v>
      </c>
      <c r="G95" s="117">
        <v>0</v>
      </c>
      <c r="H95" s="117" t="s">
        <v>309</v>
      </c>
      <c r="I95" s="158">
        <v>43951</v>
      </c>
      <c r="J95" s="158">
        <v>43963</v>
      </c>
      <c r="L95" s="137">
        <v>1</v>
      </c>
      <c r="M95" s="138">
        <v>12</v>
      </c>
      <c r="N95" s="139" t="s">
        <v>317</v>
      </c>
      <c r="Q95" s="117">
        <v>1</v>
      </c>
      <c r="T95" s="114">
        <v>1</v>
      </c>
      <c r="U95" s="114">
        <v>0</v>
      </c>
      <c r="V95" s="114">
        <v>0</v>
      </c>
      <c r="W95" s="114">
        <v>0</v>
      </c>
      <c r="X95" s="114">
        <v>0</v>
      </c>
      <c r="Y95" s="114">
        <v>1</v>
      </c>
      <c r="Z95" s="114" t="s">
        <v>300</v>
      </c>
      <c r="AA95" s="114">
        <v>2</v>
      </c>
      <c r="AB95" s="114">
        <f>_xlfn.IFS(AT95&lt;34,1,AT95=34-51,2,AT95&gt;51,3)</f>
        <v>1</v>
      </c>
      <c r="AC95" s="114">
        <f>_xlfn.IFS(AS95&lt;28,3,AS95=28-35,2,AS95&gt;35,1)</f>
        <v>3</v>
      </c>
      <c r="AD95" s="114">
        <f t="shared" si="14"/>
        <v>1</v>
      </c>
      <c r="AE95" s="114">
        <f t="shared" si="15"/>
        <v>8</v>
      </c>
      <c r="AF95" s="116" t="s">
        <v>63</v>
      </c>
      <c r="AG95" s="114">
        <f t="shared" si="16"/>
        <v>0.795321637426901</v>
      </c>
      <c r="AH95" s="114">
        <f t="shared" si="17"/>
        <v>0.644796380090498</v>
      </c>
      <c r="AI95" s="114">
        <f t="shared" si="18"/>
        <v>1.26</v>
      </c>
      <c r="AJ95" s="159">
        <f t="shared" si="19"/>
        <v>8.98845127478993</v>
      </c>
      <c r="AK95" s="160">
        <f t="shared" si="20"/>
        <v>8.98845127478993</v>
      </c>
      <c r="AL95" s="160">
        <f t="shared" si="21"/>
        <v>8.98845127478993</v>
      </c>
      <c r="AM95" s="160">
        <f t="shared" si="22"/>
        <v>135</v>
      </c>
      <c r="AN95" s="114">
        <v>1</v>
      </c>
      <c r="AO95" s="114">
        <v>1</v>
      </c>
      <c r="AP95" s="114">
        <v>2.79</v>
      </c>
      <c r="AQ95" s="114">
        <v>85</v>
      </c>
      <c r="AR95" s="114">
        <v>1.26</v>
      </c>
      <c r="AS95" s="160">
        <v>21</v>
      </c>
      <c r="AT95" s="161">
        <v>13.6</v>
      </c>
      <c r="AU95" s="114">
        <v>57</v>
      </c>
      <c r="AV95" s="114">
        <v>146</v>
      </c>
      <c r="AZ95" s="119" t="s">
        <v>318</v>
      </c>
    </row>
    <row r="96" s="125" customFormat="1" spans="1:53">
      <c r="A96" s="125" t="s">
        <v>319</v>
      </c>
      <c r="B96" s="125" t="s">
        <v>53</v>
      </c>
      <c r="C96" s="125">
        <v>71</v>
      </c>
      <c r="D96" s="185">
        <v>1.6</v>
      </c>
      <c r="E96" s="125">
        <v>45</v>
      </c>
      <c r="F96" s="136">
        <f>E96/(D96*D96)</f>
        <v>17.578125</v>
      </c>
      <c r="G96" s="125">
        <v>0</v>
      </c>
      <c r="H96" s="186">
        <v>43937</v>
      </c>
      <c r="I96" s="186">
        <v>43937</v>
      </c>
      <c r="J96" s="186">
        <v>43954</v>
      </c>
      <c r="K96" s="186">
        <v>44075</v>
      </c>
      <c r="L96" s="187">
        <v>10</v>
      </c>
      <c r="M96" s="187">
        <v>17</v>
      </c>
      <c r="N96" s="188" t="s">
        <v>320</v>
      </c>
      <c r="O96" s="125">
        <v>1</v>
      </c>
      <c r="T96" s="114">
        <v>1</v>
      </c>
      <c r="U96" s="114">
        <v>0</v>
      </c>
      <c r="V96" s="114">
        <v>0</v>
      </c>
      <c r="W96" s="114">
        <v>0</v>
      </c>
      <c r="X96" s="114">
        <v>1</v>
      </c>
      <c r="Y96" s="114">
        <v>1</v>
      </c>
      <c r="Z96" s="114" t="s">
        <v>321</v>
      </c>
      <c r="AA96" s="114">
        <v>3</v>
      </c>
      <c r="AB96" s="114">
        <v>2</v>
      </c>
      <c r="AC96" s="114">
        <f>_xlfn.IFS(AS96&lt;28,3,AS96=28-35,2,AS96&gt;35,1)</f>
        <v>3</v>
      </c>
      <c r="AD96" s="114">
        <f t="shared" si="14"/>
        <v>1</v>
      </c>
      <c r="AE96" s="114">
        <f t="shared" si="15"/>
        <v>10</v>
      </c>
      <c r="AF96" s="116" t="s">
        <v>50</v>
      </c>
      <c r="AG96" s="114">
        <f t="shared" si="16"/>
        <v>2.83040935672515</v>
      </c>
      <c r="AH96" s="114">
        <f t="shared" si="17"/>
        <v>1.15384615384615</v>
      </c>
      <c r="AI96" s="114">
        <f t="shared" si="18"/>
        <v>1.09</v>
      </c>
      <c r="AJ96" s="159">
        <f t="shared" si="19"/>
        <v>12.6925594276633</v>
      </c>
      <c r="AK96" s="160">
        <f t="shared" si="20"/>
        <v>12.6925594276633</v>
      </c>
      <c r="AL96" s="160">
        <f t="shared" si="21"/>
        <v>12.6925594276633</v>
      </c>
      <c r="AM96" s="160">
        <f t="shared" si="22"/>
        <v>135</v>
      </c>
      <c r="AN96" s="114">
        <v>1</v>
      </c>
      <c r="AO96" s="114">
        <v>1</v>
      </c>
      <c r="AP96" s="114">
        <v>4.72</v>
      </c>
      <c r="AQ96" s="114">
        <v>119</v>
      </c>
      <c r="AR96" s="114">
        <v>1.09</v>
      </c>
      <c r="AS96" s="160">
        <v>22</v>
      </c>
      <c r="AT96" s="161">
        <v>48.4</v>
      </c>
      <c r="AU96" s="114">
        <v>102</v>
      </c>
      <c r="AV96" s="114">
        <v>138</v>
      </c>
      <c r="AZ96" s="131" t="s">
        <v>322</v>
      </c>
    </row>
    <row r="97" s="125" customFormat="1" spans="1:52">
      <c r="A97" s="125" t="s">
        <v>323</v>
      </c>
      <c r="B97" s="125" t="s">
        <v>48</v>
      </c>
      <c r="C97" s="125">
        <v>50</v>
      </c>
      <c r="D97" s="185">
        <v>1.78</v>
      </c>
      <c r="F97" s="136"/>
      <c r="G97" s="125">
        <v>6</v>
      </c>
      <c r="H97" s="186">
        <v>43937</v>
      </c>
      <c r="I97" s="186">
        <v>43936</v>
      </c>
      <c r="J97" s="186">
        <v>43953</v>
      </c>
      <c r="K97" s="186">
        <v>44317</v>
      </c>
      <c r="L97" s="187">
        <v>1</v>
      </c>
      <c r="M97" s="187">
        <v>17</v>
      </c>
      <c r="N97" s="188" t="s">
        <v>324</v>
      </c>
      <c r="P97" s="125">
        <v>1</v>
      </c>
      <c r="Q97" s="125">
        <v>1</v>
      </c>
      <c r="T97" s="114">
        <v>1</v>
      </c>
      <c r="U97" s="114">
        <v>0</v>
      </c>
      <c r="V97" s="114">
        <v>0</v>
      </c>
      <c r="W97" s="114">
        <v>0</v>
      </c>
      <c r="X97" s="114">
        <v>0</v>
      </c>
      <c r="Y97" s="114">
        <v>1</v>
      </c>
      <c r="Z97" s="114" t="s">
        <v>307</v>
      </c>
      <c r="AA97" s="114">
        <v>3</v>
      </c>
      <c r="AB97" s="114">
        <f>_xlfn.IFS(AT97&lt;34,1,AT97=34-51,2,AT97&gt;51,3)</f>
        <v>1</v>
      </c>
      <c r="AC97" s="114">
        <f>_xlfn.IFS(AS97&lt;28,3,AS97=28-35,2,AS97&gt;35,1)</f>
        <v>3</v>
      </c>
      <c r="AD97" s="114">
        <f t="shared" si="14"/>
        <v>1</v>
      </c>
      <c r="AE97" s="114">
        <f t="shared" si="15"/>
        <v>9</v>
      </c>
      <c r="AF97" s="116" t="s">
        <v>63</v>
      </c>
      <c r="AG97" s="114">
        <f t="shared" si="16"/>
        <v>0.730994152046784</v>
      </c>
      <c r="AH97" s="114">
        <f t="shared" si="17"/>
        <v>2.46606334841629</v>
      </c>
      <c r="AI97" s="114">
        <f t="shared" si="18"/>
        <v>1.32</v>
      </c>
      <c r="AJ97" s="159">
        <f t="shared" si="19"/>
        <v>11.7746571440974</v>
      </c>
      <c r="AK97" s="160">
        <f t="shared" si="20"/>
        <v>11.7746571440974</v>
      </c>
      <c r="AL97" s="160">
        <f t="shared" si="21"/>
        <v>18.1346571440974</v>
      </c>
      <c r="AM97" s="160">
        <f t="shared" si="22"/>
        <v>131</v>
      </c>
      <c r="AN97" s="114">
        <v>0</v>
      </c>
      <c r="AO97" s="114">
        <v>1</v>
      </c>
      <c r="AP97" s="114">
        <v>3.28</v>
      </c>
      <c r="AQ97" s="114">
        <v>59</v>
      </c>
      <c r="AR97" s="114">
        <v>1.32</v>
      </c>
      <c r="AS97" s="160">
        <v>20</v>
      </c>
      <c r="AT97" s="161">
        <v>12.5</v>
      </c>
      <c r="AU97" s="114">
        <v>218</v>
      </c>
      <c r="AV97" s="114">
        <v>131</v>
      </c>
      <c r="AZ97" s="131" t="s">
        <v>325</v>
      </c>
    </row>
    <row r="98" s="125" customFormat="1" spans="1:52">
      <c r="A98" s="125" t="s">
        <v>326</v>
      </c>
      <c r="B98" s="125" t="s">
        <v>53</v>
      </c>
      <c r="C98" s="125">
        <v>61</v>
      </c>
      <c r="D98" s="185">
        <v>1.62</v>
      </c>
      <c r="E98" s="125">
        <v>53</v>
      </c>
      <c r="F98" s="136">
        <f t="shared" ref="F98:F113" si="23">E98/(D98*D98)</f>
        <v>20.1950922115531</v>
      </c>
      <c r="G98" s="125">
        <v>0</v>
      </c>
      <c r="H98" s="186">
        <v>43936</v>
      </c>
      <c r="I98" s="186">
        <v>43936</v>
      </c>
      <c r="J98" s="186">
        <v>43948</v>
      </c>
      <c r="K98" s="186">
        <v>43952</v>
      </c>
      <c r="L98" s="187">
        <v>1</v>
      </c>
      <c r="M98" s="138">
        <v>12</v>
      </c>
      <c r="N98" s="188" t="s">
        <v>327</v>
      </c>
      <c r="Q98" s="125">
        <v>1</v>
      </c>
      <c r="T98" s="114">
        <v>1</v>
      </c>
      <c r="U98" s="114">
        <v>0</v>
      </c>
      <c r="V98" s="114">
        <v>0</v>
      </c>
      <c r="W98" s="114">
        <v>0</v>
      </c>
      <c r="X98" s="114">
        <v>0</v>
      </c>
      <c r="Y98" s="114">
        <v>1</v>
      </c>
      <c r="Z98" s="114"/>
      <c r="AA98" s="114">
        <v>2</v>
      </c>
      <c r="AB98" s="114">
        <f>_xlfn.IFS(AT98&lt;34,1,AT98=34-51,2,AT98&gt;51,3)</f>
        <v>3</v>
      </c>
      <c r="AC98" s="114">
        <v>2</v>
      </c>
      <c r="AD98" s="114">
        <f t="shared" si="14"/>
        <v>1</v>
      </c>
      <c r="AE98" s="114">
        <f t="shared" si="15"/>
        <v>9</v>
      </c>
      <c r="AF98" s="116" t="s">
        <v>63</v>
      </c>
      <c r="AG98" s="114">
        <f t="shared" si="16"/>
        <v>4.85380116959064</v>
      </c>
      <c r="AH98" s="114">
        <f t="shared" si="17"/>
        <v>0.576923076923077</v>
      </c>
      <c r="AI98" s="114">
        <f t="shared" si="18"/>
        <v>1.55</v>
      </c>
      <c r="AJ98" s="159">
        <f t="shared" si="19"/>
        <v>17.3115513747233</v>
      </c>
      <c r="AK98" s="160">
        <f t="shared" si="20"/>
        <v>17.3115513747233</v>
      </c>
      <c r="AL98" s="160">
        <f t="shared" si="21"/>
        <v>17.3115513747233</v>
      </c>
      <c r="AM98" s="160">
        <f t="shared" si="22"/>
        <v>135</v>
      </c>
      <c r="AN98" s="114">
        <v>1</v>
      </c>
      <c r="AO98" s="114">
        <v>2</v>
      </c>
      <c r="AP98" s="114">
        <v>6.02</v>
      </c>
      <c r="AQ98" s="114">
        <v>113</v>
      </c>
      <c r="AR98" s="114">
        <v>1.55</v>
      </c>
      <c r="AS98" s="160">
        <v>32</v>
      </c>
      <c r="AT98" s="161">
        <v>83</v>
      </c>
      <c r="AU98" s="114">
        <v>51</v>
      </c>
      <c r="AV98" s="114">
        <v>139</v>
      </c>
      <c r="AZ98" s="131" t="s">
        <v>328</v>
      </c>
    </row>
    <row r="99" spans="1:52">
      <c r="A99" s="117" t="s">
        <v>329</v>
      </c>
      <c r="B99" s="117" t="s">
        <v>53</v>
      </c>
      <c r="C99" s="117">
        <v>60</v>
      </c>
      <c r="D99" s="135">
        <v>1.6</v>
      </c>
      <c r="E99" s="117">
        <v>50</v>
      </c>
      <c r="F99" s="136">
        <f t="shared" si="23"/>
        <v>19.53125</v>
      </c>
      <c r="G99" s="117">
        <v>0</v>
      </c>
      <c r="H99" s="158">
        <v>43936</v>
      </c>
      <c r="I99" s="158">
        <v>43936</v>
      </c>
      <c r="J99" s="158">
        <v>43942</v>
      </c>
      <c r="L99" s="137">
        <v>1</v>
      </c>
      <c r="M99" s="137">
        <v>6</v>
      </c>
      <c r="N99" s="139" t="s">
        <v>330</v>
      </c>
      <c r="O99" s="117">
        <v>1</v>
      </c>
      <c r="T99" s="114">
        <v>0</v>
      </c>
      <c r="U99" s="114">
        <v>0</v>
      </c>
      <c r="V99" s="114">
        <v>1</v>
      </c>
      <c r="W99" s="114">
        <v>0</v>
      </c>
      <c r="X99" s="114">
        <v>1</v>
      </c>
      <c r="Y99" s="114">
        <v>1</v>
      </c>
      <c r="Z99" s="114" t="s">
        <v>58</v>
      </c>
      <c r="AA99" s="114">
        <v>1</v>
      </c>
      <c r="AB99" s="114">
        <f>_xlfn.IFS(AT99&lt;34,1,AT99=34-51,2,AT99&gt;51,3)</f>
        <v>1</v>
      </c>
      <c r="AC99" s="114">
        <f t="shared" ref="AC99:AC108" si="24">_xlfn.IFS(AS99&lt;28,3,AS99=28-35,2,AS99&gt;35,1)</f>
        <v>1</v>
      </c>
      <c r="AD99" s="114">
        <v>2</v>
      </c>
      <c r="AE99" s="114">
        <f t="shared" si="15"/>
        <v>6</v>
      </c>
      <c r="AF99" s="116" t="s">
        <v>59</v>
      </c>
      <c r="AG99" s="114">
        <f t="shared" si="16"/>
        <v>0.947368421052631</v>
      </c>
      <c r="AH99" s="114">
        <f t="shared" si="17"/>
        <v>0.690045248868778</v>
      </c>
      <c r="AI99" s="114">
        <f t="shared" si="18"/>
        <v>1.9</v>
      </c>
      <c r="AJ99" s="159">
        <f t="shared" si="19"/>
        <v>13.5887635251308</v>
      </c>
      <c r="AK99" s="160">
        <f t="shared" si="20"/>
        <v>13.5887635251308</v>
      </c>
      <c r="AL99" s="160">
        <f t="shared" si="21"/>
        <v>13.5887635251308</v>
      </c>
      <c r="AM99" s="160">
        <f t="shared" si="22"/>
        <v>135</v>
      </c>
      <c r="AN99" s="114">
        <v>1</v>
      </c>
      <c r="AO99" s="114">
        <v>1</v>
      </c>
      <c r="AP99" s="114">
        <v>0.78</v>
      </c>
      <c r="AQ99" s="114">
        <v>58</v>
      </c>
      <c r="AR99" s="114">
        <v>1.9</v>
      </c>
      <c r="AS99" s="160">
        <v>54</v>
      </c>
      <c r="AT99" s="161">
        <v>16.2</v>
      </c>
      <c r="AU99" s="114">
        <v>61</v>
      </c>
      <c r="AV99" s="114">
        <v>141</v>
      </c>
      <c r="AZ99" s="119" t="s">
        <v>58</v>
      </c>
    </row>
    <row r="100" s="125" customFormat="1" spans="1:52">
      <c r="A100" s="125" t="s">
        <v>331</v>
      </c>
      <c r="B100" s="125" t="s">
        <v>53</v>
      </c>
      <c r="C100" s="125">
        <v>57</v>
      </c>
      <c r="D100" s="185">
        <v>1.53</v>
      </c>
      <c r="E100" s="125">
        <v>44</v>
      </c>
      <c r="F100" s="136">
        <f t="shared" si="23"/>
        <v>18.796189499765</v>
      </c>
      <c r="G100" s="125">
        <v>2</v>
      </c>
      <c r="H100" s="186">
        <v>43948</v>
      </c>
      <c r="I100" s="186">
        <v>43945</v>
      </c>
      <c r="J100" s="186">
        <v>43959</v>
      </c>
      <c r="K100" s="186">
        <v>44229</v>
      </c>
      <c r="L100" s="187">
        <v>5</v>
      </c>
      <c r="M100" s="187">
        <v>14</v>
      </c>
      <c r="N100" s="188" t="s">
        <v>332</v>
      </c>
      <c r="Q100" s="125">
        <v>1</v>
      </c>
      <c r="R100" s="125">
        <v>1</v>
      </c>
      <c r="T100" s="114">
        <v>1</v>
      </c>
      <c r="U100" s="114">
        <v>0</v>
      </c>
      <c r="V100" s="114">
        <v>1</v>
      </c>
      <c r="W100" s="114">
        <v>0</v>
      </c>
      <c r="X100" s="114">
        <v>1</v>
      </c>
      <c r="Y100" s="114">
        <v>1</v>
      </c>
      <c r="Z100" s="114" t="s">
        <v>321</v>
      </c>
      <c r="AA100" s="114">
        <v>3</v>
      </c>
      <c r="AB100" s="114">
        <v>2</v>
      </c>
      <c r="AC100" s="114">
        <f t="shared" si="24"/>
        <v>3</v>
      </c>
      <c r="AD100" s="114">
        <f>_xlfn.IFS(AR100&lt;1.7,1,AR100=1.7-2.3,2,AR100&gt;2.3,3)</f>
        <v>1</v>
      </c>
      <c r="AE100" s="114">
        <f t="shared" si="15"/>
        <v>10</v>
      </c>
      <c r="AF100" s="116" t="s">
        <v>50</v>
      </c>
      <c r="AG100" s="114">
        <f t="shared" si="16"/>
        <v>7.43859649122807</v>
      </c>
      <c r="AH100" s="114">
        <f t="shared" si="17"/>
        <v>0.441176470588235</v>
      </c>
      <c r="AI100" s="114">
        <f t="shared" si="18"/>
        <v>1.1</v>
      </c>
      <c r="AJ100" s="159">
        <f t="shared" si="19"/>
        <v>8.69286632591859</v>
      </c>
      <c r="AK100" s="160">
        <f t="shared" si="20"/>
        <v>8.69286632591859</v>
      </c>
      <c r="AL100" s="160">
        <f t="shared" si="21"/>
        <v>8.69286632591859</v>
      </c>
      <c r="AM100" s="160">
        <f t="shared" si="22"/>
        <v>135</v>
      </c>
      <c r="AN100" s="114">
        <v>0</v>
      </c>
      <c r="AO100" s="114">
        <v>1</v>
      </c>
      <c r="AP100" s="114">
        <v>4.87</v>
      </c>
      <c r="AQ100" s="114">
        <v>65</v>
      </c>
      <c r="AR100" s="114">
        <v>1.1</v>
      </c>
      <c r="AS100" s="160">
        <v>24</v>
      </c>
      <c r="AT100" s="161">
        <v>127.2</v>
      </c>
      <c r="AU100" s="114">
        <v>39</v>
      </c>
      <c r="AV100" s="114">
        <v>135</v>
      </c>
      <c r="AZ100" s="131" t="s">
        <v>333</v>
      </c>
    </row>
    <row r="101" spans="1:52">
      <c r="A101" s="117" t="s">
        <v>334</v>
      </c>
      <c r="B101" s="117" t="s">
        <v>48</v>
      </c>
      <c r="C101" s="117">
        <v>62</v>
      </c>
      <c r="D101" s="135">
        <v>1.64</v>
      </c>
      <c r="E101" s="117">
        <v>65</v>
      </c>
      <c r="F101" s="136">
        <f t="shared" si="23"/>
        <v>24.1671624033314</v>
      </c>
      <c r="G101" s="117">
        <v>6</v>
      </c>
      <c r="H101" s="158">
        <v>43948</v>
      </c>
      <c r="I101" s="158">
        <v>43943</v>
      </c>
      <c r="J101" s="158">
        <v>43950</v>
      </c>
      <c r="L101" s="137">
        <v>1</v>
      </c>
      <c r="M101" s="137">
        <v>7</v>
      </c>
      <c r="N101" s="139" t="s">
        <v>335</v>
      </c>
      <c r="P101" s="117">
        <v>1</v>
      </c>
      <c r="T101" s="114">
        <v>0</v>
      </c>
      <c r="U101" s="114">
        <v>0</v>
      </c>
      <c r="V101" s="114">
        <v>0</v>
      </c>
      <c r="W101" s="114">
        <v>0</v>
      </c>
      <c r="X101" s="114">
        <v>0</v>
      </c>
      <c r="Y101" s="114">
        <v>1</v>
      </c>
      <c r="Z101" s="114" t="s">
        <v>58</v>
      </c>
      <c r="AA101" s="114">
        <v>1</v>
      </c>
      <c r="AB101" s="114">
        <f>_xlfn.IFS(AT101&lt;34,1,AT101=34-51,2,AT101&gt;51,3)</f>
        <v>1</v>
      </c>
      <c r="AC101" s="114">
        <f t="shared" si="24"/>
        <v>1</v>
      </c>
      <c r="AD101" s="114">
        <f>_xlfn.IFS(AR101&lt;1.7,1,AR101=1.7-2.3,2,AR101&gt;2.3,3)</f>
        <v>1</v>
      </c>
      <c r="AE101" s="114">
        <f t="shared" si="15"/>
        <v>5</v>
      </c>
      <c r="AF101" s="116" t="s">
        <v>59</v>
      </c>
      <c r="AG101" s="114">
        <f t="shared" si="16"/>
        <v>1.08187134502924</v>
      </c>
      <c r="AH101" s="114">
        <f t="shared" si="17"/>
        <v>0.678733031674208</v>
      </c>
      <c r="AI101" s="114">
        <f t="shared" si="18"/>
        <v>1.28</v>
      </c>
      <c r="AJ101" s="159">
        <f t="shared" si="19"/>
        <v>3.06386349342062</v>
      </c>
      <c r="AK101" s="160">
        <f t="shared" si="20"/>
        <v>3.06386349342062</v>
      </c>
      <c r="AL101" s="160">
        <f t="shared" si="21"/>
        <v>3.06386349342062</v>
      </c>
      <c r="AM101" s="160">
        <f t="shared" si="22"/>
        <v>135</v>
      </c>
      <c r="AN101" s="114">
        <v>0</v>
      </c>
      <c r="AO101" s="114">
        <v>1</v>
      </c>
      <c r="AP101" s="114">
        <v>2.05</v>
      </c>
      <c r="AQ101" s="114">
        <v>50</v>
      </c>
      <c r="AR101" s="114">
        <v>1.28</v>
      </c>
      <c r="AS101" s="160">
        <v>38</v>
      </c>
      <c r="AT101" s="161">
        <v>18.5</v>
      </c>
      <c r="AU101" s="114">
        <v>60</v>
      </c>
      <c r="AV101" s="114">
        <v>140</v>
      </c>
      <c r="AZ101" s="119" t="s">
        <v>58</v>
      </c>
    </row>
    <row r="102" s="114" customFormat="1" spans="1:52">
      <c r="A102" s="114" t="s">
        <v>336</v>
      </c>
      <c r="B102" s="114" t="s">
        <v>53</v>
      </c>
      <c r="C102" s="114">
        <v>61</v>
      </c>
      <c r="D102" s="211">
        <v>1.5</v>
      </c>
      <c r="E102" s="114">
        <v>55</v>
      </c>
      <c r="F102" s="136">
        <f t="shared" si="23"/>
        <v>24.4444444444444</v>
      </c>
      <c r="G102" s="114">
        <v>5</v>
      </c>
      <c r="H102" s="210">
        <v>43948</v>
      </c>
      <c r="I102" s="210">
        <v>43942</v>
      </c>
      <c r="J102" s="210">
        <v>43957</v>
      </c>
      <c r="L102" s="138">
        <v>1</v>
      </c>
      <c r="M102" s="138">
        <v>15</v>
      </c>
      <c r="N102" s="213" t="s">
        <v>337</v>
      </c>
      <c r="S102" s="114">
        <v>1</v>
      </c>
      <c r="T102" s="114">
        <v>1</v>
      </c>
      <c r="U102" s="114">
        <v>0</v>
      </c>
      <c r="V102" s="114">
        <v>1</v>
      </c>
      <c r="W102" s="114">
        <v>0</v>
      </c>
      <c r="X102" s="114">
        <v>1</v>
      </c>
      <c r="Y102" s="114">
        <v>1</v>
      </c>
      <c r="Z102" s="114" t="s">
        <v>307</v>
      </c>
      <c r="AA102" s="114">
        <v>3</v>
      </c>
      <c r="AB102" s="114">
        <f>_xlfn.IFS(AT102&lt;34,1,AT102=34-51,2,AT102&gt;51,3)</f>
        <v>1</v>
      </c>
      <c r="AC102" s="114">
        <f t="shared" si="24"/>
        <v>3</v>
      </c>
      <c r="AD102" s="114">
        <f>_xlfn.IFS(AR102&lt;1.7,1,AR102=1.7-2.3,2,AR102&gt;2.3,3)</f>
        <v>1</v>
      </c>
      <c r="AE102" s="114">
        <f t="shared" si="15"/>
        <v>9</v>
      </c>
      <c r="AF102" s="116" t="s">
        <v>63</v>
      </c>
      <c r="AG102" s="114">
        <f t="shared" ref="AG102:AG120" si="25">AT102/17.1</f>
        <v>0.596491228070175</v>
      </c>
      <c r="AH102" s="114">
        <f t="shared" ref="AH102:AH120" si="26">AU102/88.4</f>
        <v>0.441176470588235</v>
      </c>
      <c r="AI102" s="114">
        <f t="shared" ref="AI102:AI120" si="27">AR102</f>
        <v>1.25</v>
      </c>
      <c r="AJ102" s="159">
        <f t="shared" si="19"/>
        <v>8.89920777471915</v>
      </c>
      <c r="AK102" s="160">
        <f t="shared" si="20"/>
        <v>8.89920777471915</v>
      </c>
      <c r="AL102" s="160">
        <f t="shared" si="21"/>
        <v>8.89920777471915</v>
      </c>
      <c r="AM102" s="160">
        <f t="shared" si="22"/>
        <v>135</v>
      </c>
      <c r="AN102" s="114">
        <v>1</v>
      </c>
      <c r="AO102" s="114">
        <v>1</v>
      </c>
      <c r="AP102" s="114">
        <v>1.71</v>
      </c>
      <c r="AQ102" s="114">
        <v>49</v>
      </c>
      <c r="AR102" s="114">
        <v>1.25</v>
      </c>
      <c r="AS102" s="160">
        <v>27</v>
      </c>
      <c r="AT102" s="161">
        <v>10.2</v>
      </c>
      <c r="AU102" s="114">
        <v>39</v>
      </c>
      <c r="AV102" s="114">
        <v>142</v>
      </c>
      <c r="AZ102" s="116" t="s">
        <v>338</v>
      </c>
    </row>
    <row r="103" s="123" customFormat="1" spans="1:52">
      <c r="A103" s="123" t="s">
        <v>339</v>
      </c>
      <c r="B103" s="123" t="s">
        <v>53</v>
      </c>
      <c r="C103" s="123">
        <v>67</v>
      </c>
      <c r="D103" s="176">
        <v>1.53</v>
      </c>
      <c r="E103" s="123">
        <v>47.5</v>
      </c>
      <c r="F103" s="189">
        <f t="shared" si="23"/>
        <v>20.2913409372464</v>
      </c>
      <c r="G103" s="123">
        <v>0</v>
      </c>
      <c r="H103" s="123" t="s">
        <v>340</v>
      </c>
      <c r="I103" s="177">
        <v>43951</v>
      </c>
      <c r="J103" s="177">
        <v>43964</v>
      </c>
      <c r="L103" s="178">
        <v>3</v>
      </c>
      <c r="M103" s="178">
        <v>13</v>
      </c>
      <c r="N103" s="179" t="s">
        <v>341</v>
      </c>
      <c r="Q103" s="123">
        <v>1</v>
      </c>
      <c r="R103" s="123">
        <v>1</v>
      </c>
      <c r="T103" s="114">
        <v>0</v>
      </c>
      <c r="U103" s="114">
        <v>0</v>
      </c>
      <c r="V103" s="114">
        <v>0</v>
      </c>
      <c r="W103" s="114">
        <v>0</v>
      </c>
      <c r="X103" s="114">
        <v>0</v>
      </c>
      <c r="Y103" s="114">
        <v>1</v>
      </c>
      <c r="Z103" s="114" t="s">
        <v>58</v>
      </c>
      <c r="AA103" s="114">
        <v>1</v>
      </c>
      <c r="AB103" s="114">
        <f>_xlfn.IFS(AT103&lt;34,1,AT103=34-51,2,AT103&gt;51,3)</f>
        <v>1</v>
      </c>
      <c r="AC103" s="114">
        <f t="shared" si="24"/>
        <v>1</v>
      </c>
      <c r="AD103" s="114">
        <f>_xlfn.IFS(AR103&lt;1.7,1,AR103=1.7-2.3,2,AR103&gt;2.3,3)</f>
        <v>1</v>
      </c>
      <c r="AE103" s="114">
        <f t="shared" si="15"/>
        <v>5</v>
      </c>
      <c r="AF103" s="116" t="s">
        <v>59</v>
      </c>
      <c r="AG103" s="114">
        <f t="shared" si="25"/>
        <v>0.795321637426901</v>
      </c>
      <c r="AH103" s="114">
        <f t="shared" si="26"/>
        <v>0.531674208144796</v>
      </c>
      <c r="AI103" s="114">
        <f t="shared" si="27"/>
        <v>1.15</v>
      </c>
      <c r="AJ103" s="159">
        <f t="shared" si="19"/>
        <v>1.56533375460178</v>
      </c>
      <c r="AK103" s="160">
        <f t="shared" si="20"/>
        <v>1.56533375460178</v>
      </c>
      <c r="AL103" s="160">
        <f t="shared" si="21"/>
        <v>1.56533375460178</v>
      </c>
      <c r="AM103" s="160">
        <f t="shared" si="22"/>
        <v>135</v>
      </c>
      <c r="AN103" s="114">
        <v>0</v>
      </c>
      <c r="AO103" s="114">
        <v>1</v>
      </c>
      <c r="AP103" s="114">
        <v>2.53</v>
      </c>
      <c r="AQ103" s="114">
        <v>97</v>
      </c>
      <c r="AR103" s="114">
        <v>1.15</v>
      </c>
      <c r="AS103" s="160">
        <v>38</v>
      </c>
      <c r="AT103" s="161">
        <v>13.6</v>
      </c>
      <c r="AU103" s="114">
        <v>47</v>
      </c>
      <c r="AV103" s="114">
        <v>139</v>
      </c>
      <c r="AZ103" s="132" t="s">
        <v>58</v>
      </c>
    </row>
    <row r="104" spans="1:52">
      <c r="A104" s="117" t="s">
        <v>342</v>
      </c>
      <c r="B104" s="117" t="s">
        <v>48</v>
      </c>
      <c r="C104" s="117">
        <v>58</v>
      </c>
      <c r="D104" s="135">
        <v>1.73</v>
      </c>
      <c r="E104" s="117">
        <v>50</v>
      </c>
      <c r="F104" s="136">
        <f t="shared" si="23"/>
        <v>16.7062046844198</v>
      </c>
      <c r="G104" s="117">
        <v>2</v>
      </c>
      <c r="H104" s="158">
        <v>43958</v>
      </c>
      <c r="I104" s="158">
        <v>43945</v>
      </c>
      <c r="J104" s="158">
        <v>43966</v>
      </c>
      <c r="L104" s="137">
        <v>6</v>
      </c>
      <c r="M104" s="138">
        <v>18</v>
      </c>
      <c r="N104" s="139" t="s">
        <v>343</v>
      </c>
      <c r="O104" s="117">
        <v>1</v>
      </c>
      <c r="T104" s="114">
        <v>0</v>
      </c>
      <c r="U104" s="114">
        <v>0</v>
      </c>
      <c r="V104" s="114">
        <v>1</v>
      </c>
      <c r="W104" s="114">
        <v>0</v>
      </c>
      <c r="X104" s="114">
        <v>1</v>
      </c>
      <c r="Y104" s="114">
        <v>1</v>
      </c>
      <c r="Z104" s="114" t="s">
        <v>58</v>
      </c>
      <c r="AA104" s="114">
        <v>1</v>
      </c>
      <c r="AB104" s="114">
        <v>2</v>
      </c>
      <c r="AC104" s="114">
        <f t="shared" si="24"/>
        <v>1</v>
      </c>
      <c r="AD104" s="114">
        <f>_xlfn.IFS(AR104&lt;1.7,1,AR104=1.7-2.3,2,AR104&gt;2.3,3)</f>
        <v>1</v>
      </c>
      <c r="AE104" s="114">
        <f t="shared" si="15"/>
        <v>6</v>
      </c>
      <c r="AF104" s="116" t="s">
        <v>59</v>
      </c>
      <c r="AG104" s="114">
        <f t="shared" si="25"/>
        <v>2.55555555555556</v>
      </c>
      <c r="AH104" s="114">
        <f t="shared" si="26"/>
        <v>0.757918552036199</v>
      </c>
      <c r="AI104" s="114">
        <f t="shared" si="27"/>
        <v>1.38</v>
      </c>
      <c r="AJ104" s="159">
        <f t="shared" si="19"/>
        <v>13.5727598173472</v>
      </c>
      <c r="AK104" s="160">
        <f t="shared" si="20"/>
        <v>13.5727598173472</v>
      </c>
      <c r="AL104" s="160">
        <f t="shared" si="21"/>
        <v>13.5727598173472</v>
      </c>
      <c r="AM104" s="160">
        <f t="shared" si="22"/>
        <v>135</v>
      </c>
      <c r="AN104" s="114">
        <v>1</v>
      </c>
      <c r="AO104" s="114">
        <v>1</v>
      </c>
      <c r="AP104" s="114">
        <v>2.25</v>
      </c>
      <c r="AQ104" s="114">
        <v>89</v>
      </c>
      <c r="AR104" s="114">
        <v>1.38</v>
      </c>
      <c r="AS104" s="160">
        <v>37</v>
      </c>
      <c r="AT104" s="161">
        <v>43.7</v>
      </c>
      <c r="AU104" s="114">
        <v>67</v>
      </c>
      <c r="AV104" s="114">
        <v>138</v>
      </c>
      <c r="AZ104" s="119" t="s">
        <v>344</v>
      </c>
    </row>
    <row r="105" spans="1:52">
      <c r="A105" s="117" t="s">
        <v>345</v>
      </c>
      <c r="B105" s="117" t="s">
        <v>53</v>
      </c>
      <c r="C105" s="117">
        <v>56</v>
      </c>
      <c r="D105" s="135">
        <v>1.6</v>
      </c>
      <c r="E105" s="117">
        <v>50</v>
      </c>
      <c r="F105" s="136">
        <f t="shared" si="23"/>
        <v>19.53125</v>
      </c>
      <c r="G105" s="117">
        <v>1</v>
      </c>
      <c r="H105" s="158">
        <v>43958</v>
      </c>
      <c r="I105" s="158">
        <v>43950</v>
      </c>
      <c r="J105" s="158">
        <v>43974</v>
      </c>
      <c r="L105" s="137">
        <v>1</v>
      </c>
      <c r="M105" s="138">
        <v>24</v>
      </c>
      <c r="N105" s="139" t="s">
        <v>346</v>
      </c>
      <c r="O105" s="117">
        <v>1</v>
      </c>
      <c r="T105" s="114">
        <v>0</v>
      </c>
      <c r="U105" s="114">
        <v>0</v>
      </c>
      <c r="V105" s="114">
        <v>0</v>
      </c>
      <c r="W105" s="114">
        <v>0</v>
      </c>
      <c r="X105" s="114">
        <v>0</v>
      </c>
      <c r="Y105" s="114">
        <v>1</v>
      </c>
      <c r="Z105" s="114" t="s">
        <v>58</v>
      </c>
      <c r="AA105" s="114">
        <v>1</v>
      </c>
      <c r="AB105" s="114">
        <f t="shared" ref="AB105:AB112" si="28">_xlfn.IFS(AT105&lt;34,1,AT105=34-51,2,AT105&gt;51,3)</f>
        <v>3</v>
      </c>
      <c r="AC105" s="114">
        <f t="shared" si="24"/>
        <v>3</v>
      </c>
      <c r="AD105" s="114">
        <v>2</v>
      </c>
      <c r="AE105" s="114">
        <f t="shared" si="15"/>
        <v>10</v>
      </c>
      <c r="AF105" s="116" t="s">
        <v>50</v>
      </c>
      <c r="AG105" s="114">
        <f t="shared" si="25"/>
        <v>19.0175438596491</v>
      </c>
      <c r="AH105" s="114">
        <f t="shared" si="26"/>
        <v>0.633484162895928</v>
      </c>
      <c r="AI105" s="114">
        <f t="shared" si="27"/>
        <v>1.83</v>
      </c>
      <c r="AJ105" s="159">
        <f t="shared" si="19"/>
        <v>24.3607141025844</v>
      </c>
      <c r="AK105" s="160">
        <f t="shared" si="20"/>
        <v>24.3607141025844</v>
      </c>
      <c r="AL105" s="160">
        <f t="shared" si="21"/>
        <v>24.3607141025844</v>
      </c>
      <c r="AM105" s="160">
        <f t="shared" si="22"/>
        <v>135</v>
      </c>
      <c r="AN105" s="114">
        <v>1</v>
      </c>
      <c r="AO105" s="114">
        <v>3</v>
      </c>
      <c r="AP105" s="114">
        <v>9.89</v>
      </c>
      <c r="AQ105" s="114">
        <v>122</v>
      </c>
      <c r="AR105" s="114">
        <v>1.83</v>
      </c>
      <c r="AS105" s="160">
        <v>27</v>
      </c>
      <c r="AT105" s="161">
        <v>325.2</v>
      </c>
      <c r="AU105" s="114">
        <v>56</v>
      </c>
      <c r="AV105" s="114">
        <v>136</v>
      </c>
      <c r="AZ105" s="119" t="s">
        <v>347</v>
      </c>
    </row>
    <row r="106" spans="1:52">
      <c r="A106" s="117" t="s">
        <v>348</v>
      </c>
      <c r="B106" s="117" t="s">
        <v>48</v>
      </c>
      <c r="C106" s="117">
        <v>57</v>
      </c>
      <c r="D106" s="135">
        <v>1.78</v>
      </c>
      <c r="E106" s="117">
        <v>82</v>
      </c>
      <c r="F106" s="136">
        <f t="shared" si="23"/>
        <v>25.8805706350208</v>
      </c>
      <c r="G106" s="117">
        <v>6</v>
      </c>
      <c r="H106" s="158">
        <v>43970</v>
      </c>
      <c r="I106" s="158">
        <v>43963</v>
      </c>
      <c r="J106" s="158">
        <v>43977</v>
      </c>
      <c r="L106" s="137">
        <v>1</v>
      </c>
      <c r="M106" s="137">
        <v>14</v>
      </c>
      <c r="N106" s="139" t="s">
        <v>349</v>
      </c>
      <c r="S106" s="117">
        <v>1</v>
      </c>
      <c r="T106" s="114">
        <v>0</v>
      </c>
      <c r="U106" s="114">
        <v>0</v>
      </c>
      <c r="V106" s="114">
        <v>0</v>
      </c>
      <c r="W106" s="114">
        <v>0</v>
      </c>
      <c r="X106" s="114">
        <v>1</v>
      </c>
      <c r="Y106" s="114">
        <v>1</v>
      </c>
      <c r="Z106" s="114" t="s">
        <v>58</v>
      </c>
      <c r="AA106" s="114">
        <v>1</v>
      </c>
      <c r="AB106" s="114">
        <f t="shared" si="28"/>
        <v>1</v>
      </c>
      <c r="AC106" s="114">
        <f t="shared" si="24"/>
        <v>1</v>
      </c>
      <c r="AD106" s="114">
        <f>_xlfn.IFS(AR106&lt;1.7,1,AR106=1.7-2.3,2,AR106&gt;2.3,3)</f>
        <v>1</v>
      </c>
      <c r="AE106" s="114">
        <f t="shared" si="15"/>
        <v>5</v>
      </c>
      <c r="AF106" s="116" t="s">
        <v>59</v>
      </c>
      <c r="AG106" s="114">
        <f t="shared" si="25"/>
        <v>0.818713450292398</v>
      </c>
      <c r="AH106" s="114">
        <f t="shared" si="26"/>
        <v>0.486425339366516</v>
      </c>
      <c r="AI106" s="114">
        <f t="shared" si="27"/>
        <v>0.95</v>
      </c>
      <c r="AJ106" s="159">
        <f t="shared" si="19"/>
        <v>6.4</v>
      </c>
      <c r="AK106" s="160">
        <f t="shared" si="20"/>
        <v>6.4</v>
      </c>
      <c r="AL106" s="160">
        <f t="shared" si="21"/>
        <v>6.4</v>
      </c>
      <c r="AM106" s="160">
        <f t="shared" si="22"/>
        <v>135</v>
      </c>
      <c r="AN106" s="114">
        <v>1</v>
      </c>
      <c r="AO106" s="114">
        <v>1</v>
      </c>
      <c r="AP106" s="114">
        <v>8.11</v>
      </c>
      <c r="AQ106" s="114">
        <v>137</v>
      </c>
      <c r="AR106" s="114">
        <v>0.95</v>
      </c>
      <c r="AS106" s="160">
        <v>43</v>
      </c>
      <c r="AT106" s="161">
        <v>14</v>
      </c>
      <c r="AU106" s="114">
        <v>43</v>
      </c>
      <c r="AV106" s="114">
        <v>141</v>
      </c>
      <c r="AZ106" s="119" t="s">
        <v>350</v>
      </c>
    </row>
    <row r="107" s="125" customFormat="1" spans="1:52">
      <c r="A107" s="125" t="s">
        <v>351</v>
      </c>
      <c r="B107" s="125" t="s">
        <v>48</v>
      </c>
      <c r="C107" s="125">
        <v>57</v>
      </c>
      <c r="D107" s="185">
        <v>1.62</v>
      </c>
      <c r="E107" s="125">
        <v>57</v>
      </c>
      <c r="F107" s="136">
        <f t="shared" si="23"/>
        <v>21.7192501143118</v>
      </c>
      <c r="G107" s="125">
        <v>6</v>
      </c>
      <c r="H107" s="186">
        <v>43970</v>
      </c>
      <c r="I107" s="186">
        <v>43966</v>
      </c>
      <c r="J107" s="186">
        <v>43977</v>
      </c>
      <c r="K107" s="186">
        <v>44030</v>
      </c>
      <c r="L107" s="187">
        <v>2</v>
      </c>
      <c r="M107" s="187">
        <v>11</v>
      </c>
      <c r="N107" s="188" t="s">
        <v>352</v>
      </c>
      <c r="P107" s="125">
        <v>1</v>
      </c>
      <c r="T107" s="114">
        <v>1</v>
      </c>
      <c r="U107" s="114">
        <v>0</v>
      </c>
      <c r="V107" s="114">
        <v>0</v>
      </c>
      <c r="W107" s="114">
        <v>0</v>
      </c>
      <c r="X107" s="114">
        <v>1</v>
      </c>
      <c r="Y107" s="114">
        <v>1</v>
      </c>
      <c r="Z107" s="114"/>
      <c r="AA107" s="114">
        <v>2</v>
      </c>
      <c r="AB107" s="114">
        <f t="shared" si="28"/>
        <v>1</v>
      </c>
      <c r="AC107" s="114">
        <f t="shared" si="24"/>
        <v>3</v>
      </c>
      <c r="AD107" s="114">
        <f>_xlfn.IFS(AR107&lt;1.7,1,AR107=1.7-2.3,2,AR107&gt;2.3,3)</f>
        <v>1</v>
      </c>
      <c r="AE107" s="114">
        <f t="shared" si="15"/>
        <v>8</v>
      </c>
      <c r="AF107" s="116" t="s">
        <v>63</v>
      </c>
      <c r="AG107" s="114">
        <f t="shared" si="25"/>
        <v>1.1812865497076</v>
      </c>
      <c r="AH107" s="114">
        <f t="shared" si="26"/>
        <v>0.667420814479638</v>
      </c>
      <c r="AI107" s="114">
        <f t="shared" si="27"/>
        <v>1.34</v>
      </c>
      <c r="AJ107" s="159">
        <f t="shared" si="19"/>
        <v>3.91099541179805</v>
      </c>
      <c r="AK107" s="160">
        <f t="shared" si="20"/>
        <v>3.91099541179805</v>
      </c>
      <c r="AL107" s="160">
        <f t="shared" si="21"/>
        <v>3.91099541179805</v>
      </c>
      <c r="AM107" s="160">
        <f t="shared" si="22"/>
        <v>135</v>
      </c>
      <c r="AN107" s="114">
        <v>0</v>
      </c>
      <c r="AO107" s="114">
        <v>1</v>
      </c>
      <c r="AP107" s="114">
        <v>3.88</v>
      </c>
      <c r="AQ107" s="114">
        <v>66</v>
      </c>
      <c r="AR107" s="114">
        <v>1.34</v>
      </c>
      <c r="AS107" s="160">
        <v>25</v>
      </c>
      <c r="AT107" s="161">
        <v>20.2</v>
      </c>
      <c r="AU107" s="114">
        <v>59</v>
      </c>
      <c r="AV107" s="114">
        <v>135</v>
      </c>
      <c r="AZ107" s="131" t="s">
        <v>353</v>
      </c>
    </row>
    <row r="108" s="123" customFormat="1" spans="1:52">
      <c r="A108" s="123" t="s">
        <v>209</v>
      </c>
      <c r="B108" s="123" t="s">
        <v>48</v>
      </c>
      <c r="C108" s="123">
        <v>65</v>
      </c>
      <c r="D108" s="176">
        <v>1.65</v>
      </c>
      <c r="E108" s="123">
        <v>65</v>
      </c>
      <c r="F108" s="136">
        <f t="shared" si="23"/>
        <v>23.8751147842057</v>
      </c>
      <c r="G108" s="123">
        <v>6</v>
      </c>
      <c r="H108" s="177">
        <v>43970</v>
      </c>
      <c r="I108" s="177">
        <v>43969</v>
      </c>
      <c r="J108" s="177">
        <v>43983</v>
      </c>
      <c r="L108" s="178">
        <v>3</v>
      </c>
      <c r="M108" s="178">
        <v>14</v>
      </c>
      <c r="N108" s="179" t="s">
        <v>354</v>
      </c>
      <c r="P108" s="123">
        <v>1</v>
      </c>
      <c r="T108" s="114">
        <v>0</v>
      </c>
      <c r="U108" s="114">
        <v>0</v>
      </c>
      <c r="V108" s="114">
        <v>1</v>
      </c>
      <c r="W108" s="114">
        <v>0</v>
      </c>
      <c r="X108" s="114">
        <v>1</v>
      </c>
      <c r="Y108" s="114">
        <v>1</v>
      </c>
      <c r="Z108" s="114" t="s">
        <v>58</v>
      </c>
      <c r="AA108" s="114">
        <v>1</v>
      </c>
      <c r="AB108" s="114">
        <f t="shared" si="28"/>
        <v>1</v>
      </c>
      <c r="AC108" s="114">
        <f t="shared" si="24"/>
        <v>1</v>
      </c>
      <c r="AD108" s="114">
        <f>_xlfn.IFS(AR108&lt;1.7,1,AR108=1.7-2.3,2,AR108&gt;2.3,3)</f>
        <v>1</v>
      </c>
      <c r="AE108" s="114">
        <f t="shared" si="15"/>
        <v>5</v>
      </c>
      <c r="AF108" s="116" t="s">
        <v>59</v>
      </c>
      <c r="AG108" s="114">
        <f t="shared" si="25"/>
        <v>1.83625730994152</v>
      </c>
      <c r="AH108" s="114">
        <f t="shared" si="26"/>
        <v>0.610859728506787</v>
      </c>
      <c r="AI108" s="114">
        <f t="shared" si="27"/>
        <v>1.35</v>
      </c>
      <c r="AJ108" s="159">
        <f t="shared" si="19"/>
        <v>5.67054326718504</v>
      </c>
      <c r="AK108" s="160">
        <f t="shared" si="20"/>
        <v>5.67054326718504</v>
      </c>
      <c r="AL108" s="160">
        <f t="shared" si="21"/>
        <v>5.67054326718504</v>
      </c>
      <c r="AM108" s="160">
        <f t="shared" si="22"/>
        <v>135</v>
      </c>
      <c r="AN108" s="114">
        <v>0</v>
      </c>
      <c r="AO108" s="114">
        <v>1</v>
      </c>
      <c r="AP108" s="114">
        <v>3.2</v>
      </c>
      <c r="AQ108" s="114">
        <v>90</v>
      </c>
      <c r="AR108" s="114">
        <v>1.35</v>
      </c>
      <c r="AS108" s="160">
        <v>45</v>
      </c>
      <c r="AT108" s="161">
        <v>31.4</v>
      </c>
      <c r="AU108" s="114">
        <v>54</v>
      </c>
      <c r="AV108" s="114">
        <v>140</v>
      </c>
      <c r="AZ108" s="132" t="s">
        <v>355</v>
      </c>
    </row>
    <row r="109" spans="1:52">
      <c r="A109" s="117" t="s">
        <v>356</v>
      </c>
      <c r="B109" s="117" t="s">
        <v>48</v>
      </c>
      <c r="C109" s="117">
        <v>67</v>
      </c>
      <c r="D109" s="135">
        <v>1.7</v>
      </c>
      <c r="E109" s="117">
        <v>72.5</v>
      </c>
      <c r="F109" s="136">
        <f t="shared" si="23"/>
        <v>25.0865051903114</v>
      </c>
      <c r="G109" s="117">
        <v>0</v>
      </c>
      <c r="H109" s="158">
        <v>43970</v>
      </c>
      <c r="I109" s="158">
        <v>43966</v>
      </c>
      <c r="J109" s="158">
        <v>43983</v>
      </c>
      <c r="L109" s="137">
        <v>1</v>
      </c>
      <c r="M109" s="137">
        <v>17</v>
      </c>
      <c r="N109" s="139" t="s">
        <v>357</v>
      </c>
      <c r="O109" s="117">
        <v>1</v>
      </c>
      <c r="T109" s="114">
        <v>0</v>
      </c>
      <c r="U109" s="114">
        <v>0</v>
      </c>
      <c r="V109" s="114">
        <v>1</v>
      </c>
      <c r="W109" s="114">
        <v>0</v>
      </c>
      <c r="X109" s="114">
        <v>1</v>
      </c>
      <c r="Y109" s="114">
        <v>1</v>
      </c>
      <c r="Z109" s="114" t="s">
        <v>58</v>
      </c>
      <c r="AA109" s="114">
        <v>1</v>
      </c>
      <c r="AB109" s="114">
        <f t="shared" si="28"/>
        <v>1</v>
      </c>
      <c r="AC109" s="114">
        <v>2</v>
      </c>
      <c r="AD109" s="114">
        <f>_xlfn.IFS(AR109&lt;1.7,1,AR109=1.7-2.3,2,AR109&gt;2.3,3)</f>
        <v>1</v>
      </c>
      <c r="AE109" s="114">
        <f t="shared" si="15"/>
        <v>6</v>
      </c>
      <c r="AF109" s="116" t="s">
        <v>59</v>
      </c>
      <c r="AG109" s="114">
        <f t="shared" si="25"/>
        <v>1.05847953216374</v>
      </c>
      <c r="AH109" s="114">
        <f t="shared" si="26"/>
        <v>0.769230769230769</v>
      </c>
      <c r="AI109" s="114">
        <f t="shared" si="27"/>
        <v>1.34</v>
      </c>
      <c r="AJ109" s="159">
        <f t="shared" si="19"/>
        <v>9.89386688048361</v>
      </c>
      <c r="AK109" s="160">
        <f t="shared" si="20"/>
        <v>9.89386688048361</v>
      </c>
      <c r="AL109" s="160">
        <f t="shared" si="21"/>
        <v>9.89386688048361</v>
      </c>
      <c r="AM109" s="160">
        <f t="shared" si="22"/>
        <v>135</v>
      </c>
      <c r="AN109" s="114">
        <v>1</v>
      </c>
      <c r="AO109" s="114">
        <v>1</v>
      </c>
      <c r="AP109" s="114">
        <v>1.02</v>
      </c>
      <c r="AQ109" s="114">
        <v>83</v>
      </c>
      <c r="AR109" s="114">
        <v>1.34</v>
      </c>
      <c r="AS109" s="160">
        <v>29</v>
      </c>
      <c r="AT109" s="161">
        <v>18.1</v>
      </c>
      <c r="AU109" s="114">
        <v>68</v>
      </c>
      <c r="AV109" s="114">
        <v>141</v>
      </c>
      <c r="AZ109" s="119" t="s">
        <v>358</v>
      </c>
    </row>
    <row r="110" s="125" customFormat="1" spans="1:52">
      <c r="A110" s="125" t="s">
        <v>231</v>
      </c>
      <c r="B110" s="125" t="s">
        <v>53</v>
      </c>
      <c r="C110" s="125">
        <v>54</v>
      </c>
      <c r="D110" s="185">
        <v>1.63</v>
      </c>
      <c r="E110" s="125">
        <v>48.5</v>
      </c>
      <c r="F110" s="136">
        <f t="shared" si="23"/>
        <v>18.2543565809778</v>
      </c>
      <c r="G110" s="125">
        <v>6</v>
      </c>
      <c r="H110" s="186">
        <v>43970</v>
      </c>
      <c r="I110" s="186">
        <v>43967</v>
      </c>
      <c r="J110" s="186">
        <v>43976</v>
      </c>
      <c r="K110" s="186">
        <v>44115</v>
      </c>
      <c r="L110" s="187">
        <v>2</v>
      </c>
      <c r="M110" s="187">
        <v>9</v>
      </c>
      <c r="N110" s="188" t="s">
        <v>359</v>
      </c>
      <c r="P110" s="125">
        <v>1</v>
      </c>
      <c r="T110" s="114">
        <v>1</v>
      </c>
      <c r="U110" s="114">
        <v>0</v>
      </c>
      <c r="V110" s="114">
        <v>0</v>
      </c>
      <c r="W110" s="114">
        <v>0</v>
      </c>
      <c r="X110" s="114">
        <v>0</v>
      </c>
      <c r="Y110" s="114">
        <v>1</v>
      </c>
      <c r="Z110" s="114" t="s">
        <v>321</v>
      </c>
      <c r="AA110" s="114">
        <v>3</v>
      </c>
      <c r="AB110" s="114">
        <f t="shared" si="28"/>
        <v>3</v>
      </c>
      <c r="AC110" s="114">
        <f>_xlfn.IFS(AS110&lt;28,3,AS110=28-35,2,AS110&gt;35,1)</f>
        <v>3</v>
      </c>
      <c r="AD110" s="114">
        <v>2</v>
      </c>
      <c r="AE110" s="114">
        <f t="shared" si="15"/>
        <v>12</v>
      </c>
      <c r="AF110" s="116" t="s">
        <v>50</v>
      </c>
      <c r="AG110" s="114">
        <f t="shared" si="25"/>
        <v>8.11695906432749</v>
      </c>
      <c r="AH110" s="114">
        <f t="shared" si="26"/>
        <v>0.723981900452489</v>
      </c>
      <c r="AI110" s="114">
        <f t="shared" si="27"/>
        <v>2.23</v>
      </c>
      <c r="AJ110" s="159">
        <f t="shared" si="19"/>
        <v>16.9394489786302</v>
      </c>
      <c r="AK110" s="160">
        <f t="shared" si="20"/>
        <v>16.9394489786302</v>
      </c>
      <c r="AL110" s="160">
        <f t="shared" si="21"/>
        <v>28.0694489786302</v>
      </c>
      <c r="AM110" s="160">
        <f t="shared" si="22"/>
        <v>128</v>
      </c>
      <c r="AN110" s="114">
        <v>0</v>
      </c>
      <c r="AO110" s="114">
        <v>2</v>
      </c>
      <c r="AP110" s="114">
        <v>5.29</v>
      </c>
      <c r="AQ110" s="114">
        <v>69</v>
      </c>
      <c r="AR110" s="114">
        <v>2.23</v>
      </c>
      <c r="AS110" s="160">
        <v>22</v>
      </c>
      <c r="AT110" s="161">
        <v>138.8</v>
      </c>
      <c r="AU110" s="114">
        <v>64</v>
      </c>
      <c r="AV110" s="114">
        <v>128</v>
      </c>
      <c r="AZ110" s="131" t="s">
        <v>360</v>
      </c>
    </row>
    <row r="111" spans="1:52">
      <c r="A111" s="117" t="s">
        <v>361</v>
      </c>
      <c r="B111" s="117" t="s">
        <v>53</v>
      </c>
      <c r="C111" s="117">
        <v>73</v>
      </c>
      <c r="D111" s="135">
        <v>1.65</v>
      </c>
      <c r="E111" s="117">
        <v>67</v>
      </c>
      <c r="F111" s="136">
        <f t="shared" si="23"/>
        <v>24.6097337006428</v>
      </c>
      <c r="G111" s="117">
        <v>4</v>
      </c>
      <c r="H111" s="158">
        <v>43970</v>
      </c>
      <c r="I111" s="158">
        <v>43969</v>
      </c>
      <c r="J111" s="158">
        <v>43984</v>
      </c>
      <c r="L111" s="137">
        <v>1</v>
      </c>
      <c r="M111" s="137">
        <v>14</v>
      </c>
      <c r="N111" s="139" t="s">
        <v>362</v>
      </c>
      <c r="Q111" s="117">
        <v>1</v>
      </c>
      <c r="T111" s="114">
        <v>1</v>
      </c>
      <c r="U111" s="114">
        <v>0</v>
      </c>
      <c r="V111" s="114">
        <v>1</v>
      </c>
      <c r="W111" s="114">
        <v>0</v>
      </c>
      <c r="X111" s="114">
        <v>1</v>
      </c>
      <c r="Y111" s="114">
        <v>1</v>
      </c>
      <c r="Z111" s="114" t="s">
        <v>307</v>
      </c>
      <c r="AA111" s="114">
        <v>3</v>
      </c>
      <c r="AB111" s="114">
        <f t="shared" si="28"/>
        <v>1</v>
      </c>
      <c r="AC111" s="114">
        <f>_xlfn.IFS(AS111&lt;28,3,AS111=28-35,2,AS111&gt;35,1)</f>
        <v>3</v>
      </c>
      <c r="AD111" s="114">
        <f>_xlfn.IFS(AR111&lt;1.7,1,AR111=1.7-2.3,2,AR111&gt;2.3,3)</f>
        <v>1</v>
      </c>
      <c r="AE111" s="114">
        <f t="shared" si="15"/>
        <v>9</v>
      </c>
      <c r="AF111" s="116" t="s">
        <v>63</v>
      </c>
      <c r="AG111" s="114">
        <f t="shared" si="25"/>
        <v>1.15789473684211</v>
      </c>
      <c r="AH111" s="114">
        <f t="shared" si="26"/>
        <v>0.667420814479638</v>
      </c>
      <c r="AI111" s="114">
        <f t="shared" si="27"/>
        <v>1.52</v>
      </c>
      <c r="AJ111" s="159">
        <f t="shared" si="19"/>
        <v>11.6466489523408</v>
      </c>
      <c r="AK111" s="160">
        <f t="shared" si="20"/>
        <v>11.6466489523408</v>
      </c>
      <c r="AL111" s="160">
        <f t="shared" si="21"/>
        <v>11.6466489523408</v>
      </c>
      <c r="AM111" s="160">
        <f t="shared" si="22"/>
        <v>135</v>
      </c>
      <c r="AN111" s="114">
        <v>1</v>
      </c>
      <c r="AO111" s="114">
        <v>1</v>
      </c>
      <c r="AP111" s="114">
        <v>5.61</v>
      </c>
      <c r="AQ111" s="114">
        <v>104</v>
      </c>
      <c r="AR111" s="114">
        <v>1.52</v>
      </c>
      <c r="AS111" s="160">
        <v>25</v>
      </c>
      <c r="AT111" s="161">
        <v>19.8</v>
      </c>
      <c r="AU111" s="114">
        <v>59</v>
      </c>
      <c r="AV111" s="114">
        <v>143</v>
      </c>
      <c r="AZ111" s="119" t="s">
        <v>363</v>
      </c>
    </row>
    <row r="112" s="123" customFormat="1" spans="1:52">
      <c r="A112" s="123" t="s">
        <v>278</v>
      </c>
      <c r="B112" s="123" t="s">
        <v>53</v>
      </c>
      <c r="C112" s="123">
        <v>74</v>
      </c>
      <c r="D112" s="176">
        <v>1.67</v>
      </c>
      <c r="E112" s="123">
        <v>55</v>
      </c>
      <c r="F112" s="136">
        <f t="shared" si="23"/>
        <v>19.7210369679802</v>
      </c>
      <c r="G112" s="123">
        <v>1</v>
      </c>
      <c r="H112" s="177">
        <v>43970</v>
      </c>
      <c r="I112" s="177">
        <v>43965</v>
      </c>
      <c r="J112" s="177">
        <v>43973</v>
      </c>
      <c r="L112" s="178">
        <v>7</v>
      </c>
      <c r="M112" s="138">
        <v>8</v>
      </c>
      <c r="N112" s="179" t="s">
        <v>364</v>
      </c>
      <c r="S112" s="123">
        <v>1</v>
      </c>
      <c r="T112" s="114">
        <v>1</v>
      </c>
      <c r="U112" s="114">
        <v>0</v>
      </c>
      <c r="V112" s="114">
        <v>0</v>
      </c>
      <c r="W112" s="114">
        <v>0</v>
      </c>
      <c r="X112" s="114">
        <v>0</v>
      </c>
      <c r="Y112" s="114">
        <v>1</v>
      </c>
      <c r="Z112" s="114" t="s">
        <v>307</v>
      </c>
      <c r="AA112" s="114">
        <v>3</v>
      </c>
      <c r="AB112" s="114">
        <f t="shared" si="28"/>
        <v>1</v>
      </c>
      <c r="AC112" s="114">
        <v>2</v>
      </c>
      <c r="AD112" s="114">
        <f>_xlfn.IFS(AR112&lt;1.7,1,AR112=1.7-2.3,2,AR112&gt;2.3,3)</f>
        <v>1</v>
      </c>
      <c r="AE112" s="114">
        <f t="shared" si="15"/>
        <v>8</v>
      </c>
      <c r="AF112" s="116" t="s">
        <v>63</v>
      </c>
      <c r="AG112" s="114">
        <f t="shared" si="25"/>
        <v>0.491228070175439</v>
      </c>
      <c r="AH112" s="114">
        <f t="shared" si="26"/>
        <v>0.972850678733032</v>
      </c>
      <c r="AI112" s="114">
        <f t="shared" si="27"/>
        <v>1.18</v>
      </c>
      <c r="AJ112" s="159">
        <f t="shared" si="19"/>
        <v>8.25376171094882</v>
      </c>
      <c r="AK112" s="160">
        <f t="shared" si="20"/>
        <v>8.25376171094882</v>
      </c>
      <c r="AL112" s="160">
        <f t="shared" si="21"/>
        <v>8.25376171094882</v>
      </c>
      <c r="AM112" s="160">
        <f t="shared" si="22"/>
        <v>135</v>
      </c>
      <c r="AN112" s="114">
        <v>1</v>
      </c>
      <c r="AO112" s="114">
        <v>1</v>
      </c>
      <c r="AP112" s="114">
        <v>4.22</v>
      </c>
      <c r="AQ112" s="114">
        <v>69</v>
      </c>
      <c r="AR112" s="114">
        <v>1.18</v>
      </c>
      <c r="AS112" s="160">
        <v>28</v>
      </c>
      <c r="AT112" s="161">
        <v>8.4</v>
      </c>
      <c r="AU112" s="114">
        <v>86</v>
      </c>
      <c r="AV112" s="114">
        <v>138</v>
      </c>
      <c r="AZ112" s="132" t="s">
        <v>365</v>
      </c>
    </row>
    <row r="113" spans="1:52">
      <c r="A113" s="117" t="s">
        <v>366</v>
      </c>
      <c r="B113" s="117" t="s">
        <v>48</v>
      </c>
      <c r="C113" s="117">
        <v>74</v>
      </c>
      <c r="D113" s="135">
        <v>1.65</v>
      </c>
      <c r="E113" s="117">
        <v>77</v>
      </c>
      <c r="F113" s="136">
        <f t="shared" si="23"/>
        <v>28.2828282828283</v>
      </c>
      <c r="G113" s="117">
        <v>6</v>
      </c>
      <c r="H113" s="158">
        <v>43970</v>
      </c>
      <c r="I113" s="158">
        <v>43964</v>
      </c>
      <c r="J113" s="158">
        <v>43976</v>
      </c>
      <c r="L113" s="137">
        <v>1</v>
      </c>
      <c r="M113" s="137">
        <v>12</v>
      </c>
      <c r="N113" s="139" t="s">
        <v>367</v>
      </c>
      <c r="P113" s="117">
        <v>1</v>
      </c>
      <c r="Q113" s="117">
        <v>1</v>
      </c>
      <c r="T113" s="114">
        <v>1</v>
      </c>
      <c r="U113" s="114">
        <v>0</v>
      </c>
      <c r="V113" s="114">
        <v>0</v>
      </c>
      <c r="W113" s="114">
        <v>0</v>
      </c>
      <c r="X113" s="114">
        <v>1</v>
      </c>
      <c r="Y113" s="114">
        <v>1</v>
      </c>
      <c r="Z113" s="114" t="s">
        <v>307</v>
      </c>
      <c r="AA113" s="114">
        <v>3</v>
      </c>
      <c r="AB113" s="114">
        <v>2</v>
      </c>
      <c r="AC113" s="114">
        <f>_xlfn.IFS(AS113&lt;28,3,AS113=28-35,2,AS113&gt;35,1)</f>
        <v>3</v>
      </c>
      <c r="AD113" s="114">
        <f>_xlfn.IFS(AR113&lt;1.7,1,AR113=1.7-2.3,2,AR113&gt;2.3,3)</f>
        <v>1</v>
      </c>
      <c r="AE113" s="114">
        <f t="shared" si="15"/>
        <v>10</v>
      </c>
      <c r="AF113" s="116" t="s">
        <v>50</v>
      </c>
      <c r="AG113" s="114">
        <f t="shared" si="25"/>
        <v>2.88304093567251</v>
      </c>
      <c r="AH113" s="114">
        <f t="shared" si="26"/>
        <v>0.565610859728507</v>
      </c>
      <c r="AI113" s="114">
        <f t="shared" si="27"/>
        <v>1.65</v>
      </c>
      <c r="AJ113" s="159">
        <f t="shared" si="19"/>
        <v>9.63229657127199</v>
      </c>
      <c r="AK113" s="160">
        <f t="shared" si="20"/>
        <v>9.63229657127199</v>
      </c>
      <c r="AL113" s="160">
        <f t="shared" si="21"/>
        <v>9.63229657127199</v>
      </c>
      <c r="AM113" s="160">
        <f t="shared" si="22"/>
        <v>135</v>
      </c>
      <c r="AN113" s="114">
        <v>0</v>
      </c>
      <c r="AO113" s="114">
        <v>1</v>
      </c>
      <c r="AP113" s="215">
        <v>5.49</v>
      </c>
      <c r="AQ113" s="215">
        <v>130</v>
      </c>
      <c r="AR113" s="114">
        <v>1.65</v>
      </c>
      <c r="AS113" s="160">
        <v>26</v>
      </c>
      <c r="AT113" s="161">
        <v>49.3</v>
      </c>
      <c r="AU113" s="114">
        <v>50</v>
      </c>
      <c r="AV113" s="114">
        <v>143</v>
      </c>
      <c r="AZ113" s="119" t="s">
        <v>368</v>
      </c>
    </row>
    <row r="114" spans="1:52">
      <c r="A114" s="117" t="s">
        <v>369</v>
      </c>
      <c r="B114" s="117" t="s">
        <v>53</v>
      </c>
      <c r="C114" s="117">
        <v>69</v>
      </c>
      <c r="D114" s="135">
        <v>1.52</v>
      </c>
      <c r="E114" s="117">
        <v>60</v>
      </c>
      <c r="F114" s="136">
        <f>E114/(D114*D114)</f>
        <v>25.9695290858726</v>
      </c>
      <c r="G114" s="117">
        <v>4</v>
      </c>
      <c r="H114" s="158">
        <v>43974</v>
      </c>
      <c r="I114" s="158">
        <v>43971</v>
      </c>
      <c r="J114" s="158">
        <v>43981</v>
      </c>
      <c r="L114" s="137">
        <v>1</v>
      </c>
      <c r="M114" s="137">
        <v>10</v>
      </c>
      <c r="N114" s="139" t="s">
        <v>370</v>
      </c>
      <c r="O114" s="117">
        <v>1</v>
      </c>
      <c r="T114" s="114">
        <v>1</v>
      </c>
      <c r="U114" s="114">
        <v>0</v>
      </c>
      <c r="V114" s="114">
        <v>0</v>
      </c>
      <c r="W114" s="114">
        <v>0</v>
      </c>
      <c r="X114" s="114">
        <v>0</v>
      </c>
      <c r="Y114" s="114">
        <v>1</v>
      </c>
      <c r="Z114" s="114" t="s">
        <v>307</v>
      </c>
      <c r="AA114" s="114">
        <v>3</v>
      </c>
      <c r="AB114" s="114">
        <f>_xlfn.IFS(AT114&lt;34,1,AT114=34-51,2,AT114&gt;51,3)</f>
        <v>1</v>
      </c>
      <c r="AC114" s="114">
        <f>_xlfn.IFS(AS114&lt;28,3,AS114=28-35,2,AS114&gt;35,1)</f>
        <v>3</v>
      </c>
      <c r="AD114" s="114">
        <f>_xlfn.IFS(AR114&lt;1.7,1,AR114=1.7-2.3,2,AR114&gt;2.3,3)</f>
        <v>1</v>
      </c>
      <c r="AE114" s="114">
        <f>Y114+AA114+AB114+AC114+AD114</f>
        <v>9</v>
      </c>
      <c r="AF114" s="116" t="s">
        <v>63</v>
      </c>
      <c r="AG114" s="114">
        <f>AT114/17.1</f>
        <v>0.853801169590643</v>
      </c>
      <c r="AH114" s="114">
        <f>AU114/88.4</f>
        <v>0.520361990950226</v>
      </c>
      <c r="AI114" s="114">
        <f>AR114</f>
        <v>1.56</v>
      </c>
      <c r="AJ114" s="159">
        <f>LN(IF(AG114&gt;=1,AG114,1))*3.8+LN(IF(AH114&gt;=1,AH114,1))*9.6+11.2*LN(IF(AI114&gt;=1,AI114,1))+6.4*AN114</f>
        <v>11.3804811981282</v>
      </c>
      <c r="AK114" s="160">
        <f>IF(AND(AG114&gt;0,AH114&gt;0,AI114&gt;0),AJ114,"")</f>
        <v>11.3804811981282</v>
      </c>
      <c r="AL114" s="160">
        <f>AK114+1.59*(135-AM114)</f>
        <v>11.3804811981282</v>
      </c>
      <c r="AM114" s="160">
        <f>IF(AV114&gt;135,135,IF(AV114&lt;120,120,AV114))</f>
        <v>135</v>
      </c>
      <c r="AN114" s="114">
        <v>1</v>
      </c>
      <c r="AO114" s="114">
        <v>1</v>
      </c>
      <c r="AP114" s="114">
        <v>1.91</v>
      </c>
      <c r="AQ114" s="114">
        <v>92</v>
      </c>
      <c r="AR114" s="114">
        <v>1.56</v>
      </c>
      <c r="AS114" s="160">
        <v>17</v>
      </c>
      <c r="AT114" s="161">
        <v>14.6</v>
      </c>
      <c r="AU114" s="114">
        <v>46</v>
      </c>
      <c r="AV114" s="114">
        <v>139</v>
      </c>
      <c r="AZ114" s="119" t="s">
        <v>371</v>
      </c>
    </row>
    <row r="115" s="125" customFormat="1" spans="1:52">
      <c r="A115" s="125" t="s">
        <v>372</v>
      </c>
      <c r="B115" s="125" t="s">
        <v>48</v>
      </c>
      <c r="C115" s="125">
        <v>52</v>
      </c>
      <c r="D115" s="185"/>
      <c r="F115" s="136"/>
      <c r="G115" s="125">
        <v>6</v>
      </c>
      <c r="I115" s="186">
        <v>43929</v>
      </c>
      <c r="J115" s="186">
        <v>43945</v>
      </c>
      <c r="K115" s="186">
        <v>44166</v>
      </c>
      <c r="L115" s="187">
        <v>1</v>
      </c>
      <c r="M115" s="187">
        <v>16</v>
      </c>
      <c r="N115" s="188" t="s">
        <v>373</v>
      </c>
      <c r="P115" s="125">
        <v>1</v>
      </c>
      <c r="T115" s="114">
        <v>1</v>
      </c>
      <c r="U115" s="114">
        <v>0</v>
      </c>
      <c r="V115" s="114">
        <v>1</v>
      </c>
      <c r="W115" s="114">
        <v>0</v>
      </c>
      <c r="X115" s="114">
        <v>1</v>
      </c>
      <c r="Y115" s="114">
        <v>1</v>
      </c>
      <c r="Z115" s="114" t="s">
        <v>321</v>
      </c>
      <c r="AA115" s="114">
        <v>3</v>
      </c>
      <c r="AB115" s="114">
        <f>_xlfn.IFS(AT115&lt;34,1,AT115=34-51,2,AT115&gt;51,3)</f>
        <v>3</v>
      </c>
      <c r="AC115" s="114">
        <f>_xlfn.IFS(AS115&lt;28,3,AS115=28-35,2,AS115&gt;35,1)</f>
        <v>3</v>
      </c>
      <c r="AD115" s="114">
        <f>_xlfn.IFS(AR115&lt;1.7,1,AR115=1.7-2.3,2,AR115&gt;2.3,3)</f>
        <v>1</v>
      </c>
      <c r="AE115" s="114">
        <f>Y115+AA115+AB115+AC115+AD115</f>
        <v>11</v>
      </c>
      <c r="AF115" s="116" t="s">
        <v>50</v>
      </c>
      <c r="AG115" s="114">
        <f>AT115/17.1</f>
        <v>6.03508771929824</v>
      </c>
      <c r="AH115" s="114">
        <f>AU115/88.4</f>
        <v>0.656108597285068</v>
      </c>
      <c r="AI115" s="114">
        <f>AR115</f>
        <v>1.34</v>
      </c>
      <c r="AJ115" s="159">
        <f>LN(IF(AG115&gt;=1,AG115,1))*3.8+LN(IF(AH115&gt;=1,AH115,1))*9.6+11.2*LN(IF(AI115&gt;=1,AI115,1))+6.4*AN115</f>
        <v>10.1087431566312</v>
      </c>
      <c r="AK115" s="160">
        <f>IF(AND(AG115&gt;0,AH115&gt;0,AI115&gt;0),AJ115,"")</f>
        <v>10.1087431566312</v>
      </c>
      <c r="AL115" s="160">
        <f>AK115+1.59*(135-AM115)</f>
        <v>11.6987431566312</v>
      </c>
      <c r="AM115" s="160">
        <f>IF(AV115&gt;135,135,IF(AV115&lt;120,120,AV115))</f>
        <v>134</v>
      </c>
      <c r="AN115" s="114">
        <v>0</v>
      </c>
      <c r="AO115" s="114">
        <v>1</v>
      </c>
      <c r="AP115" s="114">
        <v>4.49</v>
      </c>
      <c r="AQ115" s="114">
        <v>121</v>
      </c>
      <c r="AR115" s="114">
        <v>1.34</v>
      </c>
      <c r="AS115" s="160">
        <v>20</v>
      </c>
      <c r="AT115" s="161">
        <v>103.2</v>
      </c>
      <c r="AU115" s="114">
        <v>58</v>
      </c>
      <c r="AV115" s="114">
        <v>134</v>
      </c>
      <c r="AZ115" s="131" t="s">
        <v>374</v>
      </c>
    </row>
    <row r="116" s="125" customFormat="1" spans="1:52">
      <c r="A116" s="125" t="s">
        <v>375</v>
      </c>
      <c r="B116" s="125" t="s">
        <v>53</v>
      </c>
      <c r="C116" s="125">
        <v>60</v>
      </c>
      <c r="D116" s="185">
        <v>1.6</v>
      </c>
      <c r="E116" s="125">
        <v>51</v>
      </c>
      <c r="F116" s="136">
        <v>19.92</v>
      </c>
      <c r="G116" s="125">
        <v>3</v>
      </c>
      <c r="I116" s="186">
        <v>43960</v>
      </c>
      <c r="J116" s="186">
        <v>43973</v>
      </c>
      <c r="K116" s="186">
        <v>43976</v>
      </c>
      <c r="L116" s="187">
        <v>3</v>
      </c>
      <c r="M116" s="187">
        <v>13</v>
      </c>
      <c r="N116" s="188" t="s">
        <v>376</v>
      </c>
      <c r="Q116" s="125">
        <v>1</v>
      </c>
      <c r="T116" s="114">
        <v>1</v>
      </c>
      <c r="U116" s="114">
        <v>0</v>
      </c>
      <c r="V116" s="114">
        <v>1</v>
      </c>
      <c r="W116" s="114">
        <v>0</v>
      </c>
      <c r="X116" s="114">
        <v>1</v>
      </c>
      <c r="Y116" s="114">
        <v>1</v>
      </c>
      <c r="Z116" s="114" t="s">
        <v>307</v>
      </c>
      <c r="AA116" s="114">
        <v>3</v>
      </c>
      <c r="AB116" s="114">
        <v>2</v>
      </c>
      <c r="AC116" s="114">
        <v>2</v>
      </c>
      <c r="AD116" s="114">
        <f>_xlfn.IFS(AR116&lt;1.7,1,AR116=1.7-2.3,2,AR116&gt;2.3,3)</f>
        <v>1</v>
      </c>
      <c r="AE116" s="114">
        <f>Y116+AA116+AB116+AC116+AD116</f>
        <v>9</v>
      </c>
      <c r="AF116" s="116" t="s">
        <v>63</v>
      </c>
      <c r="AG116" s="114">
        <f>AT116/17.1</f>
        <v>2.08187134502924</v>
      </c>
      <c r="AH116" s="114">
        <f>AU116/88.4</f>
        <v>0.475113122171946</v>
      </c>
      <c r="AI116" s="114">
        <f>AR116</f>
        <v>1.19</v>
      </c>
      <c r="AJ116" s="159">
        <f>LN(IF(AG116&gt;=1,AG116,1))*3.8+LN(IF(AH116&gt;=1,AH116,1))*9.6+11.2*LN(IF(AI116&gt;=1,AI116,1))+6.4*AN116</f>
        <v>11.1346923023101</v>
      </c>
      <c r="AK116" s="160">
        <f>IF(AND(AG116&gt;0,AH116&gt;0,AI116&gt;0),AJ116,"")</f>
        <v>11.1346923023101</v>
      </c>
      <c r="AL116" s="160">
        <f>AK116+1.59*(135-AM116)</f>
        <v>11.1346923023101</v>
      </c>
      <c r="AM116" s="160">
        <f>IF(AV116&gt;135,135,IF(AV116&lt;120,120,AV116))</f>
        <v>135</v>
      </c>
      <c r="AN116" s="114">
        <v>1</v>
      </c>
      <c r="AO116" s="114">
        <v>1</v>
      </c>
      <c r="AP116" s="114">
        <v>7.86</v>
      </c>
      <c r="AQ116" s="114">
        <v>80</v>
      </c>
      <c r="AR116" s="114">
        <v>1.19</v>
      </c>
      <c r="AS116" s="160">
        <v>28</v>
      </c>
      <c r="AT116" s="161">
        <v>35.6</v>
      </c>
      <c r="AU116" s="114">
        <v>42</v>
      </c>
      <c r="AV116" s="114">
        <v>144</v>
      </c>
      <c r="AZ116" s="131" t="s">
        <v>377</v>
      </c>
    </row>
    <row r="117" s="125" customFormat="1" spans="1:52">
      <c r="A117" s="125" t="s">
        <v>378</v>
      </c>
      <c r="B117" s="125" t="s">
        <v>53</v>
      </c>
      <c r="C117" s="125">
        <v>90</v>
      </c>
      <c r="D117" s="185"/>
      <c r="F117" s="136"/>
      <c r="G117" s="125">
        <v>5</v>
      </c>
      <c r="I117" s="186">
        <v>43848</v>
      </c>
      <c r="J117" s="186">
        <v>43850</v>
      </c>
      <c r="K117" s="186">
        <v>43850</v>
      </c>
      <c r="L117" s="187">
        <v>1</v>
      </c>
      <c r="M117" s="187">
        <v>2</v>
      </c>
      <c r="N117" s="188" t="s">
        <v>379</v>
      </c>
      <c r="O117" s="125">
        <v>1</v>
      </c>
      <c r="T117" s="114">
        <v>1</v>
      </c>
      <c r="U117" s="114">
        <v>1</v>
      </c>
      <c r="V117" s="114">
        <v>0</v>
      </c>
      <c r="W117" s="114">
        <v>0</v>
      </c>
      <c r="X117" s="114">
        <v>1</v>
      </c>
      <c r="Y117" s="114">
        <v>2</v>
      </c>
      <c r="Z117" s="114" t="s">
        <v>321</v>
      </c>
      <c r="AA117" s="114">
        <v>3</v>
      </c>
      <c r="AB117" s="114">
        <f>_xlfn.IFS(AT117&lt;34,1,AT117=34-51,2,AT117&gt;51,3)</f>
        <v>3</v>
      </c>
      <c r="AC117" s="114">
        <v>2</v>
      </c>
      <c r="AD117" s="114">
        <f>_xlfn.IFS(AR117&lt;1.7,1,AR117=1.7-2.3,2,AR117&gt;2.3,3)</f>
        <v>3</v>
      </c>
      <c r="AE117" s="114">
        <f>Y117+AA117+AB117+AC117+AD117</f>
        <v>13</v>
      </c>
      <c r="AF117" s="116" t="s">
        <v>50</v>
      </c>
      <c r="AG117" s="114">
        <f>AT117/17.1</f>
        <v>9.4093567251462</v>
      </c>
      <c r="AH117" s="114">
        <f>AU117/88.4</f>
        <v>5.12443438914027</v>
      </c>
      <c r="AI117" s="114">
        <f>AR117</f>
        <v>2.45</v>
      </c>
      <c r="AJ117" s="159">
        <f>LN(IF(AG117&gt;=1,AG117,1))*3.8+LN(IF(AH117&gt;=1,AH117,1))*9.6+11.2*LN(IF(AI117&gt;=1,AI117,1))+6.4*AN117</f>
        <v>40.6412568149539</v>
      </c>
      <c r="AK117" s="160">
        <f>IF(AND(AG117&gt;0,AH117&gt;0,AI117&gt;0),AJ117,"")</f>
        <v>40.6412568149539</v>
      </c>
      <c r="AL117" s="160">
        <f>AK117+1.59*(135-AM117)</f>
        <v>40.6412568149539</v>
      </c>
      <c r="AM117" s="160">
        <f>IF(AV117&gt;135,135,IF(AV117&lt;120,120,AV117))</f>
        <v>135</v>
      </c>
      <c r="AN117" s="114">
        <v>1</v>
      </c>
      <c r="AO117" s="114">
        <v>3</v>
      </c>
      <c r="AP117" s="114">
        <v>9.31</v>
      </c>
      <c r="AQ117" s="114">
        <v>81</v>
      </c>
      <c r="AR117" s="114">
        <v>2.45</v>
      </c>
      <c r="AS117" s="160">
        <v>28</v>
      </c>
      <c r="AT117" s="161">
        <v>160.9</v>
      </c>
      <c r="AU117" s="114">
        <v>453</v>
      </c>
      <c r="AV117" s="114">
        <v>142</v>
      </c>
      <c r="AZ117" s="131" t="s">
        <v>58</v>
      </c>
    </row>
    <row r="118" s="125" customFormat="1" spans="1:52">
      <c r="A118" s="125" t="s">
        <v>380</v>
      </c>
      <c r="B118" s="125" t="s">
        <v>53</v>
      </c>
      <c r="C118" s="125">
        <v>57</v>
      </c>
      <c r="D118" s="185">
        <v>1.53</v>
      </c>
      <c r="E118" s="125">
        <v>55</v>
      </c>
      <c r="F118" s="136">
        <f>E118/(D118*D118)</f>
        <v>23.4952368747063</v>
      </c>
      <c r="G118" s="125">
        <v>3</v>
      </c>
      <c r="H118" s="186">
        <v>43971</v>
      </c>
      <c r="I118" s="186">
        <v>43969</v>
      </c>
      <c r="J118" s="186">
        <v>43979</v>
      </c>
      <c r="K118" s="186">
        <v>44013</v>
      </c>
      <c r="L118" s="187">
        <v>1</v>
      </c>
      <c r="M118" s="187">
        <v>10</v>
      </c>
      <c r="N118" s="188" t="s">
        <v>381</v>
      </c>
      <c r="R118" s="125">
        <v>1</v>
      </c>
      <c r="T118" s="114">
        <v>1</v>
      </c>
      <c r="U118" s="114">
        <v>0</v>
      </c>
      <c r="V118" s="114">
        <v>1</v>
      </c>
      <c r="W118" s="114">
        <v>0</v>
      </c>
      <c r="X118" s="114">
        <v>1</v>
      </c>
      <c r="Y118" s="114">
        <v>1</v>
      </c>
      <c r="Z118" s="114" t="s">
        <v>321</v>
      </c>
      <c r="AA118" s="114">
        <v>3</v>
      </c>
      <c r="AB118" s="114">
        <f t="shared" ref="AB118:AB130" si="29">_xlfn.IFS(AT118&lt;34,1,AT118=34-51,2,AT118&gt;51,3)</f>
        <v>1</v>
      </c>
      <c r="AC118" s="114">
        <f>_xlfn.IFS(AS118&lt;28,3,AS118=28-35,2,AS118&gt;35,1)</f>
        <v>3</v>
      </c>
      <c r="AD118" s="114">
        <f t="shared" ref="AD118:AD126" si="30">_xlfn.IFS(AR118&lt;1.7,1,AR118=1.7-2.3,2,AR118&gt;2.3,3)</f>
        <v>1</v>
      </c>
      <c r="AE118" s="114">
        <f>Y118+AA118+AB118+AC118+AD118</f>
        <v>9</v>
      </c>
      <c r="AF118" s="116" t="s">
        <v>63</v>
      </c>
      <c r="AG118" s="114">
        <f>AT118/17.1</f>
        <v>1.44444444444444</v>
      </c>
      <c r="AH118" s="114">
        <f>AU118/88.4</f>
        <v>0.735294117647059</v>
      </c>
      <c r="AI118" s="114">
        <f>AR118</f>
        <v>1.18</v>
      </c>
      <c r="AJ118" s="159">
        <f>LN(IF(AG118&gt;=1,AG118,1))*3.8+LN(IF(AH118&gt;=1,AH118,1))*9.6+11.2*LN(IF(AI118&gt;=1,AI118,1))+6.4*AN118</f>
        <v>3.25111587542503</v>
      </c>
      <c r="AK118" s="160">
        <f>IF(AND(AG118&gt;0,AH118&gt;0,AI118&gt;0),AJ118,"")</f>
        <v>3.25111587542503</v>
      </c>
      <c r="AL118" s="160">
        <f>AK118+1.59*(135-AM118)</f>
        <v>3.25111587542503</v>
      </c>
      <c r="AM118" s="160">
        <f>IF(AV118&gt;135,135,IF(AV118&lt;120,120,AV118))</f>
        <v>135</v>
      </c>
      <c r="AN118" s="114">
        <v>0</v>
      </c>
      <c r="AO118" s="114">
        <v>1</v>
      </c>
      <c r="AP118" s="114">
        <v>5.47</v>
      </c>
      <c r="AQ118" s="114">
        <v>79</v>
      </c>
      <c r="AR118" s="114">
        <v>1.18</v>
      </c>
      <c r="AS118" s="160">
        <v>25</v>
      </c>
      <c r="AT118" s="161">
        <v>24.7</v>
      </c>
      <c r="AU118" s="114">
        <v>65</v>
      </c>
      <c r="AV118" s="114">
        <v>139</v>
      </c>
      <c r="AZ118" s="131" t="s">
        <v>382</v>
      </c>
    </row>
    <row r="119" s="125" customFormat="1" ht="16.9" customHeight="1" spans="1:52">
      <c r="A119" s="125" t="s">
        <v>375</v>
      </c>
      <c r="B119" s="125" t="s">
        <v>53</v>
      </c>
      <c r="C119" s="125">
        <v>60</v>
      </c>
      <c r="D119" s="185">
        <v>1.6</v>
      </c>
      <c r="E119" s="125">
        <v>51</v>
      </c>
      <c r="F119" s="136">
        <f>E119/(D119*D119)</f>
        <v>19.921875</v>
      </c>
      <c r="G119" s="125">
        <v>3</v>
      </c>
      <c r="H119" s="186">
        <v>43971</v>
      </c>
      <c r="I119" s="186">
        <v>43960</v>
      </c>
      <c r="J119" s="186">
        <v>43973</v>
      </c>
      <c r="K119" s="186">
        <v>43976</v>
      </c>
      <c r="L119" s="187">
        <v>3</v>
      </c>
      <c r="M119" s="138">
        <v>13</v>
      </c>
      <c r="N119" s="188" t="s">
        <v>383</v>
      </c>
      <c r="O119" s="114"/>
      <c r="P119" s="114"/>
      <c r="Q119" s="114">
        <v>1</v>
      </c>
      <c r="R119" s="114"/>
      <c r="S119" s="114"/>
      <c r="T119" s="114">
        <v>0</v>
      </c>
      <c r="U119" s="114">
        <v>0</v>
      </c>
      <c r="V119" s="114">
        <v>1</v>
      </c>
      <c r="W119" s="114">
        <v>0</v>
      </c>
      <c r="X119" s="114">
        <v>1</v>
      </c>
      <c r="Y119" s="114">
        <v>1</v>
      </c>
      <c r="Z119" s="114" t="s">
        <v>58</v>
      </c>
      <c r="AA119" s="114">
        <v>1</v>
      </c>
      <c r="AB119" s="114">
        <f t="shared" si="29"/>
        <v>1</v>
      </c>
      <c r="AC119" s="114">
        <v>2</v>
      </c>
      <c r="AD119" s="114">
        <f t="shared" si="30"/>
        <v>1</v>
      </c>
      <c r="AE119" s="114">
        <f>Y119+AA119+AB119+AC119+AD119</f>
        <v>6</v>
      </c>
      <c r="AF119" s="116" t="s">
        <v>59</v>
      </c>
      <c r="AG119" s="114">
        <f>AT119/17.1</f>
        <v>1.3625730994152</v>
      </c>
      <c r="AH119" s="114">
        <f>AU119/88.4</f>
        <v>0.475113122171946</v>
      </c>
      <c r="AI119" s="114">
        <f>AR119</f>
        <v>1.08</v>
      </c>
      <c r="AJ119" s="159">
        <f>LN(IF(AG119&gt;=1,AG119,1))*3.8+LN(IF(AH119&gt;=1,AH119,1))*9.6+11.2*LN(IF(AI119&gt;=1,AI119,1))+6.4*AN119</f>
        <v>8.43758826956419</v>
      </c>
      <c r="AK119" s="160">
        <f>IF(AND(AG119&gt;0,AH119&gt;0,AI119&gt;0),AJ119,"")</f>
        <v>8.43758826956419</v>
      </c>
      <c r="AL119" s="160">
        <f>AK119+1.59*(135-AM119)</f>
        <v>8.43758826956419</v>
      </c>
      <c r="AM119" s="160">
        <f>IF(AV119&gt;135,135,IF(AV119&lt;120,120,AV119))</f>
        <v>135</v>
      </c>
      <c r="AN119" s="114">
        <v>1</v>
      </c>
      <c r="AO119" s="114">
        <v>1</v>
      </c>
      <c r="AP119" s="114">
        <v>3.61</v>
      </c>
      <c r="AQ119" s="114">
        <v>72</v>
      </c>
      <c r="AR119" s="114">
        <v>1.08</v>
      </c>
      <c r="AS119" s="160">
        <v>25</v>
      </c>
      <c r="AT119" s="161">
        <v>23.3</v>
      </c>
      <c r="AU119" s="114">
        <v>42</v>
      </c>
      <c r="AV119" s="114">
        <v>140</v>
      </c>
      <c r="AZ119" s="131" t="s">
        <v>377</v>
      </c>
    </row>
    <row r="120" s="123" customFormat="1" spans="1:52">
      <c r="A120" s="123" t="s">
        <v>384</v>
      </c>
      <c r="B120" s="123" t="s">
        <v>48</v>
      </c>
      <c r="C120" s="123">
        <v>70</v>
      </c>
      <c r="D120" s="176">
        <v>1.78</v>
      </c>
      <c r="E120" s="123">
        <v>80</v>
      </c>
      <c r="F120" s="189">
        <f>E120/(D120*D120)</f>
        <v>25.2493372048984</v>
      </c>
      <c r="G120" s="123">
        <v>2</v>
      </c>
      <c r="H120" s="177">
        <v>43973</v>
      </c>
      <c r="I120" s="177">
        <v>43972</v>
      </c>
      <c r="J120" s="177">
        <v>43974</v>
      </c>
      <c r="L120" s="178">
        <v>1</v>
      </c>
      <c r="M120" s="178">
        <v>2</v>
      </c>
      <c r="N120" s="179" t="s">
        <v>385</v>
      </c>
      <c r="O120" s="114"/>
      <c r="P120" s="114"/>
      <c r="Q120" s="114"/>
      <c r="R120" s="114">
        <v>1</v>
      </c>
      <c r="S120" s="114"/>
      <c r="T120" s="114">
        <v>1</v>
      </c>
      <c r="U120" s="114">
        <v>0</v>
      </c>
      <c r="V120" s="114">
        <v>1</v>
      </c>
      <c r="W120" s="114">
        <v>0</v>
      </c>
      <c r="X120" s="114">
        <v>1</v>
      </c>
      <c r="Y120" s="114">
        <v>1</v>
      </c>
      <c r="Z120" s="114" t="s">
        <v>300</v>
      </c>
      <c r="AA120" s="114">
        <v>2</v>
      </c>
      <c r="AB120" s="114">
        <f t="shared" si="29"/>
        <v>1</v>
      </c>
      <c r="AC120" s="114">
        <f>_xlfn.IFS(AS120&lt;28,3,AS120=28-35,2,AS120&gt;35,1)</f>
        <v>1</v>
      </c>
      <c r="AD120" s="114">
        <f t="shared" si="30"/>
        <v>1</v>
      </c>
      <c r="AE120" s="114">
        <f>Y120+AA120+AB120+AC120+AD120</f>
        <v>6</v>
      </c>
      <c r="AF120" s="116" t="s">
        <v>59</v>
      </c>
      <c r="AG120" s="114">
        <f>AT120/17.1</f>
        <v>0.684210526315789</v>
      </c>
      <c r="AH120" s="114">
        <f>AU120/88.4</f>
        <v>1.01809954751131</v>
      </c>
      <c r="AI120" s="114">
        <f>AR120</f>
        <v>1.19</v>
      </c>
      <c r="AJ120" s="159">
        <f>LN(IF(AG120&gt;=1,AG120,1))*3.8+LN(IF(AH120&gt;=1,AH120,1))*9.6+11.2*LN(IF(AI120&gt;=1,AI120,1))+6.4*AN120</f>
        <v>2.12047896637451</v>
      </c>
      <c r="AK120" s="160">
        <f>IF(AND(AG120&gt;0,AH120&gt;0,AI120&gt;0),AJ120,"")</f>
        <v>2.12047896637451</v>
      </c>
      <c r="AL120" s="160">
        <f>AK120+1.59*(135-AM120)</f>
        <v>2.12047896637451</v>
      </c>
      <c r="AM120" s="160">
        <f>IF(AV120&gt;135,135,IF(AV120&lt;120,120,AV120))</f>
        <v>135</v>
      </c>
      <c r="AN120" s="114">
        <v>0</v>
      </c>
      <c r="AO120" s="114">
        <v>1</v>
      </c>
      <c r="AP120" s="114">
        <v>2.25</v>
      </c>
      <c r="AQ120" s="114">
        <v>73</v>
      </c>
      <c r="AR120" s="114">
        <v>1.19</v>
      </c>
      <c r="AS120" s="160">
        <v>36</v>
      </c>
      <c r="AT120" s="161">
        <v>11.7</v>
      </c>
      <c r="AU120" s="114">
        <v>90</v>
      </c>
      <c r="AV120" s="114">
        <v>145</v>
      </c>
      <c r="AZ120" s="132" t="s">
        <v>386</v>
      </c>
    </row>
    <row r="121" spans="1:52">
      <c r="A121" s="117" t="s">
        <v>387</v>
      </c>
      <c r="B121" s="117" t="s">
        <v>53</v>
      </c>
      <c r="C121" s="117">
        <v>54</v>
      </c>
      <c r="D121" s="135">
        <v>1.53</v>
      </c>
      <c r="E121" s="117">
        <v>54</v>
      </c>
      <c r="F121" s="136">
        <f>E121/(D121*D121)</f>
        <v>23.0680507497116</v>
      </c>
      <c r="G121" s="135">
        <v>0</v>
      </c>
      <c r="H121" s="158">
        <v>44037</v>
      </c>
      <c r="I121" s="158">
        <v>44037</v>
      </c>
      <c r="J121" s="158">
        <v>44044</v>
      </c>
      <c r="L121" s="137">
        <v>1</v>
      </c>
      <c r="M121" s="138">
        <v>7</v>
      </c>
      <c r="N121" s="139" t="s">
        <v>388</v>
      </c>
      <c r="O121" s="114">
        <v>1</v>
      </c>
      <c r="P121" s="114"/>
      <c r="Q121" s="114"/>
      <c r="R121" s="114"/>
      <c r="S121" s="114"/>
      <c r="T121" s="114">
        <v>1</v>
      </c>
      <c r="U121" s="114">
        <v>0</v>
      </c>
      <c r="V121" s="114">
        <v>1</v>
      </c>
      <c r="W121" s="114">
        <v>0</v>
      </c>
      <c r="X121" s="114">
        <v>1</v>
      </c>
      <c r="Y121" s="114">
        <v>1</v>
      </c>
      <c r="Z121" s="114" t="s">
        <v>300</v>
      </c>
      <c r="AA121" s="114">
        <v>2</v>
      </c>
      <c r="AB121" s="114">
        <f t="shared" si="29"/>
        <v>1</v>
      </c>
      <c r="AC121" s="114">
        <v>2</v>
      </c>
      <c r="AD121" s="114">
        <f t="shared" si="30"/>
        <v>1</v>
      </c>
      <c r="AE121" s="114">
        <f>Y121+AA121+AB121+AC121+AD121</f>
        <v>7</v>
      </c>
      <c r="AF121" s="116" t="s">
        <v>63</v>
      </c>
      <c r="AG121" s="114">
        <f>AT121/17.1</f>
        <v>0.771929824561403</v>
      </c>
      <c r="AH121" s="114">
        <f>AU121/88.4</f>
        <v>0.475113122171946</v>
      </c>
      <c r="AI121" s="114">
        <f>AR121</f>
        <v>1.46</v>
      </c>
      <c r="AJ121" s="159">
        <f>LN(IF(AG121&gt;=1,AG121,1))*3.8+LN(IF(AH121&gt;=1,AH121,1))*9.6+11.2*LN(IF(AI121&gt;=1,AI121,1))+6.4*AN121</f>
        <v>10.6384880800667</v>
      </c>
      <c r="AK121" s="160">
        <f>IF(AND(AG121&gt;0,AH121&gt;0,AI121&gt;0),AJ121,"")</f>
        <v>10.6384880800667</v>
      </c>
      <c r="AL121" s="160">
        <f>AK121+1.59*(135-AM121)</f>
        <v>10.6384880800667</v>
      </c>
      <c r="AM121" s="160">
        <f>IF(AV121&gt;135,135,IF(AV121&lt;120,120,AV121))</f>
        <v>135</v>
      </c>
      <c r="AN121" s="114">
        <v>1</v>
      </c>
      <c r="AO121" s="114">
        <v>1</v>
      </c>
      <c r="AP121" s="114">
        <v>3.12</v>
      </c>
      <c r="AQ121" s="114">
        <v>123</v>
      </c>
      <c r="AR121" s="114">
        <v>1.46</v>
      </c>
      <c r="AS121" s="160">
        <v>33</v>
      </c>
      <c r="AT121" s="161">
        <v>13.2</v>
      </c>
      <c r="AU121" s="114">
        <v>42</v>
      </c>
      <c r="AV121" s="114">
        <v>141</v>
      </c>
      <c r="AZ121" s="119" t="s">
        <v>389</v>
      </c>
    </row>
    <row r="122" spans="1:52">
      <c r="A122" s="117" t="s">
        <v>390</v>
      </c>
      <c r="B122" s="117" t="s">
        <v>48</v>
      </c>
      <c r="C122" s="117">
        <v>60</v>
      </c>
      <c r="D122" s="135">
        <v>1.68</v>
      </c>
      <c r="E122" s="117">
        <v>55</v>
      </c>
      <c r="F122" s="136">
        <f>E122/(D122*D122)</f>
        <v>19.4869614512472</v>
      </c>
      <c r="G122" s="117">
        <v>1</v>
      </c>
      <c r="H122" s="158">
        <v>43986</v>
      </c>
      <c r="I122" s="158">
        <v>43983</v>
      </c>
      <c r="J122" s="158">
        <v>43988</v>
      </c>
      <c r="L122" s="137">
        <v>5</v>
      </c>
      <c r="M122" s="137">
        <v>5</v>
      </c>
      <c r="N122" s="139" t="s">
        <v>391</v>
      </c>
      <c r="O122" s="114">
        <v>1</v>
      </c>
      <c r="P122" s="114"/>
      <c r="Q122" s="114"/>
      <c r="R122" s="114"/>
      <c r="S122" s="114"/>
      <c r="T122" s="114">
        <v>0</v>
      </c>
      <c r="U122" s="114">
        <v>0</v>
      </c>
      <c r="V122" s="114">
        <v>1</v>
      </c>
      <c r="W122" s="114">
        <v>0</v>
      </c>
      <c r="X122" s="114">
        <v>1</v>
      </c>
      <c r="Y122" s="114">
        <v>1</v>
      </c>
      <c r="Z122" s="114" t="s">
        <v>58</v>
      </c>
      <c r="AA122" s="114">
        <v>1</v>
      </c>
      <c r="AB122" s="114">
        <f t="shared" si="29"/>
        <v>1</v>
      </c>
      <c r="AC122" s="114">
        <f>_xlfn.IFS(AS122&lt;28,3,AS122=28-35,2,AS122&gt;35,1)</f>
        <v>1</v>
      </c>
      <c r="AD122" s="114">
        <f t="shared" si="30"/>
        <v>1</v>
      </c>
      <c r="AE122" s="114">
        <f>Y122+AA122+AB122+AC122+AD122</f>
        <v>5</v>
      </c>
      <c r="AF122" s="116" t="s">
        <v>59</v>
      </c>
      <c r="AG122" s="114">
        <f>AT122/17.1</f>
        <v>0.508771929824561</v>
      </c>
      <c r="AH122" s="114">
        <f>AU122/88.4</f>
        <v>0.656108597285068</v>
      </c>
      <c r="AI122" s="114">
        <f>AR122</f>
        <v>1.13</v>
      </c>
      <c r="AJ122" s="159">
        <f>LN(IF(AG122&gt;=1,AG122,1))*3.8+LN(IF(AH122&gt;=1,AH122,1))*9.6+11.2*LN(IF(AI122&gt;=1,AI122,1))+6.4*AN122</f>
        <v>7.76883748651159</v>
      </c>
      <c r="AK122" s="160">
        <f>IF(AND(AG122&gt;0,AH122&gt;0,AI122&gt;0),AJ122,"")</f>
        <v>7.76883748651159</v>
      </c>
      <c r="AL122" s="160">
        <f>AK122+1.59*(135-AM122)</f>
        <v>7.76883748651159</v>
      </c>
      <c r="AM122" s="160">
        <f>IF(AV122&gt;135,135,IF(AV122&lt;120,120,AV122))</f>
        <v>135</v>
      </c>
      <c r="AN122" s="114">
        <v>1</v>
      </c>
      <c r="AO122" s="114">
        <v>1</v>
      </c>
      <c r="AP122" s="114">
        <v>3.6</v>
      </c>
      <c r="AQ122" s="114">
        <v>100</v>
      </c>
      <c r="AR122" s="114">
        <v>1.13</v>
      </c>
      <c r="AS122" s="160">
        <v>36</v>
      </c>
      <c r="AT122" s="161">
        <v>8.7</v>
      </c>
      <c r="AU122" s="114">
        <v>58</v>
      </c>
      <c r="AV122" s="114">
        <v>149</v>
      </c>
      <c r="AZ122" s="119" t="s">
        <v>392</v>
      </c>
    </row>
    <row r="123" s="125" customFormat="1" ht="16.9" customHeight="1" spans="1:52">
      <c r="A123" s="125" t="s">
        <v>190</v>
      </c>
      <c r="B123" s="125" t="s">
        <v>53</v>
      </c>
      <c r="C123" s="125">
        <v>71</v>
      </c>
      <c r="D123" s="185">
        <v>1.62</v>
      </c>
      <c r="E123" s="125">
        <v>55</v>
      </c>
      <c r="F123" s="136">
        <f>E123/(D123*D123)</f>
        <v>20.9571711629325</v>
      </c>
      <c r="G123" s="125">
        <v>1</v>
      </c>
      <c r="H123" s="216" t="s">
        <v>393</v>
      </c>
      <c r="I123" s="186">
        <v>43986</v>
      </c>
      <c r="J123" s="186">
        <v>43997</v>
      </c>
      <c r="K123" s="186">
        <v>44501</v>
      </c>
      <c r="L123" s="187">
        <v>11</v>
      </c>
      <c r="M123" s="187">
        <v>11</v>
      </c>
      <c r="N123" s="188" t="s">
        <v>394</v>
      </c>
      <c r="O123" s="114"/>
      <c r="P123" s="114"/>
      <c r="Q123" s="114"/>
      <c r="R123" s="114">
        <v>1</v>
      </c>
      <c r="S123" s="114"/>
      <c r="T123" s="114">
        <v>1</v>
      </c>
      <c r="U123" s="114">
        <v>0</v>
      </c>
      <c r="V123" s="114">
        <v>1</v>
      </c>
      <c r="W123" s="114">
        <v>0</v>
      </c>
      <c r="X123" s="114">
        <v>1</v>
      </c>
      <c r="Y123" s="114">
        <v>1</v>
      </c>
      <c r="Z123" s="114" t="s">
        <v>300</v>
      </c>
      <c r="AA123" s="114">
        <v>2</v>
      </c>
      <c r="AB123" s="114">
        <f t="shared" si="29"/>
        <v>1</v>
      </c>
      <c r="AC123" s="114">
        <f>_xlfn.IFS(AS123&lt;28,3,AS123=28-35,2,AS123&gt;35,1)</f>
        <v>3</v>
      </c>
      <c r="AD123" s="114">
        <f t="shared" si="30"/>
        <v>1</v>
      </c>
      <c r="AE123" s="114">
        <f>Y123+AA123+AB123+AC123+AD123</f>
        <v>8</v>
      </c>
      <c r="AF123" s="116" t="s">
        <v>63</v>
      </c>
      <c r="AG123" s="114">
        <f>AT123/17.1</f>
        <v>1.01169590643275</v>
      </c>
      <c r="AH123" s="114">
        <f>AU123/88.4</f>
        <v>0.984162895927602</v>
      </c>
      <c r="AI123" s="114">
        <f>AR123</f>
        <v>1.31</v>
      </c>
      <c r="AJ123" s="159">
        <f>LN(IF(AG123&gt;=1,AG123,1))*3.8+LN(IF(AH123&gt;=1,AH123,1))*9.6+11.2*LN(IF(AI123&gt;=1,AI123,1))+6.4*AN123</f>
        <v>3.06849048116773</v>
      </c>
      <c r="AK123" s="160">
        <f>IF(AND(AG123&gt;0,AH123&gt;0,AI123&gt;0),AJ123,"")</f>
        <v>3.06849048116773</v>
      </c>
      <c r="AL123" s="160">
        <f>AK123+1.59*(135-AM123)</f>
        <v>3.06849048116773</v>
      </c>
      <c r="AM123" s="160">
        <f>IF(AV123&gt;135,135,IF(AV123&lt;120,120,AV123))</f>
        <v>135</v>
      </c>
      <c r="AN123" s="114">
        <v>0</v>
      </c>
      <c r="AO123" s="114">
        <v>1</v>
      </c>
      <c r="AP123" s="114">
        <v>2.28</v>
      </c>
      <c r="AQ123" s="114">
        <v>76</v>
      </c>
      <c r="AR123" s="114">
        <v>1.31</v>
      </c>
      <c r="AS123" s="160">
        <v>22</v>
      </c>
      <c r="AT123" s="161">
        <v>17.3</v>
      </c>
      <c r="AU123" s="114">
        <v>87</v>
      </c>
      <c r="AV123" s="114">
        <v>140</v>
      </c>
      <c r="AZ123" s="131" t="s">
        <v>395</v>
      </c>
    </row>
    <row r="124" spans="1:52">
      <c r="A124" s="117" t="s">
        <v>396</v>
      </c>
      <c r="B124" s="117" t="s">
        <v>48</v>
      </c>
      <c r="C124" s="117">
        <v>49</v>
      </c>
      <c r="D124" s="135">
        <v>1.72</v>
      </c>
      <c r="E124" s="117">
        <v>82</v>
      </c>
      <c r="F124" s="136">
        <f>E124/(D124*D124)</f>
        <v>27.7176852352623</v>
      </c>
      <c r="G124" s="117">
        <v>6</v>
      </c>
      <c r="H124" s="158">
        <v>43986</v>
      </c>
      <c r="I124" s="158">
        <v>43984</v>
      </c>
      <c r="J124" s="158">
        <v>43992</v>
      </c>
      <c r="L124" s="137">
        <v>1</v>
      </c>
      <c r="M124" s="138">
        <v>8</v>
      </c>
      <c r="N124" s="139" t="s">
        <v>397</v>
      </c>
      <c r="O124" s="114"/>
      <c r="P124" s="114">
        <v>1</v>
      </c>
      <c r="Q124" s="114"/>
      <c r="R124" s="114"/>
      <c r="S124" s="114"/>
      <c r="T124" s="114">
        <v>1</v>
      </c>
      <c r="U124" s="114">
        <v>0</v>
      </c>
      <c r="V124" s="114">
        <v>1</v>
      </c>
      <c r="W124" s="114">
        <v>0</v>
      </c>
      <c r="X124" s="114">
        <v>1</v>
      </c>
      <c r="Y124" s="114">
        <v>1</v>
      </c>
      <c r="Z124" s="114" t="s">
        <v>300</v>
      </c>
      <c r="AA124" s="114">
        <v>2</v>
      </c>
      <c r="AB124" s="114">
        <f t="shared" si="29"/>
        <v>1</v>
      </c>
      <c r="AC124" s="114">
        <v>2</v>
      </c>
      <c r="AD124" s="114">
        <f t="shared" si="30"/>
        <v>1</v>
      </c>
      <c r="AE124" s="114">
        <f>Y124+AA124+AB124+AC124+AD124</f>
        <v>7</v>
      </c>
      <c r="AF124" s="116" t="s">
        <v>63</v>
      </c>
      <c r="AG124" s="114">
        <f>AT124/17.1</f>
        <v>1.28070175438596</v>
      </c>
      <c r="AH124" s="114">
        <f>AU124/88.4</f>
        <v>1.22171945701357</v>
      </c>
      <c r="AI124" s="114">
        <f>AR124</f>
        <v>1.22</v>
      </c>
      <c r="AJ124" s="159">
        <f>LN(IF(AG124&gt;=1,AG124,1))*3.8+LN(IF(AH124&gt;=1,AH124,1))*9.6+11.2*LN(IF(AI124&gt;=1,AI124,1))+6.4*AN124</f>
        <v>5.08976954835241</v>
      </c>
      <c r="AK124" s="160">
        <f>IF(AND(AG124&gt;0,AH124&gt;0,AI124&gt;0),AJ124,"")</f>
        <v>5.08976954835241</v>
      </c>
      <c r="AL124" s="160">
        <f>AK124+1.59*(135-AM124)</f>
        <v>5.08976954835241</v>
      </c>
      <c r="AM124" s="160">
        <f>IF(AV124&gt;135,135,IF(AV124&lt;120,120,AV124))</f>
        <v>135</v>
      </c>
      <c r="AN124" s="114">
        <v>0</v>
      </c>
      <c r="AO124" s="114">
        <v>1</v>
      </c>
      <c r="AP124" s="114">
        <v>4.46</v>
      </c>
      <c r="AQ124" s="114">
        <v>79</v>
      </c>
      <c r="AR124" s="114">
        <v>1.22</v>
      </c>
      <c r="AS124" s="160">
        <v>30</v>
      </c>
      <c r="AT124" s="161">
        <v>21.9</v>
      </c>
      <c r="AU124" s="114">
        <v>108</v>
      </c>
      <c r="AV124" s="114">
        <v>144</v>
      </c>
      <c r="AZ124" s="119" t="s">
        <v>398</v>
      </c>
    </row>
    <row r="125" s="128" customFormat="1" spans="1:52">
      <c r="A125" s="128" t="s">
        <v>399</v>
      </c>
      <c r="B125" s="128" t="s">
        <v>48</v>
      </c>
      <c r="C125" s="128">
        <v>34</v>
      </c>
      <c r="D125" s="204">
        <v>1.67</v>
      </c>
      <c r="E125" s="128">
        <v>90</v>
      </c>
      <c r="F125" s="205">
        <f>E125/(D125*D125)</f>
        <v>32.2707877657858</v>
      </c>
      <c r="G125" s="204">
        <v>1</v>
      </c>
      <c r="H125" s="206">
        <v>43995</v>
      </c>
      <c r="I125" s="206">
        <v>43990</v>
      </c>
      <c r="J125" s="206">
        <v>43998</v>
      </c>
      <c r="L125" s="207">
        <v>1</v>
      </c>
      <c r="M125" s="207">
        <v>8</v>
      </c>
      <c r="N125" s="208" t="s">
        <v>400</v>
      </c>
      <c r="O125" s="114">
        <v>1</v>
      </c>
      <c r="P125" s="114"/>
      <c r="Q125" s="114"/>
      <c r="R125" s="114"/>
      <c r="S125" s="114"/>
      <c r="T125" s="114">
        <v>1</v>
      </c>
      <c r="U125" s="114">
        <v>0</v>
      </c>
      <c r="V125" s="114">
        <v>0</v>
      </c>
      <c r="W125" s="114">
        <v>0</v>
      </c>
      <c r="X125" s="114">
        <v>1</v>
      </c>
      <c r="Y125" s="114">
        <v>1</v>
      </c>
      <c r="Z125" s="114" t="s">
        <v>300</v>
      </c>
      <c r="AA125" s="114">
        <v>2</v>
      </c>
      <c r="AB125" s="114">
        <f>_xlfn.IFS(AT125&lt;34,1,AT125=34-51,2,AT125&gt;51,3)</f>
        <v>1</v>
      </c>
      <c r="AC125" s="114">
        <v>2</v>
      </c>
      <c r="AD125" s="114">
        <f>_xlfn.IFS(AR125&lt;1.7,1,AR125=1.7-2.3,2,AR125&gt;2.3,3)</f>
        <v>1</v>
      </c>
      <c r="AE125" s="114">
        <f>Y125+AA125+AB125+AC125+AD125</f>
        <v>7</v>
      </c>
      <c r="AF125" s="116" t="s">
        <v>63</v>
      </c>
      <c r="AG125" s="114">
        <f>AT125/17.1</f>
        <v>0.666666666666667</v>
      </c>
      <c r="AH125" s="114">
        <f>AU125/88.4</f>
        <v>0.746606334841629</v>
      </c>
      <c r="AI125" s="114">
        <f>AR125</f>
        <v>1.25</v>
      </c>
      <c r="AJ125" s="159">
        <f>LN(IF(AG125&gt;=1,AG125,1))*3.8+LN(IF(AH125&gt;=1,AH125,1))*9.6+11.2*LN(IF(AI125&gt;=1,AI125,1))+6.4*AN125</f>
        <v>8.89920777471915</v>
      </c>
      <c r="AK125" s="160">
        <f>IF(AND(AG125&gt;0,AH125&gt;0,AI125&gt;0),AJ125,"")</f>
        <v>8.89920777471915</v>
      </c>
      <c r="AL125" s="160">
        <f>AK125+1.59*(135-AM125)</f>
        <v>8.89920777471915</v>
      </c>
      <c r="AM125" s="160">
        <f>IF(AV125&gt;135,135,IF(AV125&lt;120,120,AV125))</f>
        <v>135</v>
      </c>
      <c r="AN125" s="114">
        <v>1</v>
      </c>
      <c r="AO125" s="114">
        <v>1</v>
      </c>
      <c r="AP125" s="114">
        <v>2.16</v>
      </c>
      <c r="AQ125" s="114">
        <v>82</v>
      </c>
      <c r="AR125" s="114">
        <v>1.25</v>
      </c>
      <c r="AS125" s="160">
        <v>34</v>
      </c>
      <c r="AT125" s="161">
        <v>11.4</v>
      </c>
      <c r="AU125" s="114">
        <v>66</v>
      </c>
      <c r="AV125" s="114">
        <v>144</v>
      </c>
      <c r="AZ125" s="209" t="s">
        <v>58</v>
      </c>
    </row>
    <row r="126" s="125" customFormat="1" spans="1:52">
      <c r="A126" s="125" t="s">
        <v>401</v>
      </c>
      <c r="B126" s="125" t="s">
        <v>53</v>
      </c>
      <c r="C126" s="125">
        <v>53</v>
      </c>
      <c r="D126" s="185">
        <v>1.69</v>
      </c>
      <c r="E126" s="125">
        <v>62.5</v>
      </c>
      <c r="F126" s="136">
        <f>E126/(D126*D126)</f>
        <v>21.882987290361</v>
      </c>
      <c r="G126" s="125">
        <v>7</v>
      </c>
      <c r="H126" s="186">
        <v>44002</v>
      </c>
      <c r="I126" s="186">
        <v>44000</v>
      </c>
      <c r="J126" s="186">
        <v>44011</v>
      </c>
      <c r="K126" s="186">
        <v>44044</v>
      </c>
      <c r="L126" s="187">
        <v>1</v>
      </c>
      <c r="M126" s="187">
        <v>11</v>
      </c>
      <c r="N126" s="188" t="s">
        <v>402</v>
      </c>
      <c r="O126" s="114"/>
      <c r="P126" s="114"/>
      <c r="Q126" s="114"/>
      <c r="R126" s="114">
        <v>1</v>
      </c>
      <c r="S126" s="114"/>
      <c r="T126" s="114">
        <v>1</v>
      </c>
      <c r="U126" s="114">
        <v>0</v>
      </c>
      <c r="V126" s="114">
        <v>1</v>
      </c>
      <c r="W126" s="114">
        <v>0</v>
      </c>
      <c r="X126" s="114">
        <v>1</v>
      </c>
      <c r="Y126" s="114">
        <v>1</v>
      </c>
      <c r="Z126" s="114" t="s">
        <v>321</v>
      </c>
      <c r="AA126" s="114">
        <v>3</v>
      </c>
      <c r="AB126" s="114">
        <f>_xlfn.IFS(AT126&lt;34,1,AT126=34-51,2,AT126&gt;51,3)</f>
        <v>3</v>
      </c>
      <c r="AC126" s="114">
        <f>_xlfn.IFS(AS126&lt;28,3,AS126=28-35,2,AS126&gt;35,1)</f>
        <v>3</v>
      </c>
      <c r="AD126" s="114">
        <v>2</v>
      </c>
      <c r="AE126" s="114">
        <f>Y126+AA126+AB126+AC126+AD126</f>
        <v>12</v>
      </c>
      <c r="AF126" s="116" t="s">
        <v>50</v>
      </c>
      <c r="AG126" s="114">
        <f>AT126/17.1</f>
        <v>26.8479532163743</v>
      </c>
      <c r="AH126" s="114">
        <f>AU126/88.4</f>
        <v>0.633484162895928</v>
      </c>
      <c r="AI126" s="114">
        <f>AR126</f>
        <v>1.87</v>
      </c>
      <c r="AJ126" s="159">
        <f>LN(IF(AG126&gt;=1,AG126,1))*3.8+LN(IF(AH126&gt;=1,AH126,1))*9.6+11.2*LN(IF(AI126&gt;=1,AI126,1))+6.4*AN126</f>
        <v>19.5132308591417</v>
      </c>
      <c r="AK126" s="160">
        <f>IF(AND(AG126&gt;0,AH126&gt;0,AI126&gt;0),AJ126,"")</f>
        <v>19.5132308591417</v>
      </c>
      <c r="AL126" s="160">
        <f>AK126+1.59*(135-AM126)</f>
        <v>19.5132308591417</v>
      </c>
      <c r="AM126" s="160">
        <f>IF(AV126&gt;135,135,IF(AV126&lt;120,120,AV126))</f>
        <v>135</v>
      </c>
      <c r="AN126" s="114">
        <v>0</v>
      </c>
      <c r="AO126" s="114">
        <v>3</v>
      </c>
      <c r="AP126" s="114">
        <v>4.75</v>
      </c>
      <c r="AQ126" s="114">
        <v>82</v>
      </c>
      <c r="AR126" s="114">
        <v>1.87</v>
      </c>
      <c r="AS126" s="160">
        <v>25</v>
      </c>
      <c r="AT126" s="161">
        <v>459.1</v>
      </c>
      <c r="AU126" s="114">
        <v>56</v>
      </c>
      <c r="AV126" s="114">
        <v>136</v>
      </c>
      <c r="AZ126" s="131" t="s">
        <v>403</v>
      </c>
    </row>
    <row r="127" s="125" customFormat="1" spans="1:52">
      <c r="A127" s="125" t="s">
        <v>404</v>
      </c>
      <c r="B127" s="125" t="s">
        <v>48</v>
      </c>
      <c r="C127" s="125">
        <v>56</v>
      </c>
      <c r="D127" s="185">
        <v>1.65</v>
      </c>
      <c r="E127" s="125">
        <v>51</v>
      </c>
      <c r="F127" s="136">
        <f>E127/(D127*D127)</f>
        <v>18.732782369146</v>
      </c>
      <c r="G127" s="185">
        <v>6</v>
      </c>
      <c r="H127" s="186">
        <v>44002</v>
      </c>
      <c r="I127" s="186">
        <v>43997</v>
      </c>
      <c r="J127" s="186">
        <v>44008</v>
      </c>
      <c r="K127" s="186">
        <v>44287</v>
      </c>
      <c r="L127" s="187">
        <v>1</v>
      </c>
      <c r="M127" s="187">
        <v>11</v>
      </c>
      <c r="N127" s="188" t="s">
        <v>405</v>
      </c>
      <c r="O127" s="114"/>
      <c r="P127" s="114">
        <v>1</v>
      </c>
      <c r="Q127" s="114"/>
      <c r="R127" s="114"/>
      <c r="S127" s="114"/>
      <c r="T127" s="114">
        <v>1</v>
      </c>
      <c r="U127" s="114">
        <v>0</v>
      </c>
      <c r="V127" s="114">
        <v>0</v>
      </c>
      <c r="W127" s="114">
        <v>0</v>
      </c>
      <c r="X127" s="114">
        <v>1</v>
      </c>
      <c r="Y127" s="114">
        <v>1</v>
      </c>
      <c r="Z127" s="114" t="s">
        <v>321</v>
      </c>
      <c r="AA127" s="114">
        <v>3</v>
      </c>
      <c r="AB127" s="114">
        <f>_xlfn.IFS(AT127&lt;34,1,AT127=34-51,2,AT127&gt;51,3)</f>
        <v>1</v>
      </c>
      <c r="AC127" s="114">
        <v>2</v>
      </c>
      <c r="AD127" s="114">
        <f>_xlfn.IFS(AR127&lt;1.7,1,AR127=1.7-2.3,2,AR127&gt;2.3,3)</f>
        <v>1</v>
      </c>
      <c r="AE127" s="114">
        <f>Y127+AA127+AB127+AC127+AD127</f>
        <v>8</v>
      </c>
      <c r="AF127" s="116" t="s">
        <v>63</v>
      </c>
      <c r="AG127" s="114">
        <f>AT127/17.1</f>
        <v>1.88304093567251</v>
      </c>
      <c r="AH127" s="114">
        <f>AU127/88.4</f>
        <v>0.644796380090498</v>
      </c>
      <c r="AI127" s="114">
        <f>AR127</f>
        <v>1.27</v>
      </c>
      <c r="AJ127" s="159">
        <f>LN(IF(AG127&gt;=1,AG127,1))*3.8+LN(IF(AH127&gt;=1,AH127,1))*9.6+11.2*LN(IF(AI127&gt;=1,AI127,1))+6.4*AN127</f>
        <v>5.08196364362824</v>
      </c>
      <c r="AK127" s="160">
        <f>IF(AND(AG127&gt;0,AH127&gt;0,AI127&gt;0),AJ127,"")</f>
        <v>5.08196364362824</v>
      </c>
      <c r="AL127" s="160">
        <f>AK127+1.59*(135-AM127)</f>
        <v>8.26196364362824</v>
      </c>
      <c r="AM127" s="160">
        <f>IF(AV127&gt;135,135,IF(AV127&lt;120,120,AV127))</f>
        <v>133</v>
      </c>
      <c r="AN127" s="114">
        <v>0</v>
      </c>
      <c r="AO127" s="114">
        <v>1</v>
      </c>
      <c r="AP127" s="114">
        <v>3.99</v>
      </c>
      <c r="AQ127" s="114">
        <v>103</v>
      </c>
      <c r="AR127" s="114">
        <v>1.27</v>
      </c>
      <c r="AS127" s="160">
        <v>28</v>
      </c>
      <c r="AT127" s="161">
        <v>32.2</v>
      </c>
      <c r="AU127" s="114">
        <v>57</v>
      </c>
      <c r="AV127" s="114">
        <v>133</v>
      </c>
      <c r="AZ127" s="131" t="s">
        <v>406</v>
      </c>
    </row>
    <row r="128" s="128" customFormat="1" spans="1:52">
      <c r="A128" s="128" t="s">
        <v>407</v>
      </c>
      <c r="B128" s="128" t="s">
        <v>48</v>
      </c>
      <c r="C128" s="128">
        <v>65</v>
      </c>
      <c r="D128" s="204">
        <v>1.78</v>
      </c>
      <c r="E128" s="128">
        <v>78</v>
      </c>
      <c r="F128" s="205">
        <f>E128/(D128*D128)</f>
        <v>24.6181037747759</v>
      </c>
      <c r="G128" s="204">
        <v>6</v>
      </c>
      <c r="H128" s="206">
        <v>44002</v>
      </c>
      <c r="I128" s="206">
        <v>43997</v>
      </c>
      <c r="J128" s="206">
        <v>44010</v>
      </c>
      <c r="L128" s="207">
        <v>1</v>
      </c>
      <c r="M128" s="207">
        <v>13</v>
      </c>
      <c r="N128" s="208" t="s">
        <v>408</v>
      </c>
      <c r="O128" s="114"/>
      <c r="P128" s="114">
        <v>1</v>
      </c>
      <c r="Q128" s="114">
        <v>1</v>
      </c>
      <c r="R128" s="114"/>
      <c r="S128" s="114"/>
      <c r="T128" s="114">
        <v>1</v>
      </c>
      <c r="U128" s="114">
        <v>0</v>
      </c>
      <c r="V128" s="114">
        <v>1</v>
      </c>
      <c r="W128" s="114">
        <v>0</v>
      </c>
      <c r="X128" s="114">
        <v>1</v>
      </c>
      <c r="Y128" s="114">
        <v>1</v>
      </c>
      <c r="Z128" s="114" t="s">
        <v>300</v>
      </c>
      <c r="AA128" s="114">
        <v>2</v>
      </c>
      <c r="AB128" s="114">
        <f>_xlfn.IFS(AT128&lt;34,1,AT128=34-51,2,AT128&gt;51,3)</f>
        <v>1</v>
      </c>
      <c r="AC128" s="114">
        <f>_xlfn.IFS(AS128&lt;28,3,AS128=28-35,2,AS128&gt;35,1)</f>
        <v>3</v>
      </c>
      <c r="AD128" s="114">
        <f>_xlfn.IFS(AR128&lt;1.7,1,AR128=1.7-2.3,2,AR128&gt;2.3,3)</f>
        <v>1</v>
      </c>
      <c r="AE128" s="114">
        <f>Y128+AA128+AB128+AC128+AD128</f>
        <v>8</v>
      </c>
      <c r="AF128" s="116" t="s">
        <v>63</v>
      </c>
      <c r="AG128" s="114">
        <f>AT128/17.1</f>
        <v>0.39766081871345</v>
      </c>
      <c r="AH128" s="114">
        <f>AU128/88.4</f>
        <v>0.780542986425339</v>
      </c>
      <c r="AI128" s="114">
        <f>AR128</f>
        <v>1.17</v>
      </c>
      <c r="AJ128" s="159">
        <f>LN(IF(AG128&gt;=1,AG128,1))*3.8+LN(IF(AH128&gt;=1,AH128,1))*9.6+11.2*LN(IF(AI128&gt;=1,AI128,1))+6.4*AN128</f>
        <v>1.75844198666824</v>
      </c>
      <c r="AK128" s="160">
        <f>IF(AND(AG128&gt;0,AH128&gt;0,AI128&gt;0),AJ128,"")</f>
        <v>1.75844198666824</v>
      </c>
      <c r="AL128" s="160">
        <f>AK128+1.59*(135-AM128)</f>
        <v>1.75844198666824</v>
      </c>
      <c r="AM128" s="160">
        <f>IF(AV128&gt;135,135,IF(AV128&lt;120,120,AV128))</f>
        <v>135</v>
      </c>
      <c r="AN128" s="114">
        <v>0</v>
      </c>
      <c r="AO128" s="114">
        <v>1</v>
      </c>
      <c r="AP128" s="114">
        <v>3.39</v>
      </c>
      <c r="AQ128" s="114">
        <v>86</v>
      </c>
      <c r="AR128" s="114">
        <v>1.17</v>
      </c>
      <c r="AS128" s="160">
        <v>25</v>
      </c>
      <c r="AT128" s="161">
        <v>6.8</v>
      </c>
      <c r="AU128" s="114">
        <v>69</v>
      </c>
      <c r="AV128" s="114">
        <v>151</v>
      </c>
      <c r="AZ128" s="209" t="s">
        <v>409</v>
      </c>
    </row>
    <row r="129" s="123" customFormat="1" spans="1:52">
      <c r="A129" s="123" t="s">
        <v>410</v>
      </c>
      <c r="B129" s="123" t="s">
        <v>53</v>
      </c>
      <c r="C129" s="123">
        <v>57</v>
      </c>
      <c r="D129" s="176">
        <v>1.73</v>
      </c>
      <c r="E129" s="123">
        <v>80</v>
      </c>
      <c r="F129" s="136">
        <f>E129/(D129*D129)</f>
        <v>26.7299274950717</v>
      </c>
      <c r="G129" s="176">
        <v>2</v>
      </c>
      <c r="H129" s="177">
        <v>44006</v>
      </c>
      <c r="I129" s="177">
        <v>44001</v>
      </c>
      <c r="J129" s="177">
        <v>44015</v>
      </c>
      <c r="L129" s="178">
        <v>2</v>
      </c>
      <c r="M129" s="178">
        <v>14</v>
      </c>
      <c r="N129" s="179" t="s">
        <v>411</v>
      </c>
      <c r="O129" s="114"/>
      <c r="P129" s="114"/>
      <c r="Q129" s="114"/>
      <c r="R129" s="114">
        <v>1</v>
      </c>
      <c r="S129" s="114"/>
      <c r="T129" s="114">
        <v>1</v>
      </c>
      <c r="U129" s="114">
        <v>0</v>
      </c>
      <c r="V129" s="114">
        <v>1</v>
      </c>
      <c r="W129" s="114">
        <v>0</v>
      </c>
      <c r="X129" s="114">
        <v>1</v>
      </c>
      <c r="Y129" s="114">
        <v>1</v>
      </c>
      <c r="Z129" s="114" t="s">
        <v>300</v>
      </c>
      <c r="AA129" s="114">
        <v>2</v>
      </c>
      <c r="AB129" s="114">
        <f>_xlfn.IFS(AT129&lt;34,1,AT129=34-51,2,AT129&gt;51,3)</f>
        <v>1</v>
      </c>
      <c r="AC129" s="114">
        <v>2</v>
      </c>
      <c r="AD129" s="114">
        <f>_xlfn.IFS(AR129&lt;1.7,1,AR129=1.7-2.3,2,AR129&gt;2.3,3)</f>
        <v>1</v>
      </c>
      <c r="AE129" s="114">
        <f t="shared" ref="AE129:AE143" si="31">Y129+AA129+AB129+AC129+AD129</f>
        <v>7</v>
      </c>
      <c r="AF129" s="116" t="s">
        <v>63</v>
      </c>
      <c r="AG129" s="114">
        <f>AT129/17.1</f>
        <v>1.92982456140351</v>
      </c>
      <c r="AH129" s="114">
        <f>AU129/88.4</f>
        <v>0.565610859728507</v>
      </c>
      <c r="AI129" s="114">
        <f>AR129</f>
        <v>1.2</v>
      </c>
      <c r="AJ129" s="159">
        <f>LN(IF(AG129&gt;=1,AG129,1))*3.8+LN(IF(AH129&gt;=1,AH129,1))*9.6+11.2*LN(IF(AI129&gt;=1,AI129,1))+6.4*AN129</f>
        <v>4.54023200833218</v>
      </c>
      <c r="AK129" s="160">
        <f>IF(AND(AG129&gt;0,AH129&gt;0,AI129&gt;0),AJ129,"")</f>
        <v>4.54023200833218</v>
      </c>
      <c r="AL129" s="160">
        <f>AK129+1.59*(135-AM129)</f>
        <v>4.54023200833218</v>
      </c>
      <c r="AM129" s="160">
        <f>IF(AV129&gt;135,135,IF(AV129&lt;120,120,AV129))</f>
        <v>135</v>
      </c>
      <c r="AN129" s="114">
        <v>0</v>
      </c>
      <c r="AO129" s="114">
        <v>1</v>
      </c>
      <c r="AP129" s="114">
        <v>3.97</v>
      </c>
      <c r="AQ129" s="114">
        <v>93</v>
      </c>
      <c r="AR129" s="114">
        <v>1.2</v>
      </c>
      <c r="AS129" s="160">
        <v>34</v>
      </c>
      <c r="AT129" s="161">
        <v>33</v>
      </c>
      <c r="AU129" s="114">
        <v>50</v>
      </c>
      <c r="AV129" s="114">
        <v>140</v>
      </c>
      <c r="AZ129" s="132" t="s">
        <v>412</v>
      </c>
    </row>
    <row r="130" spans="1:52">
      <c r="A130" s="117" t="s">
        <v>413</v>
      </c>
      <c r="B130" s="117" t="s">
        <v>48</v>
      </c>
      <c r="C130" s="117">
        <v>41</v>
      </c>
      <c r="D130" s="135">
        <v>1.65</v>
      </c>
      <c r="E130" s="117">
        <v>71</v>
      </c>
      <c r="F130" s="136">
        <f>E130/(D130*D130)</f>
        <v>26.078971533517</v>
      </c>
      <c r="G130" s="135">
        <v>1</v>
      </c>
      <c r="H130" s="158">
        <v>44006</v>
      </c>
      <c r="I130" s="158">
        <v>43997</v>
      </c>
      <c r="J130" s="158">
        <v>44013</v>
      </c>
      <c r="L130" s="137">
        <v>1</v>
      </c>
      <c r="M130" s="138">
        <v>16</v>
      </c>
      <c r="N130" s="139" t="s">
        <v>414</v>
      </c>
      <c r="O130" s="114">
        <v>1</v>
      </c>
      <c r="P130" s="114"/>
      <c r="Q130" s="114"/>
      <c r="R130" s="114"/>
      <c r="S130" s="114"/>
      <c r="T130" s="114">
        <v>1</v>
      </c>
      <c r="U130" s="114">
        <v>1</v>
      </c>
      <c r="V130" s="114">
        <v>1</v>
      </c>
      <c r="W130" s="114">
        <v>0</v>
      </c>
      <c r="X130" s="114">
        <v>1</v>
      </c>
      <c r="Y130" s="114">
        <v>2</v>
      </c>
      <c r="Z130" s="114" t="s">
        <v>321</v>
      </c>
      <c r="AA130" s="114">
        <v>3</v>
      </c>
      <c r="AB130" s="114">
        <f>_xlfn.IFS(AT130&lt;34,1,AT130=34-51,2,AT130&gt;51,3)</f>
        <v>1</v>
      </c>
      <c r="AC130" s="114">
        <f>_xlfn.IFS(AS130&lt;28,3,AS130=28-35,2,AS130&gt;35,1)</f>
        <v>3</v>
      </c>
      <c r="AD130" s="114">
        <f>_xlfn.IFS(AR130&lt;1.7,1,AR130=1.7-2.3,2,AR130&gt;2.3,3)</f>
        <v>1</v>
      </c>
      <c r="AE130" s="114">
        <f t="shared" si="31"/>
        <v>10</v>
      </c>
      <c r="AF130" s="116" t="s">
        <v>50</v>
      </c>
      <c r="AG130" s="114">
        <f>AT130/17.1</f>
        <v>1.68421052631579</v>
      </c>
      <c r="AH130" s="114">
        <f>AU130/88.4</f>
        <v>0.984162895927602</v>
      </c>
      <c r="AI130" s="114">
        <f>AR130</f>
        <v>1.3</v>
      </c>
      <c r="AJ130" s="159">
        <f>LN(IF(AG130&gt;=1,AG130,1))*3.8+LN(IF(AH130&gt;=1,AH130,1))*9.6+11.2*LN(IF(AI130&gt;=1,AI130,1))+6.4*AN130</f>
        <v>11.3194080718424</v>
      </c>
      <c r="AK130" s="160">
        <f>IF(AND(AG130&gt;0,AH130&gt;0,AI130&gt;0),AJ130,"")</f>
        <v>11.3194080718424</v>
      </c>
      <c r="AL130" s="160">
        <f>AK130+1.59*(135-AM130)</f>
        <v>11.3194080718424</v>
      </c>
      <c r="AM130" s="160">
        <f>IF(AV130&gt;135,135,IF(AV130&lt;120,120,AV130))</f>
        <v>135</v>
      </c>
      <c r="AN130" s="114">
        <v>1</v>
      </c>
      <c r="AO130" s="114">
        <v>1</v>
      </c>
      <c r="AP130" s="114">
        <v>1.57</v>
      </c>
      <c r="AQ130" s="114">
        <v>76</v>
      </c>
      <c r="AR130" s="114">
        <v>1.3</v>
      </c>
      <c r="AS130" s="160">
        <v>27</v>
      </c>
      <c r="AT130" s="161">
        <v>28.8</v>
      </c>
      <c r="AU130" s="114">
        <v>87</v>
      </c>
      <c r="AV130" s="114">
        <v>141</v>
      </c>
      <c r="AZ130" s="119" t="s">
        <v>415</v>
      </c>
    </row>
    <row r="131" s="125" customFormat="1" spans="1:52">
      <c r="A131" s="125" t="s">
        <v>416</v>
      </c>
      <c r="B131" s="125" t="s">
        <v>53</v>
      </c>
      <c r="C131" s="125">
        <v>55</v>
      </c>
      <c r="D131" s="185">
        <v>1.6</v>
      </c>
      <c r="E131" s="125">
        <v>60</v>
      </c>
      <c r="F131" s="136">
        <f>E131/(D131*D131)</f>
        <v>23.4375</v>
      </c>
      <c r="G131" s="125">
        <v>1</v>
      </c>
      <c r="H131" s="186">
        <v>44012</v>
      </c>
      <c r="I131" s="186">
        <v>44000</v>
      </c>
      <c r="J131" s="186">
        <v>44037</v>
      </c>
      <c r="K131" s="186">
        <v>44039</v>
      </c>
      <c r="L131" s="187">
        <v>3</v>
      </c>
      <c r="M131" s="187">
        <v>37</v>
      </c>
      <c r="N131" s="188" t="s">
        <v>417</v>
      </c>
      <c r="O131" s="114"/>
      <c r="P131" s="114"/>
      <c r="Q131" s="114"/>
      <c r="R131" s="114">
        <v>1</v>
      </c>
      <c r="S131" s="114"/>
      <c r="T131" s="114">
        <v>1</v>
      </c>
      <c r="U131" s="114">
        <v>1</v>
      </c>
      <c r="V131" s="114">
        <v>1</v>
      </c>
      <c r="W131" s="114">
        <v>0</v>
      </c>
      <c r="X131" s="114">
        <v>1</v>
      </c>
      <c r="Y131" s="114">
        <v>2</v>
      </c>
      <c r="Z131" s="114" t="s">
        <v>300</v>
      </c>
      <c r="AA131" s="114">
        <v>2</v>
      </c>
      <c r="AB131" s="114">
        <v>2</v>
      </c>
      <c r="AC131" s="114">
        <v>2</v>
      </c>
      <c r="AD131" s="114">
        <v>2</v>
      </c>
      <c r="AE131" s="114">
        <f t="shared" si="31"/>
        <v>10</v>
      </c>
      <c r="AF131" s="116" t="s">
        <v>50</v>
      </c>
      <c r="AG131" s="114">
        <f>AT131/17.1</f>
        <v>7.32163742690058</v>
      </c>
      <c r="AH131" s="114">
        <f>AU131/88.4</f>
        <v>0.599547511312217</v>
      </c>
      <c r="AI131" s="114">
        <f>AR131</f>
        <v>1.76</v>
      </c>
      <c r="AJ131" s="159">
        <f>LN(IF(AG131&gt;=1,AG131,1))*3.8+LN(IF(AH131&gt;=1,AH131,1))*9.6+11.2*LN(IF(AI131&gt;=1,AI131,1))+6.4*AN131</f>
        <v>13.8966838429587</v>
      </c>
      <c r="AK131" s="160">
        <f>IF(AND(AG131&gt;0,AH131&gt;0,AI131&gt;0),AJ131,"")</f>
        <v>13.8966838429587</v>
      </c>
      <c r="AL131" s="160">
        <f>AK131+1.59*(135-AM131)</f>
        <v>31.3866838429587</v>
      </c>
      <c r="AM131" s="160">
        <f>IF(AV131&gt;135,135,IF(AV131&lt;120,120,AV131))</f>
        <v>124</v>
      </c>
      <c r="AN131" s="114">
        <v>0</v>
      </c>
      <c r="AO131" s="114">
        <v>1</v>
      </c>
      <c r="AP131" s="114">
        <v>5.1</v>
      </c>
      <c r="AQ131" s="114">
        <v>98</v>
      </c>
      <c r="AR131" s="114">
        <v>1.76</v>
      </c>
      <c r="AS131" s="160">
        <v>26</v>
      </c>
      <c r="AT131" s="161">
        <v>125.2</v>
      </c>
      <c r="AU131" s="114">
        <v>53</v>
      </c>
      <c r="AV131" s="114">
        <v>124</v>
      </c>
      <c r="AZ131" s="131" t="s">
        <v>418</v>
      </c>
    </row>
    <row r="132" spans="1:52">
      <c r="A132" s="117" t="s">
        <v>419</v>
      </c>
      <c r="B132" s="117" t="s">
        <v>48</v>
      </c>
      <c r="C132" s="117">
        <v>74</v>
      </c>
      <c r="D132" s="135">
        <v>1.69</v>
      </c>
      <c r="E132" s="117">
        <v>50.5</v>
      </c>
      <c r="F132" s="136">
        <f>E132/(D132*D132)</f>
        <v>17.6814537306117</v>
      </c>
      <c r="G132" s="135">
        <v>3</v>
      </c>
      <c r="H132" s="158">
        <v>44006</v>
      </c>
      <c r="I132" s="158">
        <v>44001</v>
      </c>
      <c r="J132" s="158">
        <v>44013</v>
      </c>
      <c r="L132" s="137">
        <v>1</v>
      </c>
      <c r="M132" s="138">
        <v>12</v>
      </c>
      <c r="N132" s="139" t="s">
        <v>420</v>
      </c>
      <c r="O132" s="114"/>
      <c r="P132" s="114"/>
      <c r="Q132" s="114">
        <v>1</v>
      </c>
      <c r="R132" s="114"/>
      <c r="S132" s="114"/>
      <c r="T132" s="114">
        <v>1</v>
      </c>
      <c r="U132" s="114">
        <v>0</v>
      </c>
      <c r="V132" s="114">
        <v>0</v>
      </c>
      <c r="W132" s="114">
        <v>0</v>
      </c>
      <c r="X132" s="114">
        <v>0</v>
      </c>
      <c r="Y132" s="114">
        <v>1</v>
      </c>
      <c r="Z132" s="114" t="s">
        <v>321</v>
      </c>
      <c r="AA132" s="114">
        <v>3</v>
      </c>
      <c r="AB132" s="114">
        <f>_xlfn.IFS(AT132&lt;34,1,AT132=34-51,2,AT132&gt;51,3)</f>
        <v>1</v>
      </c>
      <c r="AC132" s="114">
        <f>_xlfn.IFS(AS132&lt;28,3,AS132=28-35,2,AS132&gt;35,1)</f>
        <v>3</v>
      </c>
      <c r="AD132" s="114">
        <f>_xlfn.IFS(AR132&lt;1.7,1,AR132=1.7-2.3,2,AR132&gt;2.3,3)</f>
        <v>1</v>
      </c>
      <c r="AE132" s="114">
        <f t="shared" si="31"/>
        <v>9</v>
      </c>
      <c r="AF132" s="116" t="s">
        <v>63</v>
      </c>
      <c r="AG132" s="114">
        <f>AT132/17.1</f>
        <v>1.2280701754386</v>
      </c>
      <c r="AH132" s="114">
        <f>AU132/88.4</f>
        <v>0.82579185520362</v>
      </c>
      <c r="AI132" s="114">
        <f>AR132</f>
        <v>1.38</v>
      </c>
      <c r="AJ132" s="159">
        <f>LN(IF(AG132&gt;=1,AG132,1))*3.8+LN(IF(AH132&gt;=1,AH132,1))*9.6+11.2*LN(IF(AI132&gt;=1,AI132,1))+6.4*AN132</f>
        <v>10.7880222927103</v>
      </c>
      <c r="AK132" s="160">
        <f>IF(AND(AG132&gt;0,AH132&gt;0,AI132&gt;0),AJ132,"")</f>
        <v>10.7880222927103</v>
      </c>
      <c r="AL132" s="160">
        <f>AK132+1.59*(135-AM132)</f>
        <v>10.7880222927103</v>
      </c>
      <c r="AM132" s="160">
        <f>IF(AV132&gt;135,135,IF(AV132&lt;120,120,AV132))</f>
        <v>135</v>
      </c>
      <c r="AN132" s="114">
        <v>1</v>
      </c>
      <c r="AO132" s="114">
        <v>1</v>
      </c>
      <c r="AP132" s="114">
        <v>3.73</v>
      </c>
      <c r="AQ132" s="114">
        <v>98</v>
      </c>
      <c r="AR132" s="114">
        <v>1.38</v>
      </c>
      <c r="AS132" s="160">
        <v>21</v>
      </c>
      <c r="AT132" s="161">
        <v>21</v>
      </c>
      <c r="AU132" s="114">
        <v>73</v>
      </c>
      <c r="AV132" s="114">
        <v>137</v>
      </c>
      <c r="AZ132" s="119" t="s">
        <v>421</v>
      </c>
    </row>
    <row r="133" s="129" customFormat="1" spans="1:52">
      <c r="A133" s="129" t="s">
        <v>422</v>
      </c>
      <c r="B133" s="129" t="s">
        <v>53</v>
      </c>
      <c r="C133" s="129">
        <v>66</v>
      </c>
      <c r="D133" s="217">
        <v>1.6</v>
      </c>
      <c r="E133" s="129">
        <v>75</v>
      </c>
      <c r="F133" s="218">
        <f>E133/(D133*D133)</f>
        <v>29.296875</v>
      </c>
      <c r="G133" s="217">
        <v>0</v>
      </c>
      <c r="I133" s="219">
        <v>44012</v>
      </c>
      <c r="J133" s="219">
        <v>44030</v>
      </c>
      <c r="L133" s="220">
        <v>1</v>
      </c>
      <c r="M133" s="220">
        <v>18</v>
      </c>
      <c r="N133" s="221" t="s">
        <v>423</v>
      </c>
      <c r="O133" s="114"/>
      <c r="P133" s="114"/>
      <c r="Q133" s="114">
        <v>1</v>
      </c>
      <c r="R133" s="114"/>
      <c r="S133" s="114"/>
      <c r="T133" s="114">
        <v>1</v>
      </c>
      <c r="U133" s="114">
        <v>0</v>
      </c>
      <c r="V133" s="114">
        <v>1</v>
      </c>
      <c r="W133" s="114">
        <v>0</v>
      </c>
      <c r="X133" s="114">
        <v>1</v>
      </c>
      <c r="Y133" s="114">
        <v>1</v>
      </c>
      <c r="Z133" s="114" t="s">
        <v>300</v>
      </c>
      <c r="AA133" s="114">
        <v>2</v>
      </c>
      <c r="AB133" s="114">
        <f>_xlfn.IFS(AT133&lt;34,1,AT133=34-51,2,AT133&gt;51,3)</f>
        <v>1</v>
      </c>
      <c r="AC133" s="114">
        <v>2</v>
      </c>
      <c r="AD133" s="114">
        <f>_xlfn.IFS(AR133&lt;1.7,1,AR133=1.7-2.3,2,AR133&gt;2.3,3)</f>
        <v>1</v>
      </c>
      <c r="AE133" s="114">
        <f t="shared" si="31"/>
        <v>7</v>
      </c>
      <c r="AF133" s="116" t="s">
        <v>63</v>
      </c>
      <c r="AG133" s="114">
        <f>AT133/17.1</f>
        <v>0.748538011695906</v>
      </c>
      <c r="AH133" s="114">
        <f>AU133/88.4</f>
        <v>0.497737556561086</v>
      </c>
      <c r="AI133" s="114">
        <f>AR133</f>
        <v>1.11</v>
      </c>
      <c r="AJ133" s="159">
        <f>LN(IF(AG133&gt;=1,AG133,1))*3.8+LN(IF(AH133&gt;=1,AH133,1))*9.6+11.2*LN(IF(AI133&gt;=1,AI133,1))+6.4*AN133</f>
        <v>7.56883217163152</v>
      </c>
      <c r="AK133" s="160">
        <f>IF(AND(AG133&gt;0,AH133&gt;0,AI133&gt;0),AJ133,"")</f>
        <v>7.56883217163152</v>
      </c>
      <c r="AL133" s="160">
        <f>AK133+1.59*(135-AM133)</f>
        <v>7.56883217163152</v>
      </c>
      <c r="AM133" s="160">
        <f>IF(AV133&gt;135,135,IF(AV133&lt;120,120,AV133))</f>
        <v>135</v>
      </c>
      <c r="AN133" s="114">
        <v>1</v>
      </c>
      <c r="AO133" s="114">
        <v>1</v>
      </c>
      <c r="AP133" s="114">
        <v>2.66</v>
      </c>
      <c r="AQ133" s="114">
        <v>62</v>
      </c>
      <c r="AR133" s="114">
        <v>1.11</v>
      </c>
      <c r="AS133" s="160">
        <v>30</v>
      </c>
      <c r="AT133" s="161">
        <v>12.8</v>
      </c>
      <c r="AU133" s="114">
        <v>44</v>
      </c>
      <c r="AV133" s="114">
        <v>139</v>
      </c>
      <c r="AZ133" s="222" t="s">
        <v>424</v>
      </c>
    </row>
    <row r="134" spans="1:52">
      <c r="A134" s="117" t="s">
        <v>425</v>
      </c>
      <c r="B134" s="117" t="s">
        <v>48</v>
      </c>
      <c r="C134" s="117">
        <v>71</v>
      </c>
      <c r="D134" s="135">
        <v>1.7</v>
      </c>
      <c r="E134" s="117">
        <v>48</v>
      </c>
      <c r="F134" s="136">
        <f>E134/(D134*D134)</f>
        <v>16.6089965397924</v>
      </c>
      <c r="G134" s="135">
        <v>7</v>
      </c>
      <c r="I134" s="158">
        <v>44014</v>
      </c>
      <c r="J134" s="158">
        <v>44025</v>
      </c>
      <c r="L134" s="137">
        <v>7</v>
      </c>
      <c r="M134" s="137">
        <v>7</v>
      </c>
      <c r="N134" s="139" t="s">
        <v>426</v>
      </c>
      <c r="O134" s="114">
        <v>1</v>
      </c>
      <c r="P134" s="114"/>
      <c r="Q134" s="114"/>
      <c r="R134" s="114"/>
      <c r="S134" s="114"/>
      <c r="T134" s="114">
        <v>1</v>
      </c>
      <c r="U134" s="114">
        <v>0</v>
      </c>
      <c r="V134" s="114">
        <v>1</v>
      </c>
      <c r="W134" s="114">
        <v>0</v>
      </c>
      <c r="X134" s="114">
        <v>1</v>
      </c>
      <c r="Y134" s="114">
        <v>1</v>
      </c>
      <c r="Z134" s="114" t="s">
        <v>321</v>
      </c>
      <c r="AA134" s="114">
        <v>3</v>
      </c>
      <c r="AB134" s="114">
        <f>_xlfn.IFS(AT134&lt;34,1,AT134=34-51,2,AT134&gt;51,3)</f>
        <v>1</v>
      </c>
      <c r="AC134" s="114">
        <v>2</v>
      </c>
      <c r="AD134" s="114">
        <f>_xlfn.IFS(AR134&lt;1.7,1,AR134=1.7-2.3,2,AR134&gt;2.3,3)</f>
        <v>1</v>
      </c>
      <c r="AE134" s="114">
        <f t="shared" si="31"/>
        <v>8</v>
      </c>
      <c r="AF134" s="116" t="s">
        <v>63</v>
      </c>
      <c r="AG134" s="114">
        <f>AT134/17.1</f>
        <v>1.3859649122807</v>
      </c>
      <c r="AH134" s="114">
        <f>AU134/88.4</f>
        <v>0.644796380090498</v>
      </c>
      <c r="AI134" s="114">
        <f>AR134</f>
        <v>1.44</v>
      </c>
      <c r="AJ134" s="159">
        <f>LN(IF(AG134&gt;=1,AG134,1))*3.8+LN(IF(AH134&gt;=1,AH134,1))*9.6+11.2*LN(IF(AI134&gt;=1,AI134,1))+6.4*AN134</f>
        <v>11.724309893788</v>
      </c>
      <c r="AK134" s="160">
        <f>IF(AND(AG134&gt;0,AH134&gt;0,AI134&gt;0),AJ134,"")</f>
        <v>11.724309893788</v>
      </c>
      <c r="AL134" s="160">
        <f>AK134+1.59*(135-AM134)</f>
        <v>11.724309893788</v>
      </c>
      <c r="AM134" s="160">
        <f>IF(AV134&gt;135,135,IF(AV134&lt;120,120,AV134))</f>
        <v>135</v>
      </c>
      <c r="AN134" s="114">
        <v>1</v>
      </c>
      <c r="AO134" s="114">
        <v>1</v>
      </c>
      <c r="AP134" s="114">
        <v>2.23</v>
      </c>
      <c r="AQ134" s="114">
        <v>66</v>
      </c>
      <c r="AR134" s="114">
        <v>1.44</v>
      </c>
      <c r="AS134" s="160">
        <v>28</v>
      </c>
      <c r="AT134" s="161">
        <v>23.7</v>
      </c>
      <c r="AU134" s="114">
        <v>57</v>
      </c>
      <c r="AV134" s="114">
        <v>139</v>
      </c>
      <c r="AZ134" s="119" t="s">
        <v>427</v>
      </c>
    </row>
    <row r="135" spans="1:52">
      <c r="A135" s="117" t="s">
        <v>428</v>
      </c>
      <c r="B135" s="117" t="s">
        <v>53</v>
      </c>
      <c r="C135" s="117">
        <v>53</v>
      </c>
      <c r="D135" s="135">
        <v>1.63</v>
      </c>
      <c r="E135" s="117">
        <v>56</v>
      </c>
      <c r="F135" s="136">
        <f>E135/(D135*D135)</f>
        <v>21.0771952275208</v>
      </c>
      <c r="G135" s="135">
        <v>5</v>
      </c>
      <c r="I135" s="158">
        <v>44016</v>
      </c>
      <c r="J135" s="158">
        <v>44028</v>
      </c>
      <c r="L135" s="137">
        <v>1</v>
      </c>
      <c r="M135" s="138">
        <v>12</v>
      </c>
      <c r="N135" s="139" t="s">
        <v>429</v>
      </c>
      <c r="O135" s="114">
        <v>1</v>
      </c>
      <c r="P135" s="114"/>
      <c r="Q135" s="114"/>
      <c r="R135" s="114"/>
      <c r="S135" s="114"/>
      <c r="T135" s="114">
        <v>1</v>
      </c>
      <c r="U135" s="114">
        <v>0</v>
      </c>
      <c r="V135" s="114">
        <v>0</v>
      </c>
      <c r="W135" s="114">
        <v>0</v>
      </c>
      <c r="X135" s="114">
        <v>1</v>
      </c>
      <c r="Y135" s="114">
        <v>1</v>
      </c>
      <c r="Z135" s="114" t="s">
        <v>307</v>
      </c>
      <c r="AA135" s="114">
        <v>3</v>
      </c>
      <c r="AB135" s="114">
        <f>_xlfn.IFS(AT135&lt;34,1,AT135=34-51,2,AT135&gt;51,3)</f>
        <v>1</v>
      </c>
      <c r="AC135" s="114">
        <v>2</v>
      </c>
      <c r="AD135" s="114">
        <f>_xlfn.IFS(AR135&lt;1.7,1,AR135=1.7-2.3,2,AR135&gt;2.3,3)</f>
        <v>1</v>
      </c>
      <c r="AE135" s="114">
        <f t="shared" si="31"/>
        <v>8</v>
      </c>
      <c r="AF135" s="116" t="s">
        <v>63</v>
      </c>
      <c r="AG135" s="114">
        <f>AT135/17.1</f>
        <v>1.47368421052632</v>
      </c>
      <c r="AH135" s="114">
        <f>AU135/88.4</f>
        <v>0.554298642533937</v>
      </c>
      <c r="AI135" s="114">
        <f>AR135</f>
        <v>1.3</v>
      </c>
      <c r="AJ135" s="159">
        <f>LN(IF(AG135&gt;=1,AG135,1))*3.8+LN(IF(AH135&gt;=1,AH135,1))*9.6+11.2*LN(IF(AI135&gt;=1,AI135,1))+6.4*AN135</f>
        <v>10.8119887798692</v>
      </c>
      <c r="AK135" s="160">
        <f>IF(AND(AG135&gt;0,AH135&gt;0,AI135&gt;0),AJ135,"")</f>
        <v>10.8119887798692</v>
      </c>
      <c r="AL135" s="160">
        <f>AK135+1.59*(135-AM135)</f>
        <v>10.8119887798692</v>
      </c>
      <c r="AM135" s="160">
        <f>IF(AV135&gt;135,135,IF(AV135&lt;120,120,AV135))</f>
        <v>135</v>
      </c>
      <c r="AN135" s="114">
        <v>1</v>
      </c>
      <c r="AO135" s="114">
        <v>1</v>
      </c>
      <c r="AP135" s="114">
        <v>2.28</v>
      </c>
      <c r="AQ135" s="114">
        <v>117</v>
      </c>
      <c r="AR135" s="114">
        <v>1.3</v>
      </c>
      <c r="AS135" s="160">
        <v>31</v>
      </c>
      <c r="AT135" s="161">
        <v>25.2</v>
      </c>
      <c r="AU135" s="114">
        <v>49</v>
      </c>
      <c r="AV135" s="114">
        <v>137</v>
      </c>
      <c r="AZ135" s="119" t="s">
        <v>430</v>
      </c>
    </row>
    <row r="136" s="125" customFormat="1" spans="1:52">
      <c r="A136" s="125" t="s">
        <v>331</v>
      </c>
      <c r="B136" s="125" t="s">
        <v>53</v>
      </c>
      <c r="C136" s="125">
        <v>57</v>
      </c>
      <c r="D136" s="185">
        <v>1.54</v>
      </c>
      <c r="E136" s="125">
        <v>38</v>
      </c>
      <c r="F136" s="136">
        <f>E136/(D136*D136)</f>
        <v>16.0229381008602</v>
      </c>
      <c r="G136" s="185">
        <v>1</v>
      </c>
      <c r="I136" s="186">
        <v>44011</v>
      </c>
      <c r="J136" s="186">
        <v>44025</v>
      </c>
      <c r="K136" s="186">
        <v>44229</v>
      </c>
      <c r="L136" s="187">
        <v>6</v>
      </c>
      <c r="M136" s="138">
        <v>14</v>
      </c>
      <c r="N136" s="188" t="s">
        <v>431</v>
      </c>
      <c r="O136" s="114"/>
      <c r="P136" s="114"/>
      <c r="Q136" s="114"/>
      <c r="R136" s="114">
        <v>1</v>
      </c>
      <c r="S136" s="114"/>
      <c r="T136" s="114">
        <v>1</v>
      </c>
      <c r="U136" s="114">
        <v>0</v>
      </c>
      <c r="V136" s="114">
        <v>1</v>
      </c>
      <c r="W136" s="114">
        <v>0</v>
      </c>
      <c r="X136" s="114">
        <v>1</v>
      </c>
      <c r="Y136" s="114">
        <v>1</v>
      </c>
      <c r="Z136" s="114" t="s">
        <v>307</v>
      </c>
      <c r="AA136" s="114">
        <v>3</v>
      </c>
      <c r="AB136" s="114">
        <v>2</v>
      </c>
      <c r="AC136" s="114">
        <f>_xlfn.IFS(AS136&lt;28,3,AS136=28-35,2,AS136&gt;35,1)</f>
        <v>3</v>
      </c>
      <c r="AD136" s="114">
        <f>_xlfn.IFS(AR136&lt;1.7,1,AR136=1.7-2.3,2,AR136&gt;2.3,3)</f>
        <v>1</v>
      </c>
      <c r="AE136" s="114">
        <f t="shared" si="31"/>
        <v>10</v>
      </c>
      <c r="AF136" s="116" t="s">
        <v>50</v>
      </c>
      <c r="AG136" s="114">
        <f>AT136/17.1</f>
        <v>6.99415204678362</v>
      </c>
      <c r="AH136" s="114">
        <f>AU136/88.4</f>
        <v>0.509049773755656</v>
      </c>
      <c r="AI136" s="114">
        <f>AR136</f>
        <v>1.11</v>
      </c>
      <c r="AJ136" s="159">
        <f>LN(IF(AG136&gt;=1,AG136,1))*3.8+LN(IF(AH136&gt;=1,AH136,1))*9.6+11.2*LN(IF(AI136&gt;=1,AI136,1))+6.4*AN136</f>
        <v>8.5601148080616</v>
      </c>
      <c r="AK136" s="160">
        <f>IF(AND(AG136&gt;0,AH136&gt;0,AI136&gt;0),AJ136,"")</f>
        <v>8.5601148080616</v>
      </c>
      <c r="AL136" s="160">
        <f>AK136+1.59*(135-AM136)</f>
        <v>8.5601148080616</v>
      </c>
      <c r="AM136" s="160">
        <f>IF(AV136&gt;135,135,IF(AV136&lt;120,120,AV136))</f>
        <v>135</v>
      </c>
      <c r="AN136" s="114">
        <v>0</v>
      </c>
      <c r="AO136" s="114">
        <v>1</v>
      </c>
      <c r="AP136" s="114">
        <v>5.38</v>
      </c>
      <c r="AQ136" s="114">
        <v>46</v>
      </c>
      <c r="AR136" s="114">
        <v>1.11</v>
      </c>
      <c r="AS136" s="160">
        <v>24</v>
      </c>
      <c r="AT136" s="161">
        <v>119.6</v>
      </c>
      <c r="AU136" s="114">
        <v>45</v>
      </c>
      <c r="AV136" s="114">
        <v>137</v>
      </c>
      <c r="AZ136" s="131" t="s">
        <v>432</v>
      </c>
    </row>
    <row r="137" spans="1:52">
      <c r="A137" s="117" t="s">
        <v>433</v>
      </c>
      <c r="B137" s="117" t="s">
        <v>53</v>
      </c>
      <c r="C137" s="117">
        <v>62</v>
      </c>
      <c r="D137" s="135">
        <v>1.6</v>
      </c>
      <c r="E137" s="117">
        <v>52</v>
      </c>
      <c r="F137" s="136">
        <f t="shared" ref="F137:F147" si="32">E137/(D137*D137)</f>
        <v>20.3125</v>
      </c>
      <c r="G137" s="135">
        <v>1</v>
      </c>
      <c r="I137" s="158">
        <v>44004</v>
      </c>
      <c r="J137" s="158">
        <v>44023</v>
      </c>
      <c r="L137" s="137">
        <v>1</v>
      </c>
      <c r="M137" s="138">
        <v>19</v>
      </c>
      <c r="N137" s="139" t="s">
        <v>434</v>
      </c>
      <c r="O137" s="114">
        <v>1</v>
      </c>
      <c r="P137" s="114"/>
      <c r="Q137" s="114"/>
      <c r="R137" s="114"/>
      <c r="S137" s="114"/>
      <c r="T137" s="114">
        <v>0</v>
      </c>
      <c r="U137" s="114">
        <v>0</v>
      </c>
      <c r="V137" s="114">
        <v>1</v>
      </c>
      <c r="W137" s="114">
        <v>0</v>
      </c>
      <c r="X137" s="114">
        <v>1</v>
      </c>
      <c r="Y137" s="114">
        <v>1</v>
      </c>
      <c r="Z137" s="114" t="s">
        <v>58</v>
      </c>
      <c r="AA137" s="114">
        <v>1</v>
      </c>
      <c r="AB137" s="114">
        <f>_xlfn.IFS(AT137&lt;34,1,AT137=34-51,2,AT137&gt;51,3)</f>
        <v>1</v>
      </c>
      <c r="AC137" s="114">
        <v>2</v>
      </c>
      <c r="AD137" s="114">
        <f>_xlfn.IFS(AR137&lt;1.7,1,AR137=1.7-2.3,2,AR137&gt;2.3,3)</f>
        <v>1</v>
      </c>
      <c r="AE137" s="114">
        <f>Y137+AA137+AB137+AC137+AD137</f>
        <v>6</v>
      </c>
      <c r="AF137" s="116" t="s">
        <v>59</v>
      </c>
      <c r="AG137" s="114">
        <f t="shared" ref="AG137:AG157" si="33">AT137/17.1</f>
        <v>0.47953216374269</v>
      </c>
      <c r="AH137" s="114">
        <f t="shared" ref="AH137:AH157" si="34">AU137/88.4</f>
        <v>0.509049773755656</v>
      </c>
      <c r="AI137" s="114">
        <f t="shared" ref="AI137:AI157" si="35">AR137</f>
        <v>1.21</v>
      </c>
      <c r="AJ137" s="159">
        <f>LN(IF(AG137&gt;=1,AG137,1))*3.8+LN(IF(AH137&gt;=1,AH137,1))*9.6+11.2*LN(IF(AI137&gt;=1,AI137,1))+6.4*AN137</f>
        <v>8.53494802761688</v>
      </c>
      <c r="AK137" s="160">
        <f>IF(AND(AG137&gt;0,AH137&gt;0,AI137&gt;0),AJ137,"")</f>
        <v>8.53494802761688</v>
      </c>
      <c r="AL137" s="160">
        <f t="shared" ref="AL137:AL149" si="36">AK137+1.59*(135-AM137)</f>
        <v>8.53494802761688</v>
      </c>
      <c r="AM137" s="160">
        <f>IF(AV137&gt;135,135,IF(AV137&lt;120,120,AV137))</f>
        <v>135</v>
      </c>
      <c r="AN137" s="114">
        <v>1</v>
      </c>
      <c r="AO137" s="114">
        <v>1</v>
      </c>
      <c r="AP137" s="114">
        <v>3.98</v>
      </c>
      <c r="AQ137" s="114">
        <v>74</v>
      </c>
      <c r="AR137" s="114">
        <v>1.21</v>
      </c>
      <c r="AS137" s="160">
        <v>28</v>
      </c>
      <c r="AT137" s="161">
        <v>8.2</v>
      </c>
      <c r="AU137" s="114">
        <v>45</v>
      </c>
      <c r="AV137" s="114">
        <v>141</v>
      </c>
      <c r="AZ137" s="119" t="s">
        <v>435</v>
      </c>
    </row>
    <row r="138" spans="1:52">
      <c r="A138" s="117" t="s">
        <v>436</v>
      </c>
      <c r="B138" s="117" t="s">
        <v>53</v>
      </c>
      <c r="C138" s="117">
        <v>62</v>
      </c>
      <c r="D138" s="135">
        <v>1.62</v>
      </c>
      <c r="E138" s="117">
        <v>55</v>
      </c>
      <c r="F138" s="136">
        <f t="shared" si="32"/>
        <v>20.9571711629325</v>
      </c>
      <c r="G138" s="135">
        <v>0</v>
      </c>
      <c r="I138" s="158">
        <v>44013</v>
      </c>
      <c r="J138" s="158">
        <v>44022</v>
      </c>
      <c r="L138" s="137">
        <v>1</v>
      </c>
      <c r="M138" s="138">
        <v>9</v>
      </c>
      <c r="N138" s="139" t="s">
        <v>437</v>
      </c>
      <c r="O138" s="114"/>
      <c r="P138" s="114"/>
      <c r="Q138" s="114">
        <v>1</v>
      </c>
      <c r="R138" s="114"/>
      <c r="S138" s="114"/>
      <c r="T138" s="114">
        <v>0</v>
      </c>
      <c r="U138" s="114">
        <v>0</v>
      </c>
      <c r="V138" s="114">
        <v>1</v>
      </c>
      <c r="W138" s="114">
        <v>0</v>
      </c>
      <c r="X138" s="114">
        <v>1</v>
      </c>
      <c r="Y138" s="114">
        <v>1</v>
      </c>
      <c r="Z138" s="114" t="s">
        <v>58</v>
      </c>
      <c r="AA138" s="114">
        <v>1</v>
      </c>
      <c r="AB138" s="114">
        <f>_xlfn.IFS(AT138&lt;34,1,AT138=34-51,2,AT138&gt;51,3)</f>
        <v>1</v>
      </c>
      <c r="AC138" s="114">
        <v>2</v>
      </c>
      <c r="AD138" s="114">
        <f>_xlfn.IFS(AR138&lt;1.7,1,AR138=1.7-2.3,2,AR138&gt;2.3,3)</f>
        <v>1</v>
      </c>
      <c r="AE138" s="114">
        <f>Y138+AA138+AB138+AC138+AD138</f>
        <v>6</v>
      </c>
      <c r="AF138" s="116" t="s">
        <v>59</v>
      </c>
      <c r="AG138" s="114">
        <f t="shared" si="33"/>
        <v>0.771929824561403</v>
      </c>
      <c r="AH138" s="114">
        <f t="shared" si="34"/>
        <v>0.441176470588235</v>
      </c>
      <c r="AI138" s="114">
        <f t="shared" si="35"/>
        <v>1.19</v>
      </c>
      <c r="AJ138" s="159">
        <f>LN(IF(AG138&gt;=1,AG138,1))*3.8+LN(IF(AH138&gt;=1,AH138,1))*9.6+11.2*LN(IF(AI138&gt;=1,AI138,1))+6.4*AN138</f>
        <v>8.34827703978251</v>
      </c>
      <c r="AK138" s="160">
        <f>IF(AND(AG138&gt;0,AH138&gt;0,AI138&gt;0),AJ138,"")</f>
        <v>8.34827703978251</v>
      </c>
      <c r="AL138" s="160">
        <f t="shared" si="36"/>
        <v>8.34827703978251</v>
      </c>
      <c r="AM138" s="160">
        <f>IF(AV138&gt;135,135,IF(AV138&lt;120,120,AV138))</f>
        <v>135</v>
      </c>
      <c r="AN138" s="114">
        <v>1</v>
      </c>
      <c r="AO138" s="114">
        <v>1</v>
      </c>
      <c r="AP138" s="114">
        <v>4.83</v>
      </c>
      <c r="AQ138" s="114">
        <v>108</v>
      </c>
      <c r="AR138" s="114">
        <v>1.19</v>
      </c>
      <c r="AS138" s="160">
        <v>31</v>
      </c>
      <c r="AT138" s="161">
        <v>13.2</v>
      </c>
      <c r="AU138" s="114">
        <v>39</v>
      </c>
      <c r="AV138" s="114">
        <v>142</v>
      </c>
      <c r="AZ138" s="119" t="s">
        <v>438</v>
      </c>
    </row>
    <row r="139" spans="1:52">
      <c r="A139" s="117" t="s">
        <v>193</v>
      </c>
      <c r="B139" s="117" t="s">
        <v>53</v>
      </c>
      <c r="C139" s="117">
        <v>57</v>
      </c>
      <c r="D139" s="135">
        <v>1.6</v>
      </c>
      <c r="E139" s="117">
        <v>41</v>
      </c>
      <c r="F139" s="136">
        <f t="shared" si="32"/>
        <v>16.015625</v>
      </c>
      <c r="G139" s="135">
        <v>3</v>
      </c>
      <c r="I139" s="158">
        <v>44012</v>
      </c>
      <c r="J139" s="158">
        <v>44023</v>
      </c>
      <c r="L139" s="137">
        <v>9</v>
      </c>
      <c r="M139" s="138">
        <v>11</v>
      </c>
      <c r="N139" s="139" t="s">
        <v>439</v>
      </c>
      <c r="O139" s="114">
        <v>1</v>
      </c>
      <c r="P139" s="114"/>
      <c r="Q139" s="114"/>
      <c r="R139" s="114"/>
      <c r="S139" s="114"/>
      <c r="T139" s="114">
        <v>1</v>
      </c>
      <c r="U139" s="114">
        <v>0</v>
      </c>
      <c r="V139" s="114">
        <v>1</v>
      </c>
      <c r="W139" s="114">
        <v>0</v>
      </c>
      <c r="X139" s="114">
        <v>1</v>
      </c>
      <c r="Y139" s="114">
        <v>1</v>
      </c>
      <c r="Z139" s="114" t="s">
        <v>300</v>
      </c>
      <c r="AA139" s="114">
        <v>2</v>
      </c>
      <c r="AB139" s="114">
        <f>_xlfn.IFS(AT139&lt;34,1,AT139=34-51,2,AT139&gt;51,3)</f>
        <v>1</v>
      </c>
      <c r="AC139" s="114">
        <v>2</v>
      </c>
      <c r="AD139" s="114">
        <f>_xlfn.IFS(AR139&lt;1.7,1,AR139=1.7-2.3,2,AR139&gt;2.3,3)</f>
        <v>1</v>
      </c>
      <c r="AE139" s="114">
        <f>Y139+AA139+AB139+AC139+AD139</f>
        <v>7</v>
      </c>
      <c r="AF139" s="116" t="s">
        <v>63</v>
      </c>
      <c r="AG139" s="114">
        <f t="shared" si="33"/>
        <v>1.26315789473684</v>
      </c>
      <c r="AH139" s="114">
        <f t="shared" si="34"/>
        <v>0.656108597285068</v>
      </c>
      <c r="AI139" s="114">
        <f t="shared" si="35"/>
        <v>1.5</v>
      </c>
      <c r="AJ139" s="159">
        <f>LN(IF(AG139&gt;=1,AG139,1))*3.8+LN(IF(AH139&gt;=1,AH139,1))*9.6+11.2*LN(IF(AI139&gt;=1,AI139,1))+6.4*AN139</f>
        <v>11.8289456453012</v>
      </c>
      <c r="AK139" s="160">
        <f>IF(AND(AG139&gt;0,AH139&gt;0,AI139&gt;0),AJ139,"")</f>
        <v>11.8289456453012</v>
      </c>
      <c r="AL139" s="160">
        <f t="shared" si="36"/>
        <v>11.8289456453012</v>
      </c>
      <c r="AM139" s="160">
        <f>IF(AV139&gt;135,135,IF(AV139&lt;120,120,AV139))</f>
        <v>135</v>
      </c>
      <c r="AN139" s="114">
        <v>1</v>
      </c>
      <c r="AO139" s="114">
        <v>1</v>
      </c>
      <c r="AP139" s="114">
        <v>1.41</v>
      </c>
      <c r="AQ139" s="114">
        <v>81</v>
      </c>
      <c r="AR139" s="114">
        <v>1.5</v>
      </c>
      <c r="AS139" s="160">
        <v>29</v>
      </c>
      <c r="AT139" s="161">
        <v>21.6</v>
      </c>
      <c r="AU139" s="114">
        <v>58</v>
      </c>
      <c r="AV139" s="114">
        <v>140</v>
      </c>
      <c r="AZ139" s="119" t="s">
        <v>440</v>
      </c>
    </row>
    <row r="140" s="129" customFormat="1" spans="1:52">
      <c r="A140" s="129" t="s">
        <v>441</v>
      </c>
      <c r="B140" s="129" t="s">
        <v>48</v>
      </c>
      <c r="C140" s="129">
        <v>57</v>
      </c>
      <c r="D140" s="217">
        <v>1.78</v>
      </c>
      <c r="E140" s="129">
        <v>79</v>
      </c>
      <c r="F140" s="218">
        <f t="shared" si="32"/>
        <v>24.9337204898371</v>
      </c>
      <c r="G140" s="217">
        <v>6</v>
      </c>
      <c r="I140" s="219">
        <v>44021</v>
      </c>
      <c r="J140" s="219">
        <v>44037</v>
      </c>
      <c r="L140" s="220">
        <v>1</v>
      </c>
      <c r="M140" s="220">
        <v>16</v>
      </c>
      <c r="N140" s="221" t="s">
        <v>442</v>
      </c>
      <c r="O140" s="114"/>
      <c r="P140" s="114">
        <v>1</v>
      </c>
      <c r="Q140" s="114"/>
      <c r="R140" s="114"/>
      <c r="S140" s="114"/>
      <c r="T140" s="114">
        <v>1</v>
      </c>
      <c r="U140" s="114">
        <v>0</v>
      </c>
      <c r="V140" s="114">
        <v>0</v>
      </c>
      <c r="W140" s="114">
        <v>0</v>
      </c>
      <c r="X140" s="114">
        <v>1</v>
      </c>
      <c r="Y140" s="114">
        <v>1</v>
      </c>
      <c r="Z140" s="114" t="s">
        <v>307</v>
      </c>
      <c r="AA140" s="114">
        <v>3</v>
      </c>
      <c r="AB140" s="114">
        <v>2</v>
      </c>
      <c r="AC140" s="114">
        <f>_xlfn.IFS(AS140&lt;28,3,AS140=28-35,2,AS140&gt;35,1)</f>
        <v>3</v>
      </c>
      <c r="AD140" s="114">
        <f>_xlfn.IFS(AR140&lt;1.7,1,AR140=1.7-2.3,2,AR140&gt;2.3,3)</f>
        <v>1</v>
      </c>
      <c r="AE140" s="114">
        <f>Y140+AA140+AB140+AC140+AD140</f>
        <v>10</v>
      </c>
      <c r="AF140" s="116" t="s">
        <v>50</v>
      </c>
      <c r="AG140" s="114">
        <f t="shared" si="33"/>
        <v>2.89473684210526</v>
      </c>
      <c r="AH140" s="114">
        <f t="shared" si="34"/>
        <v>1.35746606334842</v>
      </c>
      <c r="AI140" s="114">
        <f t="shared" si="35"/>
        <v>1.59</v>
      </c>
      <c r="AJ140" s="159">
        <f>LN(IF(AG140&gt;=1,AG140,1))*3.8+LN(IF(AH140&gt;=1,AH140,1))*9.6+11.2*LN(IF(AI140&gt;=1,AI140,1))+6.4*AN140</f>
        <v>12.16676878698</v>
      </c>
      <c r="AK140" s="160">
        <f>IF(AND(AG140&gt;0,AH140&gt;0,AI140&gt;0),AJ140,"")</f>
        <v>12.16676878698</v>
      </c>
      <c r="AL140" s="160">
        <f t="shared" si="36"/>
        <v>12.16676878698</v>
      </c>
      <c r="AM140" s="160">
        <f>IF(AV140&gt;135,135,IF(AV140&lt;120,120,AV140))</f>
        <v>135</v>
      </c>
      <c r="AN140" s="114">
        <v>0</v>
      </c>
      <c r="AO140" s="114">
        <v>1</v>
      </c>
      <c r="AP140" s="114">
        <v>3.03</v>
      </c>
      <c r="AQ140" s="114">
        <v>92</v>
      </c>
      <c r="AR140" s="114">
        <v>1.59</v>
      </c>
      <c r="AS140" s="160">
        <v>23</v>
      </c>
      <c r="AT140" s="161">
        <v>49.5</v>
      </c>
      <c r="AU140" s="114">
        <v>120</v>
      </c>
      <c r="AV140" s="114">
        <v>137</v>
      </c>
      <c r="AZ140" s="222" t="s">
        <v>443</v>
      </c>
    </row>
    <row r="141" spans="1:52">
      <c r="A141" s="117" t="s">
        <v>444</v>
      </c>
      <c r="B141" s="117" t="s">
        <v>48</v>
      </c>
      <c r="C141" s="117">
        <v>66</v>
      </c>
      <c r="D141" s="135">
        <v>1.6</v>
      </c>
      <c r="E141" s="117">
        <v>59</v>
      </c>
      <c r="F141" s="136">
        <f t="shared" si="32"/>
        <v>23.046875</v>
      </c>
      <c r="G141" s="135">
        <v>0</v>
      </c>
      <c r="I141" s="158">
        <v>44025</v>
      </c>
      <c r="J141" s="158">
        <v>44032</v>
      </c>
      <c r="L141" s="137">
        <v>1</v>
      </c>
      <c r="M141" s="137">
        <v>7</v>
      </c>
      <c r="N141" s="139" t="s">
        <v>445</v>
      </c>
      <c r="O141" s="114"/>
      <c r="P141" s="114"/>
      <c r="Q141" s="114"/>
      <c r="R141" s="114"/>
      <c r="S141" s="114">
        <v>1</v>
      </c>
      <c r="T141" s="114">
        <v>1</v>
      </c>
      <c r="U141" s="114">
        <v>0</v>
      </c>
      <c r="V141" s="114">
        <v>1</v>
      </c>
      <c r="W141" s="114">
        <v>0</v>
      </c>
      <c r="X141" s="114">
        <v>1</v>
      </c>
      <c r="Y141" s="114">
        <v>1</v>
      </c>
      <c r="Z141" s="114" t="s">
        <v>300</v>
      </c>
      <c r="AA141" s="114">
        <v>2</v>
      </c>
      <c r="AB141" s="114">
        <f>_xlfn.IFS(AT141&lt;34,1,AT141=34-51,2,AT141&gt;51,3)</f>
        <v>1</v>
      </c>
      <c r="AC141" s="114">
        <v>2</v>
      </c>
      <c r="AD141" s="114">
        <f>_xlfn.IFS(AR141&lt;1.7,1,AR141=1.7-2.3,2,AR141&gt;2.3,3)</f>
        <v>1</v>
      </c>
      <c r="AE141" s="114">
        <f>Y141+AA141+AB141+AC141+AD141</f>
        <v>7</v>
      </c>
      <c r="AF141" s="116" t="s">
        <v>63</v>
      </c>
      <c r="AG141" s="114">
        <f t="shared" si="33"/>
        <v>1.60818713450292</v>
      </c>
      <c r="AH141" s="114">
        <f t="shared" si="34"/>
        <v>0.520361990950226</v>
      </c>
      <c r="AI141" s="114">
        <f t="shared" si="35"/>
        <v>1.34</v>
      </c>
      <c r="AJ141" s="159">
        <f>LN(IF(AG141&gt;=1,AG141,1))*3.8+LN(IF(AH141&gt;=1,AH141,1))*9.6+11.2*LN(IF(AI141&gt;=1,AI141,1))+6.4*AN141</f>
        <v>11.4833083328064</v>
      </c>
      <c r="AK141" s="160">
        <f>IF(AND(AG141&gt;0,AH141&gt;0,AI141&gt;0),AJ141,"")</f>
        <v>11.4833083328064</v>
      </c>
      <c r="AL141" s="160">
        <f t="shared" si="36"/>
        <v>11.4833083328064</v>
      </c>
      <c r="AM141" s="160">
        <f>IF(AV141&gt;135,135,IF(AV141&lt;120,120,AV141))</f>
        <v>135</v>
      </c>
      <c r="AN141" s="114">
        <v>1</v>
      </c>
      <c r="AO141" s="114">
        <v>1</v>
      </c>
      <c r="AP141" s="114">
        <v>2.84</v>
      </c>
      <c r="AQ141" s="114">
        <v>79</v>
      </c>
      <c r="AR141" s="114">
        <v>1.34</v>
      </c>
      <c r="AS141" s="160">
        <v>35</v>
      </c>
      <c r="AT141" s="161">
        <v>27.5</v>
      </c>
      <c r="AU141" s="114">
        <v>46</v>
      </c>
      <c r="AV141" s="114">
        <v>141</v>
      </c>
      <c r="AZ141" s="119" t="s">
        <v>446</v>
      </c>
    </row>
    <row r="142" spans="1:52">
      <c r="A142" s="117" t="s">
        <v>447</v>
      </c>
      <c r="B142" s="117" t="s">
        <v>53</v>
      </c>
      <c r="C142" s="117">
        <v>53</v>
      </c>
      <c r="D142" s="135">
        <v>1.6</v>
      </c>
      <c r="E142" s="117">
        <v>70</v>
      </c>
      <c r="F142" s="136">
        <f t="shared" si="32"/>
        <v>27.34375</v>
      </c>
      <c r="G142" s="135">
        <v>0</v>
      </c>
      <c r="I142" s="158">
        <v>44019</v>
      </c>
      <c r="J142" s="158">
        <v>44033</v>
      </c>
      <c r="L142" s="137">
        <v>1</v>
      </c>
      <c r="M142" s="137">
        <v>14</v>
      </c>
      <c r="N142" s="139" t="s">
        <v>448</v>
      </c>
      <c r="O142" s="114"/>
      <c r="P142" s="114"/>
      <c r="Q142" s="114"/>
      <c r="R142" s="114"/>
      <c r="S142" s="114">
        <v>1</v>
      </c>
      <c r="T142" s="114">
        <v>0</v>
      </c>
      <c r="U142" s="114">
        <v>0</v>
      </c>
      <c r="V142" s="114">
        <v>0</v>
      </c>
      <c r="W142" s="114">
        <v>0</v>
      </c>
      <c r="X142" s="114">
        <v>1</v>
      </c>
      <c r="Y142" s="114">
        <v>1</v>
      </c>
      <c r="Z142" s="114" t="s">
        <v>58</v>
      </c>
      <c r="AA142" s="114">
        <v>1</v>
      </c>
      <c r="AB142" s="114">
        <f>_xlfn.IFS(AT142&lt;34,1,AT142=34-51,2,AT142&gt;51,3)</f>
        <v>3</v>
      </c>
      <c r="AC142" s="114">
        <v>2</v>
      </c>
      <c r="AD142" s="114">
        <v>2</v>
      </c>
      <c r="AE142" s="114">
        <f>Y142+AA142+AB142+AC142+AD142</f>
        <v>9</v>
      </c>
      <c r="AF142" s="116" t="s">
        <v>63</v>
      </c>
      <c r="AG142" s="114">
        <f t="shared" si="33"/>
        <v>4.39181286549708</v>
      </c>
      <c r="AH142" s="114">
        <f t="shared" si="34"/>
        <v>0.497737556561086</v>
      </c>
      <c r="AI142" s="114">
        <f t="shared" si="35"/>
        <v>1.91</v>
      </c>
      <c r="AJ142" s="159">
        <f>LN(IF(AG142&gt;=1,AG142,1))*3.8+LN(IF(AH142&gt;=1,AH142,1))*9.6+11.2*LN(IF(AI142&gt;=1,AI142,1))+6.4*AN142</f>
        <v>19.2705762730492</v>
      </c>
      <c r="AK142" s="160">
        <f>IF(AND(AG142&gt;0,AH142&gt;0,AI142&gt;0),AJ142,"")</f>
        <v>19.2705762730492</v>
      </c>
      <c r="AL142" s="160">
        <f t="shared" si="36"/>
        <v>19.2705762730492</v>
      </c>
      <c r="AM142" s="160">
        <f>IF(AV142&gt;135,135,IF(AV142&lt;120,120,AV142))</f>
        <v>135</v>
      </c>
      <c r="AN142" s="114">
        <v>1</v>
      </c>
      <c r="AO142" s="114">
        <v>3</v>
      </c>
      <c r="AP142" s="114">
        <v>3.19</v>
      </c>
      <c r="AQ142" s="114">
        <v>132</v>
      </c>
      <c r="AR142" s="114">
        <v>1.91</v>
      </c>
      <c r="AS142" s="160">
        <v>30</v>
      </c>
      <c r="AT142" s="161">
        <v>75.1</v>
      </c>
      <c r="AU142" s="114">
        <v>44</v>
      </c>
      <c r="AV142" s="114">
        <v>141</v>
      </c>
      <c r="AZ142" s="119" t="s">
        <v>449</v>
      </c>
    </row>
    <row r="143" s="125" customFormat="1" spans="1:52">
      <c r="A143" s="125" t="s">
        <v>198</v>
      </c>
      <c r="B143" s="125" t="s">
        <v>48</v>
      </c>
      <c r="C143" s="125">
        <v>64</v>
      </c>
      <c r="D143" s="185">
        <v>1.68</v>
      </c>
      <c r="E143" s="125">
        <v>55</v>
      </c>
      <c r="F143" s="136">
        <f>E143/(D143*D143)</f>
        <v>19.4869614512472</v>
      </c>
      <c r="G143" s="185">
        <v>6</v>
      </c>
      <c r="I143" s="186">
        <v>44032</v>
      </c>
      <c r="J143" s="186">
        <v>44051</v>
      </c>
      <c r="K143" s="186">
        <v>44092</v>
      </c>
      <c r="L143" s="187">
        <v>13</v>
      </c>
      <c r="M143" s="187">
        <v>19</v>
      </c>
      <c r="N143" s="188" t="s">
        <v>450</v>
      </c>
      <c r="O143" s="114"/>
      <c r="P143" s="114">
        <v>1</v>
      </c>
      <c r="Q143" s="114"/>
      <c r="R143" s="114"/>
      <c r="S143" s="114"/>
      <c r="T143" s="114">
        <v>1</v>
      </c>
      <c r="U143" s="114">
        <v>1</v>
      </c>
      <c r="V143" s="114">
        <v>1</v>
      </c>
      <c r="W143" s="114">
        <v>1</v>
      </c>
      <c r="X143" s="114">
        <v>1</v>
      </c>
      <c r="Y143" s="114">
        <v>2</v>
      </c>
      <c r="Z143" s="114" t="s">
        <v>321</v>
      </c>
      <c r="AA143" s="114">
        <v>3</v>
      </c>
      <c r="AB143" s="114">
        <f>_xlfn.IFS(AT143&lt;34,1,AT143=34-51,2,AT143&gt;51,3)</f>
        <v>3</v>
      </c>
      <c r="AC143" s="114">
        <f>_xlfn.IFS(AS143&lt;28,3,AS143=28-35,2,AS143&gt;35,1)</f>
        <v>3</v>
      </c>
      <c r="AD143" s="114">
        <f>_xlfn.IFS(AR143&lt;1.7,1,AR143=1.7-2.3,2,AR143&gt;2.3,3)</f>
        <v>1</v>
      </c>
      <c r="AE143" s="114">
        <f>Y143+AA143+AB143+AC143+AD143</f>
        <v>12</v>
      </c>
      <c r="AF143" s="116" t="s">
        <v>50</v>
      </c>
      <c r="AG143" s="114">
        <f>AT143/17.1</f>
        <v>3.42690058479532</v>
      </c>
      <c r="AH143" s="114">
        <f>AU143/88.4</f>
        <v>1.05203619909502</v>
      </c>
      <c r="AI143" s="114">
        <f>AR143</f>
        <v>1.55</v>
      </c>
      <c r="AJ143" s="159">
        <f>LN(IF(AG143&gt;=1,AG143,1))*3.8+LN(IF(AH143&gt;=1,AH143,1))*9.6+11.2*LN(IF(AI143&gt;=1,AI143,1))+6.4*AN143</f>
        <v>10.0757331378042</v>
      </c>
      <c r="AK143" s="160">
        <f>IF(AND(AG143&gt;0,AH143&gt;0,AI143&gt;0),AJ143,"")</f>
        <v>10.0757331378042</v>
      </c>
      <c r="AL143" s="160">
        <f>AK143+1.59*(135-AM143)</f>
        <v>32.3357331378042</v>
      </c>
      <c r="AM143" s="160">
        <f>IF(AV143&gt;135,135,IF(AV143&lt;120,120,AV143))</f>
        <v>121</v>
      </c>
      <c r="AN143" s="114">
        <v>0</v>
      </c>
      <c r="AO143" s="114">
        <v>1</v>
      </c>
      <c r="AP143" s="114">
        <v>4.51</v>
      </c>
      <c r="AQ143" s="114">
        <v>63</v>
      </c>
      <c r="AR143" s="114">
        <v>1.55</v>
      </c>
      <c r="AS143" s="160">
        <v>22</v>
      </c>
      <c r="AT143" s="161">
        <v>58.6</v>
      </c>
      <c r="AU143" s="114">
        <v>93</v>
      </c>
      <c r="AV143" s="114">
        <v>121</v>
      </c>
      <c r="AZ143" s="131" t="s">
        <v>451</v>
      </c>
    </row>
    <row r="144" s="129" customFormat="1" spans="1:52">
      <c r="A144" s="129" t="s">
        <v>366</v>
      </c>
      <c r="B144" s="129" t="s">
        <v>48</v>
      </c>
      <c r="C144" s="129">
        <v>74</v>
      </c>
      <c r="D144" s="217">
        <v>1.65</v>
      </c>
      <c r="E144" s="129">
        <v>72</v>
      </c>
      <c r="F144" s="218">
        <f>E144/(D144*D144)</f>
        <v>26.4462809917355</v>
      </c>
      <c r="G144" s="217">
        <v>6</v>
      </c>
      <c r="I144" s="219">
        <v>44039</v>
      </c>
      <c r="J144" s="219">
        <v>44048</v>
      </c>
      <c r="L144" s="220">
        <v>3</v>
      </c>
      <c r="M144" s="220">
        <v>9</v>
      </c>
      <c r="N144" s="221" t="s">
        <v>452</v>
      </c>
      <c r="O144" s="114"/>
      <c r="P144" s="114">
        <v>1</v>
      </c>
      <c r="Q144" s="114"/>
      <c r="R144" s="114"/>
      <c r="S144" s="114"/>
      <c r="T144" s="114">
        <v>1</v>
      </c>
      <c r="U144" s="114">
        <v>0</v>
      </c>
      <c r="V144" s="114">
        <v>1</v>
      </c>
      <c r="W144" s="114">
        <v>0</v>
      </c>
      <c r="X144" s="114">
        <v>1</v>
      </c>
      <c r="Y144" s="114">
        <v>1</v>
      </c>
      <c r="Z144" s="114" t="s">
        <v>300</v>
      </c>
      <c r="AA144" s="114">
        <v>2</v>
      </c>
      <c r="AB144" s="114">
        <f>_xlfn.IFS(AT144&lt;34,1,AT144=34-51,2,AT144&gt;51,3)</f>
        <v>3</v>
      </c>
      <c r="AC144" s="114">
        <f>_xlfn.IFS(AS144&lt;28,3,AS144=28-35,2,AS144&gt;35,1)</f>
        <v>3</v>
      </c>
      <c r="AD144" s="114">
        <f>_xlfn.IFS(AR144&lt;1.7,1,AR144=1.7-2.3,2,AR144&gt;2.3,3)</f>
        <v>1</v>
      </c>
      <c r="AE144" s="114">
        <f>Y144+AA144+AB144+AC144+AD144</f>
        <v>10</v>
      </c>
      <c r="AF144" s="116" t="s">
        <v>50</v>
      </c>
      <c r="AG144" s="114">
        <f>AT144/17.1</f>
        <v>3.09356725146199</v>
      </c>
      <c r="AH144" s="114">
        <f>AU144/88.4</f>
        <v>0.746606334841629</v>
      </c>
      <c r="AI144" s="114">
        <f>AR144</f>
        <v>1.62</v>
      </c>
      <c r="AJ144" s="159">
        <f>LN(IF(AG144&gt;=1,AG144,1))*3.8+LN(IF(AH144&gt;=1,AH144,1))*9.6+11.2*LN(IF(AI144&gt;=1,AI144,1))+6.4*AN144</f>
        <v>9.69460739788751</v>
      </c>
      <c r="AK144" s="160">
        <f>IF(AND(AG144&gt;0,AH144&gt;0,AI144&gt;0),AJ144,"")</f>
        <v>9.69460739788751</v>
      </c>
      <c r="AL144" s="160">
        <f>AK144+1.59*(135-AM144)</f>
        <v>9.69460739788751</v>
      </c>
      <c r="AM144" s="160">
        <f>IF(AV144&gt;135,135,IF(AV144&lt;120,120,AV144))</f>
        <v>135</v>
      </c>
      <c r="AN144" s="114">
        <v>0</v>
      </c>
      <c r="AO144" s="114">
        <v>1</v>
      </c>
      <c r="AP144" s="114">
        <v>2.19</v>
      </c>
      <c r="AQ144" s="114">
        <v>104</v>
      </c>
      <c r="AR144" s="114">
        <v>1.62</v>
      </c>
      <c r="AS144" s="160">
        <v>25</v>
      </c>
      <c r="AT144" s="161">
        <v>52.9</v>
      </c>
      <c r="AU144" s="114">
        <v>66</v>
      </c>
      <c r="AV144" s="114">
        <v>139</v>
      </c>
      <c r="AZ144" s="222" t="s">
        <v>453</v>
      </c>
    </row>
    <row r="145" s="126" customFormat="1" spans="1:52">
      <c r="A145" s="126" t="s">
        <v>454</v>
      </c>
      <c r="B145" s="126" t="s">
        <v>48</v>
      </c>
      <c r="C145" s="126">
        <v>17</v>
      </c>
      <c r="D145" s="190">
        <v>1.75</v>
      </c>
      <c r="E145" s="126">
        <v>56</v>
      </c>
      <c r="F145" s="136">
        <f>E145/(D145*D145)</f>
        <v>18.2857142857143</v>
      </c>
      <c r="G145" s="190">
        <v>2</v>
      </c>
      <c r="I145" s="191">
        <v>44025</v>
      </c>
      <c r="J145" s="191">
        <v>44057</v>
      </c>
      <c r="L145" s="192">
        <v>1</v>
      </c>
      <c r="M145" s="138">
        <v>32</v>
      </c>
      <c r="N145" s="193" t="s">
        <v>455</v>
      </c>
      <c r="O145" s="114"/>
      <c r="P145" s="114"/>
      <c r="Q145" s="114"/>
      <c r="R145" s="114">
        <v>1</v>
      </c>
      <c r="S145" s="114"/>
      <c r="T145" s="114">
        <v>0</v>
      </c>
      <c r="U145" s="114">
        <v>0</v>
      </c>
      <c r="V145" s="114">
        <v>0</v>
      </c>
      <c r="W145" s="114">
        <v>0</v>
      </c>
      <c r="X145" s="114">
        <v>0</v>
      </c>
      <c r="Y145" s="114">
        <v>1</v>
      </c>
      <c r="Z145" s="114" t="s">
        <v>58</v>
      </c>
      <c r="AA145" s="114">
        <v>1</v>
      </c>
      <c r="AB145" s="114">
        <v>1</v>
      </c>
      <c r="AC145" s="114">
        <v>2</v>
      </c>
      <c r="AD145" s="114">
        <f>_xlfn.IFS(AR145&lt;1.7,1,AR145=1.7-2.3,2,AR145&gt;2.3,3)</f>
        <v>1</v>
      </c>
      <c r="AE145" s="114">
        <f>Y145+AA145+AB145+AC145+AD145</f>
        <v>6</v>
      </c>
      <c r="AF145" s="116" t="s">
        <v>59</v>
      </c>
      <c r="AG145" s="114">
        <f>AT145/17.1</f>
        <v>3.55555555555555</v>
      </c>
      <c r="AH145" s="114">
        <f>AU145/88.4</f>
        <v>0.486425339366516</v>
      </c>
      <c r="AI145" s="114">
        <f>AR145</f>
        <v>1.12</v>
      </c>
      <c r="AJ145" s="159">
        <f>LN(IF(AG145&gt;=1,AG145,1))*3.8+LN(IF(AH145&gt;=1,AH145,1))*9.6+11.2*LN(IF(AI145&gt;=1,AI145,1))+6.4*AN145</f>
        <v>6.08962431219976</v>
      </c>
      <c r="AK145" s="160">
        <f>IF(AND(AG145&gt;0,AH145&gt;0,AI145&gt;0),AJ145,"")</f>
        <v>6.08962431219976</v>
      </c>
      <c r="AL145" s="160">
        <f>AK145+1.59*(135-AM145)</f>
        <v>6.08962431219976</v>
      </c>
      <c r="AM145" s="160">
        <f>IF(AV145&gt;135,135,IF(AV145&lt;120,120,AV145))</f>
        <v>135</v>
      </c>
      <c r="AN145" s="114">
        <v>0</v>
      </c>
      <c r="AO145" s="114">
        <v>1</v>
      </c>
      <c r="AP145" s="114">
        <v>7</v>
      </c>
      <c r="AQ145" s="114">
        <v>116</v>
      </c>
      <c r="AR145" s="114">
        <v>1.12</v>
      </c>
      <c r="AS145" s="160">
        <v>35</v>
      </c>
      <c r="AT145" s="161">
        <v>60.8</v>
      </c>
      <c r="AU145" s="114">
        <v>43</v>
      </c>
      <c r="AV145" s="114">
        <v>145</v>
      </c>
      <c r="AZ145" s="194" t="s">
        <v>456</v>
      </c>
    </row>
    <row r="146" s="125" customFormat="1" spans="1:52">
      <c r="A146" s="125" t="s">
        <v>457</v>
      </c>
      <c r="B146" s="125" t="s">
        <v>48</v>
      </c>
      <c r="C146" s="125">
        <v>59</v>
      </c>
      <c r="D146" s="185">
        <v>1.74</v>
      </c>
      <c r="E146" s="125">
        <v>59</v>
      </c>
      <c r="F146" s="136">
        <f>E146/(D146*D146)</f>
        <v>19.4873827454089</v>
      </c>
      <c r="G146" s="185">
        <v>5</v>
      </c>
      <c r="I146" s="186">
        <v>44037</v>
      </c>
      <c r="J146" s="186">
        <v>44048</v>
      </c>
      <c r="K146" s="186">
        <v>44398</v>
      </c>
      <c r="L146" s="187">
        <v>1</v>
      </c>
      <c r="M146" s="187">
        <v>11</v>
      </c>
      <c r="N146" s="188" t="s">
        <v>458</v>
      </c>
      <c r="O146" s="114"/>
      <c r="P146" s="114">
        <v>1</v>
      </c>
      <c r="Q146" s="114"/>
      <c r="R146" s="114"/>
      <c r="S146" s="114"/>
      <c r="T146" s="114">
        <v>1</v>
      </c>
      <c r="U146" s="114">
        <v>0</v>
      </c>
      <c r="V146" s="114">
        <v>1</v>
      </c>
      <c r="W146" s="114">
        <v>1</v>
      </c>
      <c r="X146" s="114">
        <v>1</v>
      </c>
      <c r="Y146" s="114">
        <v>1</v>
      </c>
      <c r="Z146" s="114" t="s">
        <v>307</v>
      </c>
      <c r="AA146" s="114">
        <v>3</v>
      </c>
      <c r="AB146" s="114">
        <f>_xlfn.IFS(AT146&lt;34,1,AT146=34-51,2,AT146&gt;51,3)</f>
        <v>1</v>
      </c>
      <c r="AC146" s="114">
        <f>_xlfn.IFS(AS146&lt;28,3,AS146=28-35,2,AS146&gt;35,1)</f>
        <v>3</v>
      </c>
      <c r="AD146" s="114">
        <f>_xlfn.IFS(AR146&lt;1.7,1,AR146=1.7-2.3,2,AR146&gt;2.3,3)</f>
        <v>1</v>
      </c>
      <c r="AE146" s="114">
        <f>Y146+AA146+AB146+AC146+AD146</f>
        <v>9</v>
      </c>
      <c r="AF146" s="116" t="s">
        <v>63</v>
      </c>
      <c r="AG146" s="114">
        <f>AT146/17.1</f>
        <v>0.584795321637427</v>
      </c>
      <c r="AH146" s="114">
        <f>AU146/88.4</f>
        <v>0.644796380090498</v>
      </c>
      <c r="AI146" s="114">
        <f>AR146</f>
        <v>1.08</v>
      </c>
      <c r="AJ146" s="159">
        <f>LN(IF(AG146&gt;=1,AG146,1))*3.8+LN(IF(AH146&gt;=1,AH146,1))*9.6+11.2*LN(IF(AI146&gt;=1,AI146,1))+6.4*AN146</f>
        <v>0.861963660724638</v>
      </c>
      <c r="AK146" s="160">
        <f>IF(AND(AG146&gt;0,AH146&gt;0,AI146&gt;0),AJ146,"")</f>
        <v>0.861963660724638</v>
      </c>
      <c r="AL146" s="160">
        <f>AK146+1.59*(135-AM146)</f>
        <v>0.861963660724638</v>
      </c>
      <c r="AM146" s="160">
        <f>IF(AV146&gt;135,135,IF(AV146&lt;120,120,AV146))</f>
        <v>135</v>
      </c>
      <c r="AN146" s="114">
        <v>0</v>
      </c>
      <c r="AO146" s="114">
        <v>1</v>
      </c>
      <c r="AP146" s="114">
        <v>2.41</v>
      </c>
      <c r="AQ146" s="114">
        <v>93</v>
      </c>
      <c r="AR146" s="114">
        <v>1.08</v>
      </c>
      <c r="AS146" s="160">
        <v>26</v>
      </c>
      <c r="AT146" s="161">
        <v>10</v>
      </c>
      <c r="AU146" s="114">
        <v>57</v>
      </c>
      <c r="AV146" s="114">
        <v>137</v>
      </c>
      <c r="AZ146" s="131" t="s">
        <v>459</v>
      </c>
    </row>
    <row r="147" spans="1:52">
      <c r="A147" s="117" t="s">
        <v>460</v>
      </c>
      <c r="B147" s="117" t="s">
        <v>53</v>
      </c>
      <c r="C147" s="117">
        <v>66</v>
      </c>
      <c r="D147" s="135">
        <v>1.63</v>
      </c>
      <c r="E147" s="117">
        <v>50</v>
      </c>
      <c r="F147" s="136">
        <f t="shared" ref="F147:F169" si="37">E147/(D147*D147)</f>
        <v>18.8189243102864</v>
      </c>
      <c r="G147" s="135">
        <v>2</v>
      </c>
      <c r="I147" s="158">
        <v>44060</v>
      </c>
      <c r="J147" s="158">
        <v>44065</v>
      </c>
      <c r="L147" s="137">
        <v>3</v>
      </c>
      <c r="M147" s="138">
        <v>5</v>
      </c>
      <c r="N147" s="139" t="s">
        <v>461</v>
      </c>
      <c r="O147" s="114">
        <v>1</v>
      </c>
      <c r="P147" s="114"/>
      <c r="Q147" s="114"/>
      <c r="R147" s="114"/>
      <c r="S147" s="114"/>
      <c r="T147" s="114">
        <v>0</v>
      </c>
      <c r="U147" s="114">
        <v>0</v>
      </c>
      <c r="V147" s="114">
        <v>1</v>
      </c>
      <c r="W147" s="114">
        <v>0</v>
      </c>
      <c r="X147" s="114">
        <v>1</v>
      </c>
      <c r="Y147" s="114">
        <v>1</v>
      </c>
      <c r="Z147" s="114" t="s">
        <v>58</v>
      </c>
      <c r="AA147" s="114">
        <v>1</v>
      </c>
      <c r="AB147" s="114">
        <f t="shared" ref="AB147:AB153" si="38">_xlfn.IFS(AT147&lt;34,1,AT147=34-51,2,AT147&gt;51,3)</f>
        <v>1</v>
      </c>
      <c r="AC147" s="114">
        <f>_xlfn.IFS(AS147&lt;28,3,AS147=28-35,2,AS147&gt;35,1)</f>
        <v>1</v>
      </c>
      <c r="AD147" s="114">
        <f>_xlfn.IFS(AR147&lt;1.7,1,AR147=1.7-2.3,2,AR147&gt;2.3,3)</f>
        <v>1</v>
      </c>
      <c r="AE147" s="114">
        <f t="shared" ref="AE147:AE157" si="39">Y147+AA147+AB147+AC147+AD147</f>
        <v>5</v>
      </c>
      <c r="AF147" s="116" t="s">
        <v>59</v>
      </c>
      <c r="AG147" s="114">
        <f>AT147/17.1</f>
        <v>0.485380116959064</v>
      </c>
      <c r="AH147" s="114">
        <f>AU147/88.4</f>
        <v>0.475113122171946</v>
      </c>
      <c r="AI147" s="114">
        <f>AR147</f>
        <v>1.07</v>
      </c>
      <c r="AJ147" s="159">
        <f>LN(IF(AG147&gt;=1,AG147,1))*3.8+LN(IF(AH147&gt;=1,AH147,1))*9.6+11.2*LN(IF(AI147&gt;=1,AI147,1))+6.4*AN147</f>
        <v>7.15777686290673</v>
      </c>
      <c r="AK147" s="160">
        <f>IF(AND(AG147&gt;0,AH147&gt;0,AI147&gt;0),AJ147,"")</f>
        <v>7.15777686290673</v>
      </c>
      <c r="AL147" s="160">
        <f>AK147+1.59*(135-AM147)</f>
        <v>7.15777686290673</v>
      </c>
      <c r="AM147" s="160">
        <f>IF(AV147&gt;135,135,IF(AV147&lt;120,120,AV147))</f>
        <v>135</v>
      </c>
      <c r="AN147" s="114">
        <v>1</v>
      </c>
      <c r="AO147" s="114">
        <v>1</v>
      </c>
      <c r="AP147" s="114">
        <v>3.09</v>
      </c>
      <c r="AQ147" s="114">
        <v>116</v>
      </c>
      <c r="AR147" s="114">
        <v>1.07</v>
      </c>
      <c r="AS147" s="160">
        <v>42</v>
      </c>
      <c r="AT147" s="161">
        <v>8.3</v>
      </c>
      <c r="AU147" s="114">
        <v>42</v>
      </c>
      <c r="AV147" s="114">
        <v>143</v>
      </c>
      <c r="AZ147" s="119" t="s">
        <v>462</v>
      </c>
    </row>
    <row r="148" s="125" customFormat="1" spans="1:52">
      <c r="A148" s="125" t="s">
        <v>463</v>
      </c>
      <c r="B148" s="125" t="s">
        <v>48</v>
      </c>
      <c r="C148" s="125">
        <v>65</v>
      </c>
      <c r="D148" s="185">
        <v>1.75</v>
      </c>
      <c r="E148" s="125">
        <v>70</v>
      </c>
      <c r="F148" s="136">
        <f t="shared" si="37"/>
        <v>22.8571428571429</v>
      </c>
      <c r="G148" s="125">
        <v>7</v>
      </c>
      <c r="I148" s="186">
        <v>44057</v>
      </c>
      <c r="J148" s="186">
        <v>44078</v>
      </c>
      <c r="K148" s="186">
        <v>44287</v>
      </c>
      <c r="L148" s="187">
        <v>1</v>
      </c>
      <c r="M148" s="138">
        <v>21</v>
      </c>
      <c r="N148" s="188" t="s">
        <v>464</v>
      </c>
      <c r="O148" s="114"/>
      <c r="P148" s="114">
        <v>1</v>
      </c>
      <c r="Q148" s="114"/>
      <c r="R148" s="114"/>
      <c r="S148" s="114"/>
      <c r="T148" s="114">
        <v>1</v>
      </c>
      <c r="U148" s="114">
        <v>0</v>
      </c>
      <c r="V148" s="114">
        <v>1</v>
      </c>
      <c r="W148" s="114">
        <v>1</v>
      </c>
      <c r="X148" s="114">
        <v>1</v>
      </c>
      <c r="Y148" s="114">
        <v>1</v>
      </c>
      <c r="Z148" s="114" t="s">
        <v>321</v>
      </c>
      <c r="AA148" s="114">
        <v>3</v>
      </c>
      <c r="AB148" s="114">
        <f t="shared" si="38"/>
        <v>1</v>
      </c>
      <c r="AC148" s="114">
        <v>2</v>
      </c>
      <c r="AD148" s="114">
        <f>_xlfn.IFS(AR148&lt;1.7,1,AR148=1.7-2.3,2,AR148&gt;2.3,3)</f>
        <v>1</v>
      </c>
      <c r="AE148" s="114">
        <f t="shared" si="39"/>
        <v>8</v>
      </c>
      <c r="AF148" s="116" t="s">
        <v>63</v>
      </c>
      <c r="AG148" s="114">
        <f>AT148/17.1</f>
        <v>0.690058479532164</v>
      </c>
      <c r="AH148" s="114">
        <f>AU148/88.4</f>
        <v>0.757918552036199</v>
      </c>
      <c r="AI148" s="114">
        <f>AR148</f>
        <v>1.19</v>
      </c>
      <c r="AJ148" s="159">
        <f>LN(IF(AG148&gt;=1,AG148,1))*3.8+LN(IF(AH148&gt;=1,AH148,1))*9.6+11.2*LN(IF(AI148&gt;=1,AI148,1))+6.4*AN148</f>
        <v>1.94827703978251</v>
      </c>
      <c r="AK148" s="160">
        <f>IF(AND(AG148&gt;0,AH148&gt;0,AI148&gt;0),AJ148,"")</f>
        <v>1.94827703978251</v>
      </c>
      <c r="AL148" s="160">
        <f>AK148+1.59*(135-AM148)</f>
        <v>1.94827703978251</v>
      </c>
      <c r="AM148" s="160">
        <f>IF(AV148&gt;135,135,IF(AV148&lt;120,120,AV148))</f>
        <v>135</v>
      </c>
      <c r="AN148" s="114">
        <v>0</v>
      </c>
      <c r="AO148" s="114">
        <v>1</v>
      </c>
      <c r="AP148" s="114">
        <v>4.53</v>
      </c>
      <c r="AQ148" s="114">
        <v>142</v>
      </c>
      <c r="AR148" s="114">
        <v>1.19</v>
      </c>
      <c r="AS148" s="160">
        <v>33</v>
      </c>
      <c r="AT148" s="161">
        <v>11.8</v>
      </c>
      <c r="AU148" s="114">
        <v>67</v>
      </c>
      <c r="AV148" s="114">
        <v>142</v>
      </c>
      <c r="AZ148" s="131" t="s">
        <v>465</v>
      </c>
    </row>
    <row r="149" s="128" customFormat="1" spans="1:52">
      <c r="A149" s="128" t="s">
        <v>466</v>
      </c>
      <c r="B149" s="128" t="s">
        <v>53</v>
      </c>
      <c r="C149" s="128">
        <v>78</v>
      </c>
      <c r="D149" s="204">
        <v>1.57</v>
      </c>
      <c r="E149" s="128">
        <v>45</v>
      </c>
      <c r="F149" s="205">
        <f t="shared" si="37"/>
        <v>18.2563187147552</v>
      </c>
      <c r="G149" s="128">
        <v>3</v>
      </c>
      <c r="I149" s="206">
        <v>44055</v>
      </c>
      <c r="J149" s="206">
        <v>44067</v>
      </c>
      <c r="L149" s="207">
        <v>1</v>
      </c>
      <c r="M149" s="207">
        <v>12</v>
      </c>
      <c r="N149" s="208" t="s">
        <v>467</v>
      </c>
      <c r="O149" s="114"/>
      <c r="P149" s="114"/>
      <c r="Q149" s="114">
        <v>1</v>
      </c>
      <c r="R149" s="114"/>
      <c r="S149" s="114"/>
      <c r="T149" s="114">
        <v>1</v>
      </c>
      <c r="U149" s="114">
        <v>0</v>
      </c>
      <c r="V149" s="114">
        <v>0</v>
      </c>
      <c r="W149" s="114">
        <v>0</v>
      </c>
      <c r="X149" s="114">
        <v>1</v>
      </c>
      <c r="Y149" s="114">
        <v>1</v>
      </c>
      <c r="Z149" s="114" t="s">
        <v>300</v>
      </c>
      <c r="AA149" s="114">
        <v>2</v>
      </c>
      <c r="AB149" s="114">
        <f t="shared" si="38"/>
        <v>1</v>
      </c>
      <c r="AC149" s="114">
        <v>2</v>
      </c>
      <c r="AD149" s="114">
        <f>_xlfn.IFS(AR149&lt;1.7,1,AR149=1.7-2.3,2,AR149&gt;2.3,3)</f>
        <v>1</v>
      </c>
      <c r="AE149" s="114">
        <f t="shared" si="39"/>
        <v>7</v>
      </c>
      <c r="AF149" s="116" t="s">
        <v>63</v>
      </c>
      <c r="AG149" s="114">
        <f>AT149/17.1</f>
        <v>1.26900584795322</v>
      </c>
      <c r="AH149" s="114">
        <f>AU149/88.4</f>
        <v>0.452488687782805</v>
      </c>
      <c r="AI149" s="114">
        <f>AR149</f>
        <v>1.46</v>
      </c>
      <c r="AJ149" s="159">
        <f>LN(IF(AG149&gt;=1,AG149,1))*3.8+LN(IF(AH149&gt;=1,AH149,1))*9.6+11.2*LN(IF(AI149&gt;=1,AI149,1))+6.4*AN149</f>
        <v>11.5437765088104</v>
      </c>
      <c r="AK149" s="160">
        <f>IF(AND(AG149&gt;0,AH149&gt;0,AI149&gt;0),AJ149,"")</f>
        <v>11.5437765088104</v>
      </c>
      <c r="AL149" s="160">
        <f>AK149+1.59*(135-AM149)</f>
        <v>11.5437765088104</v>
      </c>
      <c r="AM149" s="160">
        <f>IF(AV149&gt;135,135,IF(AV149&lt;120,120,AV149))</f>
        <v>135</v>
      </c>
      <c r="AN149" s="114">
        <v>1</v>
      </c>
      <c r="AO149" s="114">
        <v>1</v>
      </c>
      <c r="AP149" s="114">
        <v>1.86</v>
      </c>
      <c r="AQ149" s="114">
        <v>91</v>
      </c>
      <c r="AR149" s="114">
        <v>1.46</v>
      </c>
      <c r="AS149" s="160">
        <v>31</v>
      </c>
      <c r="AT149" s="161">
        <v>21.7</v>
      </c>
      <c r="AU149" s="114">
        <v>40</v>
      </c>
      <c r="AV149" s="114">
        <v>139</v>
      </c>
      <c r="AZ149" s="209" t="s">
        <v>468</v>
      </c>
    </row>
    <row r="150" s="123" customFormat="1" spans="1:52">
      <c r="A150" s="123" t="s">
        <v>278</v>
      </c>
      <c r="B150" s="123" t="s">
        <v>53</v>
      </c>
      <c r="C150" s="123">
        <v>74</v>
      </c>
      <c r="D150" s="176">
        <v>1.63</v>
      </c>
      <c r="E150" s="123">
        <v>62</v>
      </c>
      <c r="F150" s="136">
        <f t="shared" si="37"/>
        <v>23.3354661447552</v>
      </c>
      <c r="G150" s="223">
        <v>5</v>
      </c>
      <c r="I150" s="177">
        <v>44058</v>
      </c>
      <c r="J150" s="177">
        <v>44074</v>
      </c>
      <c r="L150" s="178">
        <v>8</v>
      </c>
      <c r="M150" s="138">
        <v>16</v>
      </c>
      <c r="N150" s="179" t="s">
        <v>469</v>
      </c>
      <c r="O150" s="114"/>
      <c r="P150" s="114"/>
      <c r="Q150" s="114">
        <v>1</v>
      </c>
      <c r="R150" s="114"/>
      <c r="S150" s="114"/>
      <c r="T150" s="114">
        <v>1</v>
      </c>
      <c r="U150" s="114">
        <v>0</v>
      </c>
      <c r="V150" s="114">
        <v>1</v>
      </c>
      <c r="W150" s="114">
        <v>1</v>
      </c>
      <c r="X150" s="114">
        <v>1</v>
      </c>
      <c r="Y150" s="114">
        <v>1</v>
      </c>
      <c r="Z150" s="114" t="s">
        <v>321</v>
      </c>
      <c r="AA150" s="114">
        <v>3</v>
      </c>
      <c r="AB150" s="114">
        <f t="shared" si="38"/>
        <v>1</v>
      </c>
      <c r="AC150" s="114">
        <v>2</v>
      </c>
      <c r="AD150" s="114">
        <f>_xlfn.IFS(AR150&lt;1.7,1,AR150=1.7-2.3,2,AR150&gt;2.3,3)</f>
        <v>1</v>
      </c>
      <c r="AE150" s="114">
        <f t="shared" si="39"/>
        <v>8</v>
      </c>
      <c r="AF150" s="116" t="s">
        <v>63</v>
      </c>
      <c r="AG150" s="114">
        <f>AT150/17.1</f>
        <v>1.21052631578947</v>
      </c>
      <c r="AH150" s="114">
        <f>AU150/88.4</f>
        <v>0.927601809954751</v>
      </c>
      <c r="AI150" s="114">
        <f>AR150</f>
        <v>1.28</v>
      </c>
      <c r="AJ150" s="159">
        <f>LN(IF(AG150&gt;=1,AG150,1))*3.8+LN(IF(AH150&gt;=1,AH150,1))*9.6+11.2*LN(IF(AI150&gt;=1,AI150,1))+6.4*AN150</f>
        <v>9.89084277253138</v>
      </c>
      <c r="AK150" s="160">
        <f>IF(AND(AG150&gt;0,AH150&gt;0,AI150&gt;0),AJ150,"")</f>
        <v>9.89084277253138</v>
      </c>
      <c r="AL150" s="160">
        <f>AK150+1.59*(135-AM150)</f>
        <v>9.89084277253138</v>
      </c>
      <c r="AM150" s="160">
        <f>IF(AV150&gt;135,135,IF(AV150&lt;120,120,AV150))</f>
        <v>135</v>
      </c>
      <c r="AN150" s="114">
        <v>1</v>
      </c>
      <c r="AO150" s="114">
        <v>1</v>
      </c>
      <c r="AP150" s="114">
        <v>3.84</v>
      </c>
      <c r="AQ150" s="114">
        <v>78</v>
      </c>
      <c r="AR150" s="114">
        <v>1.28</v>
      </c>
      <c r="AS150" s="160">
        <v>29</v>
      </c>
      <c r="AT150" s="161">
        <v>20.7</v>
      </c>
      <c r="AU150" s="114">
        <v>82</v>
      </c>
      <c r="AV150" s="114">
        <v>141</v>
      </c>
      <c r="AZ150" s="132" t="s">
        <v>470</v>
      </c>
    </row>
    <row r="151" s="125" customFormat="1" spans="1:52">
      <c r="A151" s="125" t="s">
        <v>471</v>
      </c>
      <c r="B151" s="125" t="s">
        <v>48</v>
      </c>
      <c r="C151" s="125">
        <v>61</v>
      </c>
      <c r="D151" s="185">
        <v>1.8</v>
      </c>
      <c r="E151" s="125">
        <v>90</v>
      </c>
      <c r="F151" s="136">
        <f t="shared" si="37"/>
        <v>27.7777777777778</v>
      </c>
      <c r="G151" s="125">
        <v>4</v>
      </c>
      <c r="I151" s="186">
        <v>44050</v>
      </c>
      <c r="J151" s="186">
        <v>44104</v>
      </c>
      <c r="K151" s="186">
        <v>44135</v>
      </c>
      <c r="L151" s="187">
        <v>8</v>
      </c>
      <c r="M151" s="138">
        <v>54</v>
      </c>
      <c r="N151" s="188" t="s">
        <v>472</v>
      </c>
      <c r="O151" s="114">
        <v>1</v>
      </c>
      <c r="P151" s="114"/>
      <c r="Q151" s="114"/>
      <c r="R151" s="114"/>
      <c r="S151" s="114"/>
      <c r="T151" s="114">
        <v>1</v>
      </c>
      <c r="U151" s="114">
        <v>1</v>
      </c>
      <c r="V151" s="114">
        <v>1</v>
      </c>
      <c r="W151" s="114">
        <v>0</v>
      </c>
      <c r="X151" s="114">
        <v>1</v>
      </c>
      <c r="Y151" s="114">
        <v>2</v>
      </c>
      <c r="Z151" s="114" t="s">
        <v>321</v>
      </c>
      <c r="AA151" s="114">
        <v>3</v>
      </c>
      <c r="AB151" s="114">
        <f t="shared" si="38"/>
        <v>3</v>
      </c>
      <c r="AC151" s="114">
        <f>_xlfn.IFS(AS151&lt;28,3,AS151=28-35,2,AS151&gt;35,1)</f>
        <v>3</v>
      </c>
      <c r="AD151" s="114">
        <f>_xlfn.IFS(AR151&lt;1.7,1,AR151=1.7-2.3,2,AR151&gt;2.3,3)</f>
        <v>3</v>
      </c>
      <c r="AE151" s="114">
        <f t="shared" si="39"/>
        <v>14</v>
      </c>
      <c r="AF151" s="116" t="s">
        <v>50</v>
      </c>
      <c r="AG151" s="114">
        <f>AT151/17.1</f>
        <v>17.6023391812865</v>
      </c>
      <c r="AH151" s="114">
        <f>AU151/88.4</f>
        <v>0.429864253393665</v>
      </c>
      <c r="AI151" s="114">
        <f>AR151</f>
        <v>3</v>
      </c>
      <c r="AJ151" s="159">
        <f>LN(IF(AG151&gt;=1,AG151,1))*3.8+LN(IF(AH151&gt;=1,AH151,1))*9.6+11.2*LN(IF(AI151&gt;=1,AI151,1))+6.4*AN151</f>
        <v>29.6029784777958</v>
      </c>
      <c r="AK151" s="160">
        <f>IF(AND(AG151&gt;0,AH151&gt;0,AI151&gt;0),AJ151,"")</f>
        <v>29.6029784777958</v>
      </c>
      <c r="AL151" s="160">
        <f>AK151+1.59*(135-AM151)</f>
        <v>45.5029784777958</v>
      </c>
      <c r="AM151" s="160">
        <f>IF(AV151&gt;135,135,IF(AV151&lt;120,120,AV151))</f>
        <v>125</v>
      </c>
      <c r="AN151" s="114">
        <v>1</v>
      </c>
      <c r="AO151" s="114">
        <v>3</v>
      </c>
      <c r="AP151" s="114">
        <v>2.43</v>
      </c>
      <c r="AQ151" s="114">
        <v>64</v>
      </c>
      <c r="AR151" s="114">
        <v>3</v>
      </c>
      <c r="AS151" s="160">
        <v>15</v>
      </c>
      <c r="AT151" s="161">
        <v>301</v>
      </c>
      <c r="AU151" s="114">
        <v>38</v>
      </c>
      <c r="AV151" s="114">
        <v>125</v>
      </c>
      <c r="AZ151" s="131" t="s">
        <v>473</v>
      </c>
    </row>
    <row r="152" s="123" customFormat="1" spans="1:52">
      <c r="A152" s="123" t="s">
        <v>474</v>
      </c>
      <c r="B152" s="123" t="s">
        <v>48</v>
      </c>
      <c r="C152" s="123">
        <v>45</v>
      </c>
      <c r="D152" s="176">
        <v>1.65</v>
      </c>
      <c r="E152" s="123">
        <v>65</v>
      </c>
      <c r="F152" s="189">
        <f t="shared" si="37"/>
        <v>23.8751147842057</v>
      </c>
      <c r="G152" s="123">
        <v>2</v>
      </c>
      <c r="I152" s="177">
        <v>44064</v>
      </c>
      <c r="J152" s="177">
        <v>44080</v>
      </c>
      <c r="L152" s="178">
        <v>1</v>
      </c>
      <c r="M152" s="178">
        <v>16</v>
      </c>
      <c r="N152" s="179" t="s">
        <v>475</v>
      </c>
      <c r="O152" s="114"/>
      <c r="P152" s="114"/>
      <c r="Q152" s="114"/>
      <c r="R152" s="114"/>
      <c r="S152" s="114">
        <v>1</v>
      </c>
      <c r="T152" s="114">
        <v>1</v>
      </c>
      <c r="U152" s="114">
        <v>0</v>
      </c>
      <c r="V152" s="114">
        <v>1</v>
      </c>
      <c r="W152" s="114">
        <v>0</v>
      </c>
      <c r="X152" s="114">
        <v>1</v>
      </c>
      <c r="Y152" s="114">
        <v>1</v>
      </c>
      <c r="Z152" s="114" t="s">
        <v>300</v>
      </c>
      <c r="AA152" s="114">
        <v>2</v>
      </c>
      <c r="AB152" s="114">
        <f t="shared" si="38"/>
        <v>1</v>
      </c>
      <c r="AC152" s="114">
        <v>2</v>
      </c>
      <c r="AD152" s="114">
        <v>2</v>
      </c>
      <c r="AE152" s="114">
        <f t="shared" si="39"/>
        <v>8</v>
      </c>
      <c r="AF152" s="116" t="s">
        <v>63</v>
      </c>
      <c r="AG152" s="114">
        <f>AT152/17.1</f>
        <v>1.01754385964912</v>
      </c>
      <c r="AH152" s="114">
        <f>AU152/88.4</f>
        <v>1.04072398190045</v>
      </c>
      <c r="AI152" s="114">
        <f>AR152</f>
        <v>1.88</v>
      </c>
      <c r="AJ152" s="159">
        <f>LN(IF(AG152&gt;=1,AG152,1))*3.8+LN(IF(AH152&gt;=1,AH152,1))*9.6+11.2*LN(IF(AI152&gt;=1,AI152,1))+6.4*AN152</f>
        <v>13.9195319540262</v>
      </c>
      <c r="AK152" s="160">
        <f>IF(AND(AG152&gt;0,AH152&gt;0,AI152&gt;0),AJ152,"")</f>
        <v>13.9195319540262</v>
      </c>
      <c r="AL152" s="160">
        <f>AK152+1.59*(135-AM152)</f>
        <v>13.9195319540262</v>
      </c>
      <c r="AM152" s="160">
        <f>IF(AV152&gt;135,135,IF(AV152&lt;120,120,AV152))</f>
        <v>135</v>
      </c>
      <c r="AN152" s="114">
        <v>1</v>
      </c>
      <c r="AO152" s="114">
        <v>1</v>
      </c>
      <c r="AP152" s="114">
        <v>2.45</v>
      </c>
      <c r="AQ152" s="114">
        <v>82</v>
      </c>
      <c r="AR152" s="114">
        <v>1.88</v>
      </c>
      <c r="AS152" s="160">
        <v>33</v>
      </c>
      <c r="AT152" s="161">
        <v>17.4</v>
      </c>
      <c r="AU152" s="114">
        <v>92</v>
      </c>
      <c r="AV152" s="114">
        <v>143</v>
      </c>
      <c r="AZ152" s="132" t="s">
        <v>476</v>
      </c>
    </row>
    <row r="153" s="123" customFormat="1" spans="1:52">
      <c r="A153" s="123" t="s">
        <v>477</v>
      </c>
      <c r="B153" s="123" t="s">
        <v>48</v>
      </c>
      <c r="C153" s="123">
        <v>37</v>
      </c>
      <c r="D153" s="176">
        <v>1.77</v>
      </c>
      <c r="E153" s="123">
        <v>76</v>
      </c>
      <c r="F153" s="136">
        <f t="shared" si="37"/>
        <v>24.2586740719461</v>
      </c>
      <c r="G153" s="176">
        <v>0</v>
      </c>
      <c r="I153" s="177">
        <v>44056</v>
      </c>
      <c r="J153" s="177">
        <v>44089</v>
      </c>
      <c r="L153" s="178">
        <v>1</v>
      </c>
      <c r="M153" s="138">
        <v>33</v>
      </c>
      <c r="N153" s="179" t="s">
        <v>478</v>
      </c>
      <c r="O153" s="114"/>
      <c r="P153" s="114"/>
      <c r="Q153" s="114">
        <v>1</v>
      </c>
      <c r="R153" s="114"/>
      <c r="S153" s="114"/>
      <c r="T153" s="114">
        <v>0</v>
      </c>
      <c r="U153" s="114">
        <v>0</v>
      </c>
      <c r="V153" s="114">
        <v>1</v>
      </c>
      <c r="W153" s="114">
        <v>0</v>
      </c>
      <c r="X153" s="114">
        <v>1</v>
      </c>
      <c r="Y153" s="114">
        <v>1</v>
      </c>
      <c r="Z153" s="114" t="s">
        <v>58</v>
      </c>
      <c r="AA153" s="114">
        <v>1</v>
      </c>
      <c r="AB153" s="114">
        <f t="shared" si="38"/>
        <v>3</v>
      </c>
      <c r="AC153" s="114">
        <f>_xlfn.IFS(AS153&lt;28,3,AS153=28-35,2,AS153&gt;35,1)</f>
        <v>3</v>
      </c>
      <c r="AD153" s="114">
        <f>_xlfn.IFS(AR153&lt;1.7,1,AR153=1.7-2.3,2,AR153&gt;2.3,3)</f>
        <v>1</v>
      </c>
      <c r="AE153" s="114">
        <f t="shared" si="39"/>
        <v>9</v>
      </c>
      <c r="AF153" s="116" t="s">
        <v>63</v>
      </c>
      <c r="AG153" s="114">
        <f>AT153/17.1</f>
        <v>6.54385964912281</v>
      </c>
      <c r="AH153" s="114">
        <f>AU153/88.4</f>
        <v>0.81447963800905</v>
      </c>
      <c r="AI153" s="114">
        <f>AR153</f>
        <v>1.62</v>
      </c>
      <c r="AJ153" s="159">
        <f>LN(IF(AG153&gt;=1,AG153,1))*3.8+LN(IF(AH153&gt;=1,AH153,1))*9.6+11.2*LN(IF(AI153&gt;=1,AI153,1))+6.4*AN153</f>
        <v>18.9415760484113</v>
      </c>
      <c r="AK153" s="160">
        <f>IF(AND(AG153&gt;0,AH153&gt;0,AI153&gt;0),AJ153,"")</f>
        <v>18.9415760484113</v>
      </c>
      <c r="AL153" s="160">
        <f>AK153+1.59*(135-AM153)</f>
        <v>18.9415760484113</v>
      </c>
      <c r="AM153" s="160">
        <f>IF(AV153&gt;135,135,IF(AV153&lt;120,120,AV153))</f>
        <v>135</v>
      </c>
      <c r="AN153" s="114">
        <v>1</v>
      </c>
      <c r="AO153" s="114">
        <v>3</v>
      </c>
      <c r="AP153" s="114">
        <v>4.43</v>
      </c>
      <c r="AQ153" s="114">
        <v>129</v>
      </c>
      <c r="AR153" s="114">
        <v>1.62</v>
      </c>
      <c r="AS153" s="160">
        <v>24</v>
      </c>
      <c r="AT153" s="161">
        <v>111.9</v>
      </c>
      <c r="AU153" s="114">
        <v>72</v>
      </c>
      <c r="AV153" s="114">
        <v>142</v>
      </c>
      <c r="AZ153" s="132" t="s">
        <v>479</v>
      </c>
    </row>
    <row r="154" s="125" customFormat="1" spans="1:52">
      <c r="A154" s="125" t="s">
        <v>480</v>
      </c>
      <c r="B154" s="125" t="s">
        <v>53</v>
      </c>
      <c r="C154" s="125">
        <v>70</v>
      </c>
      <c r="D154" s="185">
        <v>1.63</v>
      </c>
      <c r="E154" s="125">
        <v>55</v>
      </c>
      <c r="F154" s="136">
        <f t="shared" si="37"/>
        <v>20.7008167413151</v>
      </c>
      <c r="G154" s="125">
        <v>2</v>
      </c>
      <c r="I154" s="186">
        <v>44071</v>
      </c>
      <c r="J154" s="186">
        <v>44102</v>
      </c>
      <c r="K154" s="186">
        <v>44332</v>
      </c>
      <c r="L154" s="187">
        <v>10</v>
      </c>
      <c r="M154" s="138">
        <v>31</v>
      </c>
      <c r="N154" s="188" t="s">
        <v>481</v>
      </c>
      <c r="O154" s="114"/>
      <c r="P154" s="114"/>
      <c r="Q154" s="114">
        <v>1</v>
      </c>
      <c r="R154" s="114"/>
      <c r="S154" s="114"/>
      <c r="T154" s="114">
        <v>1</v>
      </c>
      <c r="U154" s="114">
        <v>1</v>
      </c>
      <c r="V154" s="114">
        <v>1</v>
      </c>
      <c r="W154" s="114">
        <v>1</v>
      </c>
      <c r="X154" s="114">
        <v>1</v>
      </c>
      <c r="Y154" s="114">
        <v>2</v>
      </c>
      <c r="Z154" s="114" t="s">
        <v>300</v>
      </c>
      <c r="AA154" s="114">
        <v>2</v>
      </c>
      <c r="AB154" s="114">
        <v>2</v>
      </c>
      <c r="AC154" s="114">
        <f>_xlfn.IFS(AS154&lt;28,3,AS154=28-35,2,AS154&gt;35,1)</f>
        <v>3</v>
      </c>
      <c r="AD154" s="114">
        <f>_xlfn.IFS(AR154&lt;1.7,1,AR154=1.7-2.3,2,AR154&gt;2.3,3)</f>
        <v>1</v>
      </c>
      <c r="AE154" s="114">
        <f t="shared" si="39"/>
        <v>10</v>
      </c>
      <c r="AF154" s="116" t="s">
        <v>50</v>
      </c>
      <c r="AG154" s="114">
        <f>AT154/17.1</f>
        <v>2.01754385964912</v>
      </c>
      <c r="AH154" s="114">
        <f>AU154/88.4</f>
        <v>0.497737556561086</v>
      </c>
      <c r="AI154" s="114">
        <f>AR154</f>
        <v>1.18</v>
      </c>
      <c r="AJ154" s="159">
        <f>LN(IF(AG154&gt;=1,AG154,1))*3.8+LN(IF(AH154&gt;=1,AH154,1))*9.6+11.2*LN(IF(AI154&gt;=1,AI154,1))+6.4*AN154</f>
        <v>10.9209089809579</v>
      </c>
      <c r="AK154" s="160">
        <f>IF(AND(AG154&gt;0,AH154&gt;0,AI154&gt;0),AJ154,"")</f>
        <v>10.9209089809579</v>
      </c>
      <c r="AL154" s="160">
        <f>AK154+1.59*(135-AM154)</f>
        <v>10.9209089809579</v>
      </c>
      <c r="AM154" s="160">
        <f>IF(AV154&gt;135,135,IF(AV154&lt;120,120,AV154))</f>
        <v>135</v>
      </c>
      <c r="AN154" s="114">
        <v>1</v>
      </c>
      <c r="AO154" s="114">
        <v>1</v>
      </c>
      <c r="AP154" s="114">
        <v>5.14</v>
      </c>
      <c r="AQ154" s="114">
        <v>113</v>
      </c>
      <c r="AR154" s="114">
        <v>1.18</v>
      </c>
      <c r="AS154" s="160">
        <v>25</v>
      </c>
      <c r="AT154" s="161">
        <v>34.5</v>
      </c>
      <c r="AU154" s="114">
        <v>44</v>
      </c>
      <c r="AV154" s="114">
        <v>137</v>
      </c>
      <c r="AZ154" s="131" t="s">
        <v>482</v>
      </c>
    </row>
    <row r="155" s="123" customFormat="1" spans="1:52">
      <c r="A155" s="123" t="s">
        <v>483</v>
      </c>
      <c r="B155" s="123" t="s">
        <v>53</v>
      </c>
      <c r="C155" s="123">
        <v>66</v>
      </c>
      <c r="D155" s="176">
        <v>1.64</v>
      </c>
      <c r="E155" s="123">
        <v>60</v>
      </c>
      <c r="F155" s="136">
        <f t="shared" si="37"/>
        <v>22.3081499107674</v>
      </c>
      <c r="G155" s="123">
        <v>7</v>
      </c>
      <c r="I155" s="177">
        <v>44071</v>
      </c>
      <c r="J155" s="177">
        <v>44077</v>
      </c>
      <c r="L155" s="178">
        <v>3</v>
      </c>
      <c r="M155" s="138">
        <v>6</v>
      </c>
      <c r="N155" s="179" t="s">
        <v>484</v>
      </c>
      <c r="O155" s="114"/>
      <c r="P155" s="114"/>
      <c r="Q155" s="114">
        <v>1</v>
      </c>
      <c r="R155" s="114"/>
      <c r="S155" s="114"/>
      <c r="T155" s="114">
        <v>1</v>
      </c>
      <c r="U155" s="114">
        <v>1</v>
      </c>
      <c r="V155" s="114">
        <v>1</v>
      </c>
      <c r="W155" s="114">
        <v>1</v>
      </c>
      <c r="X155" s="114">
        <v>1</v>
      </c>
      <c r="Y155" s="114">
        <v>2</v>
      </c>
      <c r="Z155" s="114" t="s">
        <v>307</v>
      </c>
      <c r="AA155" s="114">
        <v>3</v>
      </c>
      <c r="AB155" s="114">
        <f>_xlfn.IFS(AT155&lt;34,1,AT155=34-51,2,AT155&gt;51,3)</f>
        <v>3</v>
      </c>
      <c r="AC155" s="114">
        <f>_xlfn.IFS(AS155&lt;28,3,AS155=28-35,2,AS155&gt;35,1)</f>
        <v>3</v>
      </c>
      <c r="AD155" s="114">
        <f>_xlfn.IFS(AR155&lt;1.7,1,AR155=1.7-2.3,2,AR155&gt;2.3,3)</f>
        <v>1</v>
      </c>
      <c r="AE155" s="114">
        <f t="shared" si="39"/>
        <v>12</v>
      </c>
      <c r="AF155" s="116" t="s">
        <v>50</v>
      </c>
      <c r="AG155" s="114">
        <f>AT155/17.1</f>
        <v>3.37426900584795</v>
      </c>
      <c r="AH155" s="114">
        <f>AU155/88.4</f>
        <v>0.8710407239819</v>
      </c>
      <c r="AI155" s="114">
        <f>AR155</f>
        <v>1.31</v>
      </c>
      <c r="AJ155" s="159">
        <f>LN(IF(AG155&gt;=1,AG155,1))*3.8+LN(IF(AH155&gt;=1,AH155,1))*9.6+11.2*LN(IF(AI155&gt;=1,AI155,1))+6.4*AN155</f>
        <v>14.0457830348069</v>
      </c>
      <c r="AK155" s="160">
        <f>IF(AND(AG155&gt;0,AH155&gt;0,AI155&gt;0),AJ155,"")</f>
        <v>14.0457830348069</v>
      </c>
      <c r="AL155" s="160">
        <f>AK155+1.59*(135-AM155)</f>
        <v>14.0457830348069</v>
      </c>
      <c r="AM155" s="160">
        <f>IF(AV155&gt;135,135,IF(AV155&lt;120,120,AV155))</f>
        <v>135</v>
      </c>
      <c r="AN155" s="114">
        <v>1</v>
      </c>
      <c r="AO155" s="114">
        <v>2</v>
      </c>
      <c r="AP155" s="114">
        <v>11.1</v>
      </c>
      <c r="AQ155" s="114">
        <v>66</v>
      </c>
      <c r="AR155" s="114">
        <v>1.31</v>
      </c>
      <c r="AS155" s="160">
        <v>15</v>
      </c>
      <c r="AT155" s="161">
        <v>57.7</v>
      </c>
      <c r="AU155" s="114">
        <v>77</v>
      </c>
      <c r="AV155" s="114">
        <v>137</v>
      </c>
      <c r="AZ155" s="132" t="s">
        <v>485</v>
      </c>
    </row>
    <row r="156" s="125" customFormat="1" spans="1:52">
      <c r="A156" s="125" t="s">
        <v>486</v>
      </c>
      <c r="B156" s="125" t="s">
        <v>53</v>
      </c>
      <c r="C156" s="125">
        <v>66</v>
      </c>
      <c r="D156" s="185">
        <v>1.62</v>
      </c>
      <c r="E156" s="125">
        <v>58</v>
      </c>
      <c r="F156" s="136">
        <f t="shared" si="37"/>
        <v>22.1002895900015</v>
      </c>
      <c r="G156" s="125">
        <v>3</v>
      </c>
      <c r="I156" s="186">
        <v>44069</v>
      </c>
      <c r="J156" s="186">
        <v>44091</v>
      </c>
      <c r="K156" s="186">
        <v>44105</v>
      </c>
      <c r="L156" s="187">
        <v>1</v>
      </c>
      <c r="M156" s="138">
        <v>22</v>
      </c>
      <c r="N156" s="188" t="s">
        <v>487</v>
      </c>
      <c r="O156" s="114"/>
      <c r="P156" s="114"/>
      <c r="Q156" s="114"/>
      <c r="R156" s="114">
        <v>1</v>
      </c>
      <c r="S156" s="114"/>
      <c r="T156" s="114">
        <v>1</v>
      </c>
      <c r="U156" s="114">
        <v>0</v>
      </c>
      <c r="V156" s="114">
        <v>1</v>
      </c>
      <c r="W156" s="114">
        <v>1</v>
      </c>
      <c r="X156" s="114">
        <v>1</v>
      </c>
      <c r="Y156" s="114">
        <v>1</v>
      </c>
      <c r="Z156" s="114" t="s">
        <v>321</v>
      </c>
      <c r="AA156" s="114">
        <v>3</v>
      </c>
      <c r="AB156" s="114">
        <f>_xlfn.IFS(AT156&lt;34,1,AT156=34-51,2,AT156&gt;51,3)</f>
        <v>3</v>
      </c>
      <c r="AC156" s="114">
        <f>_xlfn.IFS(AS156&lt;28,3,AS156=28-35,2,AS156&gt;35,1)</f>
        <v>3</v>
      </c>
      <c r="AD156" s="114">
        <v>2</v>
      </c>
      <c r="AE156" s="114">
        <f t="shared" si="39"/>
        <v>12</v>
      </c>
      <c r="AF156" s="116" t="s">
        <v>50</v>
      </c>
      <c r="AG156" s="114">
        <f>AT156/17.1</f>
        <v>15.672514619883</v>
      </c>
      <c r="AH156" s="114">
        <f>AU156/88.4</f>
        <v>0.644796380090498</v>
      </c>
      <c r="AI156" s="114">
        <f>AR156</f>
        <v>1.74</v>
      </c>
      <c r="AJ156" s="159">
        <f>LN(IF(AG156&gt;=1,AG156,1))*3.8+LN(IF(AH156&gt;=1,AH156,1))*9.6+11.2*LN(IF(AI156&gt;=1,AI156,1))+6.4*AN156</f>
        <v>16.6607656327446</v>
      </c>
      <c r="AK156" s="160">
        <f>IF(AND(AG156&gt;0,AH156&gt;0,AI156&gt;0),AJ156,"")</f>
        <v>16.6607656327446</v>
      </c>
      <c r="AL156" s="160">
        <f>AK156+1.59*(135-AM156)</f>
        <v>16.6607656327446</v>
      </c>
      <c r="AM156" s="160">
        <f>IF(AV156&gt;135,135,IF(AV156&lt;120,120,AV156))</f>
        <v>135</v>
      </c>
      <c r="AN156" s="114">
        <v>0</v>
      </c>
      <c r="AO156" s="114">
        <v>2</v>
      </c>
      <c r="AP156" s="114">
        <v>8.62</v>
      </c>
      <c r="AQ156" s="114">
        <v>107</v>
      </c>
      <c r="AR156" s="114">
        <v>1.74</v>
      </c>
      <c r="AS156" s="160">
        <v>27</v>
      </c>
      <c r="AT156" s="161">
        <v>268</v>
      </c>
      <c r="AU156" s="114">
        <v>57</v>
      </c>
      <c r="AV156" s="114">
        <v>140</v>
      </c>
      <c r="AZ156" s="131" t="s">
        <v>488</v>
      </c>
    </row>
    <row r="157" spans="1:52">
      <c r="A157" s="117" t="s">
        <v>489</v>
      </c>
      <c r="B157" s="117" t="s">
        <v>53</v>
      </c>
      <c r="C157" s="117">
        <v>66</v>
      </c>
      <c r="D157" s="135">
        <v>1.58</v>
      </c>
      <c r="E157" s="117">
        <v>69</v>
      </c>
      <c r="F157" s="136">
        <f t="shared" si="37"/>
        <v>27.639801313892</v>
      </c>
      <c r="G157" s="117">
        <v>0</v>
      </c>
      <c r="I157" s="158">
        <v>44074</v>
      </c>
      <c r="J157" s="158">
        <v>44100</v>
      </c>
      <c r="L157" s="137">
        <v>4</v>
      </c>
      <c r="M157" s="137">
        <v>26</v>
      </c>
      <c r="N157" s="139" t="s">
        <v>490</v>
      </c>
      <c r="O157" s="114"/>
      <c r="P157" s="114"/>
      <c r="Q157" s="114">
        <v>1</v>
      </c>
      <c r="R157" s="114"/>
      <c r="S157" s="114"/>
      <c r="T157" s="114">
        <v>0</v>
      </c>
      <c r="U157" s="114">
        <v>1</v>
      </c>
      <c r="V157" s="114">
        <v>1</v>
      </c>
      <c r="W157" s="114">
        <v>1</v>
      </c>
      <c r="X157" s="114">
        <v>1</v>
      </c>
      <c r="Y157" s="114">
        <v>2</v>
      </c>
      <c r="Z157" s="114" t="s">
        <v>58</v>
      </c>
      <c r="AA157" s="114">
        <v>1</v>
      </c>
      <c r="AB157" s="114">
        <v>2</v>
      </c>
      <c r="AC157" s="114">
        <f>_xlfn.IFS(AS157&lt;28,3,AS157=28-35,2,AS157&gt;35,1)</f>
        <v>3</v>
      </c>
      <c r="AD157" s="114">
        <f>_xlfn.IFS(AR157&lt;1.7,1,AR157=1.7-2.3,2,AR157&gt;2.3,3)</f>
        <v>1</v>
      </c>
      <c r="AE157" s="114">
        <f t="shared" si="39"/>
        <v>9</v>
      </c>
      <c r="AF157" s="116" t="s">
        <v>63</v>
      </c>
      <c r="AG157" s="114">
        <f>AT157/17.1</f>
        <v>2.14619883040936</v>
      </c>
      <c r="AH157" s="114">
        <f>AU157/88.4</f>
        <v>1.50452488687783</v>
      </c>
      <c r="AI157" s="114">
        <f>AR157</f>
        <v>1.19</v>
      </c>
      <c r="AJ157" s="159">
        <f>LN(IF(AG157&gt;=1,AG157,1))*3.8+LN(IF(AH157&gt;=1,AH157,1))*9.6+11.2*LN(IF(AI157&gt;=1,AI157,1))+6.4*AN157</f>
        <v>15.1717112700301</v>
      </c>
      <c r="AK157" s="160">
        <f>IF(AND(AG157&gt;0,AH157&gt;0,AI157&gt;0),AJ157,"")</f>
        <v>15.1717112700301</v>
      </c>
      <c r="AL157" s="160">
        <f>AK157+1.59*(135-AM157)</f>
        <v>15.1717112700301</v>
      </c>
      <c r="AM157" s="160">
        <f>IF(AV157&gt;135,135,IF(AV157&lt;120,120,AV157))</f>
        <v>135</v>
      </c>
      <c r="AN157" s="114">
        <v>1</v>
      </c>
      <c r="AO157" s="114">
        <v>2</v>
      </c>
      <c r="AP157" s="114">
        <v>3.58</v>
      </c>
      <c r="AQ157" s="114">
        <v>67</v>
      </c>
      <c r="AR157" s="114">
        <v>1.19</v>
      </c>
      <c r="AS157" s="160">
        <v>25</v>
      </c>
      <c r="AT157" s="161">
        <v>36.7</v>
      </c>
      <c r="AU157" s="114">
        <v>133</v>
      </c>
      <c r="AV157" s="114">
        <v>142</v>
      </c>
      <c r="AZ157" s="119" t="s">
        <v>491</v>
      </c>
    </row>
    <row r="158" s="125" customFormat="1" spans="1:52">
      <c r="A158" s="125" t="s">
        <v>492</v>
      </c>
      <c r="B158" s="125" t="s">
        <v>48</v>
      </c>
      <c r="C158" s="125">
        <v>74</v>
      </c>
      <c r="D158" s="185">
        <v>1.79</v>
      </c>
      <c r="E158" s="125">
        <v>65</v>
      </c>
      <c r="F158" s="136">
        <f>E158/(D158*D158)</f>
        <v>20.2865079117381</v>
      </c>
      <c r="G158" s="185">
        <v>5</v>
      </c>
      <c r="I158" s="186">
        <v>44076</v>
      </c>
      <c r="J158" s="186">
        <v>44103</v>
      </c>
      <c r="K158" s="186">
        <v>44449</v>
      </c>
      <c r="L158" s="187">
        <v>1</v>
      </c>
      <c r="M158" s="187">
        <v>27</v>
      </c>
      <c r="N158" s="188" t="s">
        <v>493</v>
      </c>
      <c r="O158" s="114"/>
      <c r="P158" s="114">
        <v>1</v>
      </c>
      <c r="Q158" s="114"/>
      <c r="R158" s="114"/>
      <c r="S158" s="114"/>
      <c r="T158" s="114">
        <v>1</v>
      </c>
      <c r="U158" s="114">
        <v>0</v>
      </c>
      <c r="V158" s="114">
        <v>1</v>
      </c>
      <c r="W158" s="114">
        <v>0</v>
      </c>
      <c r="X158" s="114">
        <v>1</v>
      </c>
      <c r="Y158" s="114">
        <v>1</v>
      </c>
      <c r="Z158" s="114" t="s">
        <v>300</v>
      </c>
      <c r="AA158" s="114">
        <v>2</v>
      </c>
      <c r="AB158" s="114">
        <v>2</v>
      </c>
      <c r="AC158" s="114">
        <f>_xlfn.IFS(AS158&lt;28,3,AS158=28-35,2,AS158&gt;35,1)</f>
        <v>3</v>
      </c>
      <c r="AD158" s="114">
        <f>_xlfn.IFS(AR158&lt;1.7,1,AR158=1.7-2.3,2,AR158&gt;2.3,3)</f>
        <v>1</v>
      </c>
      <c r="AE158" s="114">
        <f>Y158+AA158+AB158+AC158+AD158</f>
        <v>9</v>
      </c>
      <c r="AF158" s="116" t="s">
        <v>63</v>
      </c>
      <c r="AG158" s="114">
        <f>AT158/17.1</f>
        <v>2.19298245614035</v>
      </c>
      <c r="AH158" s="114">
        <f>AU158/88.4</f>
        <v>0.712669683257918</v>
      </c>
      <c r="AI158" s="114">
        <f>AR158</f>
        <v>1.62</v>
      </c>
      <c r="AJ158" s="159">
        <f>LN(IF(AG158&gt;=1,AG158,1))*3.8+LN(IF(AH158&gt;=1,AH158,1))*9.6+11.2*LN(IF(AI158&gt;=1,AI158,1))+6.4*AN158</f>
        <v>8.38717025551353</v>
      </c>
      <c r="AK158" s="160">
        <f>IF(AND(AG158&gt;0,AH158&gt;0,AI158&gt;0),AJ158,"")</f>
        <v>8.38717025551353</v>
      </c>
      <c r="AL158" s="160">
        <f>AK158+1.59*(135-AM158)</f>
        <v>8.38717025551353</v>
      </c>
      <c r="AM158" s="160">
        <f>IF(AV158&gt;135,135,IF(AV158&lt;120,120,AV158))</f>
        <v>135</v>
      </c>
      <c r="AN158" s="114">
        <v>0</v>
      </c>
      <c r="AO158" s="114">
        <v>1</v>
      </c>
      <c r="AP158" s="114">
        <v>11.45</v>
      </c>
      <c r="AQ158" s="114">
        <v>91</v>
      </c>
      <c r="AR158" s="114">
        <v>1.62</v>
      </c>
      <c r="AS158" s="160">
        <v>25</v>
      </c>
      <c r="AT158" s="161">
        <v>37.5</v>
      </c>
      <c r="AU158" s="114">
        <v>63</v>
      </c>
      <c r="AV158" s="114">
        <v>144</v>
      </c>
      <c r="AZ158" s="131" t="s">
        <v>494</v>
      </c>
    </row>
    <row r="159" spans="1:52">
      <c r="A159" s="117" t="s">
        <v>495</v>
      </c>
      <c r="B159" s="117" t="s">
        <v>53</v>
      </c>
      <c r="C159" s="117">
        <v>55</v>
      </c>
      <c r="D159" s="135">
        <v>1.65</v>
      </c>
      <c r="E159" s="117">
        <v>55</v>
      </c>
      <c r="F159" s="136">
        <f>E159/(D159*D159)</f>
        <v>20.2020202020202</v>
      </c>
      <c r="G159" s="117">
        <v>0</v>
      </c>
      <c r="I159" s="158">
        <v>44095</v>
      </c>
      <c r="J159" s="158">
        <v>44113</v>
      </c>
      <c r="L159" s="137">
        <v>1</v>
      </c>
      <c r="M159" s="137">
        <v>18</v>
      </c>
      <c r="N159" s="139" t="s">
        <v>496</v>
      </c>
      <c r="O159" s="114"/>
      <c r="P159" s="114"/>
      <c r="Q159" s="114">
        <v>1</v>
      </c>
      <c r="R159" s="114"/>
      <c r="S159" s="114"/>
      <c r="T159" s="114">
        <v>1</v>
      </c>
      <c r="U159" s="114">
        <v>0</v>
      </c>
      <c r="V159" s="114">
        <v>1</v>
      </c>
      <c r="W159" s="114">
        <v>0</v>
      </c>
      <c r="X159" s="114">
        <v>1</v>
      </c>
      <c r="Y159" s="114">
        <v>1</v>
      </c>
      <c r="Z159" s="114" t="s">
        <v>307</v>
      </c>
      <c r="AA159" s="114">
        <v>3</v>
      </c>
      <c r="AB159" s="114">
        <f>_xlfn.IFS(AT159&lt;34,1,AT159=34-51,2,AT159&gt;51,3)</f>
        <v>1</v>
      </c>
      <c r="AC159" s="114">
        <v>2</v>
      </c>
      <c r="AD159" s="114">
        <f>_xlfn.IFS(AR159&lt;1.7,1,AR159=1.7-2.3,2,AR159&gt;2.3,3)</f>
        <v>1</v>
      </c>
      <c r="AE159" s="114">
        <f>Y159+AA159+AB159+AC159+AD159</f>
        <v>8</v>
      </c>
      <c r="AF159" s="116" t="s">
        <v>63</v>
      </c>
      <c r="AG159" s="114">
        <f>AT159/17.1</f>
        <v>1.7719298245614</v>
      </c>
      <c r="AH159" s="114">
        <f>AU159/88.4</f>
        <v>0.701357466063348</v>
      </c>
      <c r="AI159" s="114">
        <f>AR159</f>
        <v>1.44</v>
      </c>
      <c r="AJ159" s="159">
        <f>LN(IF(AG159&gt;=1,AG159,1))*3.8+LN(IF(AH159&gt;=1,AH159,1))*9.6+11.2*LN(IF(AI159&gt;=1,AI159,1))+6.4*AN159</f>
        <v>12.6578660184101</v>
      </c>
      <c r="AK159" s="160">
        <f>IF(AND(AG159&gt;0,AH159&gt;0,AI159&gt;0),AJ159,"")</f>
        <v>12.6578660184101</v>
      </c>
      <c r="AL159" s="160">
        <f>AK159+1.59*(135-AM159)</f>
        <v>12.6578660184101</v>
      </c>
      <c r="AM159" s="160">
        <f>IF(AV159&gt;135,135,IF(AV159&lt;120,120,AV159))</f>
        <v>135</v>
      </c>
      <c r="AN159" s="114">
        <v>1</v>
      </c>
      <c r="AO159" s="114">
        <v>1</v>
      </c>
      <c r="AP159" s="114">
        <v>1.69</v>
      </c>
      <c r="AQ159" s="114">
        <v>65</v>
      </c>
      <c r="AR159" s="114">
        <v>1.44</v>
      </c>
      <c r="AS159" s="160">
        <v>31</v>
      </c>
      <c r="AT159" s="161">
        <v>30.3</v>
      </c>
      <c r="AU159" s="114">
        <v>62</v>
      </c>
      <c r="AV159" s="114">
        <v>143</v>
      </c>
      <c r="AZ159" s="119" t="s">
        <v>497</v>
      </c>
    </row>
    <row r="160" spans="1:52">
      <c r="A160" s="119" t="s">
        <v>498</v>
      </c>
      <c r="B160" s="117" t="s">
        <v>53</v>
      </c>
      <c r="C160" s="117">
        <v>67</v>
      </c>
      <c r="D160" s="135">
        <v>1.58</v>
      </c>
      <c r="E160" s="117">
        <v>46</v>
      </c>
      <c r="F160" s="136">
        <f>E160/(D160*D160)</f>
        <v>18.4265342092613</v>
      </c>
      <c r="G160" s="117">
        <v>4</v>
      </c>
      <c r="I160" s="158">
        <v>44093</v>
      </c>
      <c r="J160" s="158">
        <v>44117</v>
      </c>
      <c r="L160" s="137">
        <v>2</v>
      </c>
      <c r="M160" s="137">
        <v>24</v>
      </c>
      <c r="N160" s="139" t="s">
        <v>499</v>
      </c>
      <c r="O160" s="114"/>
      <c r="P160" s="114"/>
      <c r="Q160" s="114"/>
      <c r="R160" s="114"/>
      <c r="S160" s="114">
        <v>1</v>
      </c>
      <c r="T160" s="114">
        <v>0</v>
      </c>
      <c r="U160" s="114">
        <v>0</v>
      </c>
      <c r="V160" s="114">
        <v>1</v>
      </c>
      <c r="W160" s="114">
        <v>0</v>
      </c>
      <c r="X160" s="114">
        <v>1</v>
      </c>
      <c r="Y160" s="114">
        <v>1</v>
      </c>
      <c r="Z160" s="114" t="s">
        <v>58</v>
      </c>
      <c r="AA160" s="114">
        <v>1</v>
      </c>
      <c r="AB160" s="114">
        <f>_xlfn.IFS(AT160&lt;34,1,AT160=34-51,2,AT160&gt;51,3)</f>
        <v>1</v>
      </c>
      <c r="AC160" s="114">
        <f>_xlfn.IFS(AS160&lt;28,3,AS160=28-35,2,AS160&gt;35,1)</f>
        <v>3</v>
      </c>
      <c r="AD160" s="114">
        <f>_xlfn.IFS(AR160&lt;1.7,1,AR160=1.7-2.3,2,AR160&gt;2.3,3)</f>
        <v>1</v>
      </c>
      <c r="AE160" s="114">
        <f>Y160+AA160+AB160+AC160+AD160</f>
        <v>7</v>
      </c>
      <c r="AF160" s="116" t="s">
        <v>63</v>
      </c>
      <c r="AG160" s="114">
        <f>AT160/17.1</f>
        <v>0.923976608187134</v>
      </c>
      <c r="AH160" s="114">
        <f>AU160/88.4</f>
        <v>0.520361990950226</v>
      </c>
      <c r="AI160" s="114">
        <f>AR160</f>
        <v>1.05</v>
      </c>
      <c r="AJ160" s="159">
        <f>LN(IF(AG160&gt;=1,AG160,1))*3.8+LN(IF(AH160&gt;=1,AH160,1))*9.6+11.2*LN(IF(AI160&gt;=1,AI160,1))+6.4*AN160</f>
        <v>6.94644983869764</v>
      </c>
      <c r="AK160" s="160">
        <f>IF(AND(AG160&gt;0,AH160&gt;0,AI160&gt;0),AJ160,"")</f>
        <v>6.94644983869764</v>
      </c>
      <c r="AL160" s="160">
        <f>AK160+1.59*(135-AM160)</f>
        <v>6.94644983869764</v>
      </c>
      <c r="AM160" s="160">
        <f>IF(AV160&gt;135,135,IF(AV160&lt;120,120,AV160))</f>
        <v>135</v>
      </c>
      <c r="AN160" s="114">
        <v>1</v>
      </c>
      <c r="AO160" s="114">
        <v>1</v>
      </c>
      <c r="AP160" s="114">
        <v>2.33</v>
      </c>
      <c r="AQ160" s="114">
        <v>91</v>
      </c>
      <c r="AR160" s="114">
        <v>1.05</v>
      </c>
      <c r="AS160" s="160">
        <v>21</v>
      </c>
      <c r="AT160" s="161">
        <v>15.8</v>
      </c>
      <c r="AU160" s="114">
        <v>46</v>
      </c>
      <c r="AV160" s="114">
        <v>137</v>
      </c>
      <c r="AZ160" s="119" t="s">
        <v>500</v>
      </c>
    </row>
    <row r="161" spans="1:52">
      <c r="A161" s="117" t="s">
        <v>501</v>
      </c>
      <c r="B161" s="117" t="s">
        <v>53</v>
      </c>
      <c r="C161" s="117">
        <v>70</v>
      </c>
      <c r="D161" s="135">
        <v>1.6</v>
      </c>
      <c r="E161" s="117">
        <v>60</v>
      </c>
      <c r="F161" s="136">
        <f>E161/(D161*D161)</f>
        <v>23.4375</v>
      </c>
      <c r="G161" s="117">
        <v>7</v>
      </c>
      <c r="I161" s="158">
        <v>44077</v>
      </c>
      <c r="J161" s="158">
        <v>44098</v>
      </c>
      <c r="L161" s="137">
        <v>1</v>
      </c>
      <c r="M161" s="138">
        <v>21</v>
      </c>
      <c r="N161" s="139" t="s">
        <v>502</v>
      </c>
      <c r="O161" s="114"/>
      <c r="P161" s="114"/>
      <c r="Q161" s="114"/>
      <c r="R161" s="114"/>
      <c r="S161" s="114">
        <v>1</v>
      </c>
      <c r="T161" s="114">
        <v>0</v>
      </c>
      <c r="U161" s="114">
        <v>0</v>
      </c>
      <c r="V161" s="114">
        <v>1</v>
      </c>
      <c r="W161" s="114">
        <v>0</v>
      </c>
      <c r="X161" s="114">
        <v>1</v>
      </c>
      <c r="Y161" s="114">
        <v>1</v>
      </c>
      <c r="Z161" s="114" t="s">
        <v>58</v>
      </c>
      <c r="AA161" s="114">
        <v>1</v>
      </c>
      <c r="AB161" s="114">
        <f>_xlfn.IFS(AT161&lt;34,1,AT161=34-51,2,AT161&gt;51,3)</f>
        <v>1</v>
      </c>
      <c r="AC161" s="114">
        <v>2</v>
      </c>
      <c r="AD161" s="114">
        <f>_xlfn.IFS(AR161&lt;1.7,1,AR161=1.7-2.3,2,AR161&gt;2.3,3)</f>
        <v>1</v>
      </c>
      <c r="AE161" s="114">
        <f t="shared" ref="AE161:AE189" si="40">Y161+AA161+AB161+AC161+AD161</f>
        <v>6</v>
      </c>
      <c r="AF161" s="116" t="s">
        <v>59</v>
      </c>
      <c r="AG161" s="114">
        <f>AT161/17.1</f>
        <v>1.30994152046784</v>
      </c>
      <c r="AH161" s="114">
        <f>AU161/88.4</f>
        <v>0.509049773755656</v>
      </c>
      <c r="AI161" s="114">
        <f>AR161</f>
        <v>1.39</v>
      </c>
      <c r="AJ161" s="159">
        <f t="shared" ref="AJ161:AJ191" si="41">LN(IF(AG161&gt;=1,AG161,1))*3.8+LN(IF(AH161&gt;=1,AH161,1))*9.6+11.2*LN(IF(AI161&gt;=1,AI161,1))+6.4*AN161</f>
        <v>11.1141354503362</v>
      </c>
      <c r="AK161" s="160">
        <f t="shared" ref="AK161:AK172" si="42">IF(AND(AG161&gt;0,AH161&gt;0,AI161&gt;0),AJ161,"")</f>
        <v>11.1141354503362</v>
      </c>
      <c r="AL161" s="160">
        <f>AK161+1.59*(135-AM161)</f>
        <v>11.1141354503362</v>
      </c>
      <c r="AM161" s="160">
        <f t="shared" ref="AM161:AM172" si="43">IF(AV161&gt;135,135,IF(AV161&lt;120,120,AV161))</f>
        <v>135</v>
      </c>
      <c r="AN161" s="114">
        <v>1</v>
      </c>
      <c r="AO161" s="114">
        <v>1</v>
      </c>
      <c r="AP161" s="114">
        <v>1.43</v>
      </c>
      <c r="AQ161" s="114">
        <v>36</v>
      </c>
      <c r="AR161" s="114">
        <v>1.39</v>
      </c>
      <c r="AS161" s="160">
        <v>33</v>
      </c>
      <c r="AT161" s="161">
        <v>22.4</v>
      </c>
      <c r="AU161" s="114">
        <v>45</v>
      </c>
      <c r="AV161" s="114">
        <v>148</v>
      </c>
      <c r="AZ161" s="119" t="s">
        <v>503</v>
      </c>
    </row>
    <row r="162" s="129" customFormat="1" spans="1:52">
      <c r="A162" s="129" t="s">
        <v>504</v>
      </c>
      <c r="B162" s="129" t="s">
        <v>48</v>
      </c>
      <c r="C162" s="129">
        <v>55</v>
      </c>
      <c r="D162" s="217">
        <v>1.81</v>
      </c>
      <c r="E162" s="129">
        <v>75</v>
      </c>
      <c r="F162" s="218">
        <f>E162/(D162*D162)</f>
        <v>22.8930740819877</v>
      </c>
      <c r="G162" s="129">
        <v>6</v>
      </c>
      <c r="I162" s="219">
        <v>44083</v>
      </c>
      <c r="J162" s="219">
        <v>44098</v>
      </c>
      <c r="L162" s="220">
        <v>4</v>
      </c>
      <c r="M162" s="220">
        <v>15</v>
      </c>
      <c r="N162" s="221" t="s">
        <v>505</v>
      </c>
      <c r="O162" s="114"/>
      <c r="P162" s="114">
        <v>1</v>
      </c>
      <c r="Q162" s="114"/>
      <c r="R162" s="114"/>
      <c r="S162" s="114"/>
      <c r="T162" s="114">
        <v>1</v>
      </c>
      <c r="U162" s="114">
        <v>0</v>
      </c>
      <c r="V162" s="114">
        <v>1</v>
      </c>
      <c r="W162" s="114">
        <v>0</v>
      </c>
      <c r="X162" s="114">
        <v>1</v>
      </c>
      <c r="Y162" s="114">
        <v>1</v>
      </c>
      <c r="Z162" s="114" t="s">
        <v>307</v>
      </c>
      <c r="AA162" s="114">
        <v>3</v>
      </c>
      <c r="AB162" s="114">
        <f>_xlfn.IFS(AT162&lt;34,1,AT162=34-51,2,AT162&gt;51,3)</f>
        <v>1</v>
      </c>
      <c r="AC162" s="114">
        <v>2</v>
      </c>
      <c r="AD162" s="114">
        <f>_xlfn.IFS(AR162&lt;1.7,1,AR162=1.7-2.3,2,AR162&gt;2.3,3)</f>
        <v>1</v>
      </c>
      <c r="AE162" s="114">
        <f t="shared" si="40"/>
        <v>8</v>
      </c>
      <c r="AF162" s="116" t="s">
        <v>63</v>
      </c>
      <c r="AG162" s="114">
        <f>AT162/17.1</f>
        <v>1.26315789473684</v>
      </c>
      <c r="AH162" s="114">
        <f>AU162/88.4</f>
        <v>0.644796380090498</v>
      </c>
      <c r="AI162" s="114">
        <f>AR162</f>
        <v>1.41</v>
      </c>
      <c r="AJ162" s="159">
        <f t="shared" si="41"/>
        <v>4.73594112365858</v>
      </c>
      <c r="AK162" s="160">
        <f t="shared" si="42"/>
        <v>4.73594112365858</v>
      </c>
      <c r="AL162" s="160">
        <f>AK162+1.59*(135-AM162)</f>
        <v>4.73594112365858</v>
      </c>
      <c r="AM162" s="160">
        <f t="shared" si="43"/>
        <v>135</v>
      </c>
      <c r="AN162" s="114">
        <v>0</v>
      </c>
      <c r="AO162" s="114">
        <v>1</v>
      </c>
      <c r="AP162" s="114">
        <v>1.85</v>
      </c>
      <c r="AQ162" s="114">
        <v>38</v>
      </c>
      <c r="AR162" s="114">
        <v>1.41</v>
      </c>
      <c r="AS162" s="160">
        <v>34</v>
      </c>
      <c r="AT162" s="161">
        <v>21.6</v>
      </c>
      <c r="AU162" s="114">
        <v>57</v>
      </c>
      <c r="AV162" s="114">
        <v>142</v>
      </c>
      <c r="AZ162" s="222" t="s">
        <v>506</v>
      </c>
    </row>
    <row r="163" s="125" customFormat="1" spans="1:52">
      <c r="A163" s="125" t="s">
        <v>507</v>
      </c>
      <c r="B163" s="125" t="s">
        <v>53</v>
      </c>
      <c r="C163" s="125">
        <v>65</v>
      </c>
      <c r="D163" s="185">
        <v>1.64</v>
      </c>
      <c r="E163" s="125">
        <v>65</v>
      </c>
      <c r="F163" s="216">
        <f>E163/(D163*D163)</f>
        <v>24.1671624033314</v>
      </c>
      <c r="G163" s="125">
        <v>4</v>
      </c>
      <c r="I163" s="186">
        <v>44082</v>
      </c>
      <c r="J163" s="186">
        <v>44102</v>
      </c>
      <c r="L163" s="187">
        <v>1</v>
      </c>
      <c r="M163" s="187">
        <v>20</v>
      </c>
      <c r="N163" s="188" t="s">
        <v>508</v>
      </c>
      <c r="O163" s="114"/>
      <c r="P163" s="114"/>
      <c r="Q163" s="114">
        <v>1</v>
      </c>
      <c r="R163" s="114"/>
      <c r="S163" s="114"/>
      <c r="T163" s="114">
        <v>1</v>
      </c>
      <c r="U163" s="114">
        <v>0</v>
      </c>
      <c r="V163" s="114">
        <v>1</v>
      </c>
      <c r="W163" s="114">
        <v>1</v>
      </c>
      <c r="X163" s="114">
        <v>1</v>
      </c>
      <c r="Y163" s="114">
        <v>1</v>
      </c>
      <c r="Z163" s="114" t="s">
        <v>300</v>
      </c>
      <c r="AA163" s="114">
        <v>2</v>
      </c>
      <c r="AB163" s="114">
        <f>_xlfn.IFS(AT163&lt;34,1,AT163=34-51,2,AT163&gt;51,3)</f>
        <v>1</v>
      </c>
      <c r="AC163" s="114">
        <v>2</v>
      </c>
      <c r="AD163" s="114">
        <f>_xlfn.IFS(AR163&lt;1.7,1,AR163=1.7-2.3,2,AR163&gt;2.3,3)</f>
        <v>1</v>
      </c>
      <c r="AE163" s="114">
        <f t="shared" si="40"/>
        <v>7</v>
      </c>
      <c r="AF163" s="116" t="s">
        <v>63</v>
      </c>
      <c r="AG163" s="114">
        <f>AT163/17.1</f>
        <v>0.871345029239766</v>
      </c>
      <c r="AH163" s="114">
        <f>AU163/88.4</f>
        <v>0.84841628959276</v>
      </c>
      <c r="AI163" s="114">
        <f>AR163</f>
        <v>1.19</v>
      </c>
      <c r="AJ163" s="159">
        <f t="shared" si="41"/>
        <v>8.34827703978251</v>
      </c>
      <c r="AK163" s="160">
        <f t="shared" si="42"/>
        <v>8.34827703978251</v>
      </c>
      <c r="AL163" s="160">
        <f>AK163+1.59*(135-AM163)</f>
        <v>8.34827703978251</v>
      </c>
      <c r="AM163" s="160">
        <f t="shared" si="43"/>
        <v>135</v>
      </c>
      <c r="AN163" s="114">
        <v>1</v>
      </c>
      <c r="AO163" s="114">
        <v>1</v>
      </c>
      <c r="AP163" s="114">
        <v>1.68</v>
      </c>
      <c r="AQ163" s="114">
        <v>85</v>
      </c>
      <c r="AR163" s="114">
        <v>1.19</v>
      </c>
      <c r="AS163" s="160">
        <v>28</v>
      </c>
      <c r="AT163" s="161">
        <v>14.9</v>
      </c>
      <c r="AU163" s="114">
        <v>75</v>
      </c>
      <c r="AV163" s="114">
        <v>142</v>
      </c>
      <c r="AZ163" s="131" t="s">
        <v>509</v>
      </c>
    </row>
    <row r="164" spans="1:52">
      <c r="A164" s="117" t="s">
        <v>153</v>
      </c>
      <c r="B164" s="117" t="s">
        <v>48</v>
      </c>
      <c r="C164" s="117">
        <v>63</v>
      </c>
      <c r="D164" s="135">
        <v>1.75</v>
      </c>
      <c r="E164" s="117">
        <v>60</v>
      </c>
      <c r="F164" s="136">
        <f>E164/(D164*D164)</f>
        <v>19.5918367346939</v>
      </c>
      <c r="G164" s="117">
        <v>1</v>
      </c>
      <c r="I164" s="158">
        <v>44095</v>
      </c>
      <c r="J164" s="158">
        <v>44110</v>
      </c>
      <c r="L164" s="137">
        <v>3</v>
      </c>
      <c r="M164" s="137">
        <v>15</v>
      </c>
      <c r="N164" s="139" t="s">
        <v>510</v>
      </c>
      <c r="O164" s="114"/>
      <c r="P164" s="114">
        <v>1</v>
      </c>
      <c r="Q164" s="114"/>
      <c r="R164" s="114"/>
      <c r="S164" s="114"/>
      <c r="T164" s="114">
        <v>1</v>
      </c>
      <c r="U164" s="114">
        <v>0</v>
      </c>
      <c r="V164" s="114">
        <v>1</v>
      </c>
      <c r="W164" s="114">
        <v>0</v>
      </c>
      <c r="X164" s="114">
        <v>1</v>
      </c>
      <c r="Y164" s="114">
        <v>1</v>
      </c>
      <c r="Z164" s="114" t="s">
        <v>307</v>
      </c>
      <c r="AA164" s="114">
        <v>3</v>
      </c>
      <c r="AB164" s="114">
        <f>_xlfn.IFS(AT164&lt;34,1,AT164=34-51,2,AT164&gt;51,3)</f>
        <v>1</v>
      </c>
      <c r="AC164" s="114">
        <v>2</v>
      </c>
      <c r="AD164" s="114">
        <f>_xlfn.IFS(AR164&lt;1.7,1,AR164=1.7-2.3,2,AR164&gt;2.3,3)</f>
        <v>1</v>
      </c>
      <c r="AE164" s="114">
        <f t="shared" si="40"/>
        <v>8</v>
      </c>
      <c r="AF164" s="116" t="s">
        <v>63</v>
      </c>
      <c r="AG164" s="114">
        <f>AT164/17.1</f>
        <v>0.707602339181286</v>
      </c>
      <c r="AH164" s="114">
        <f>AU164/88.4</f>
        <v>0.84841628959276</v>
      </c>
      <c r="AI164" s="114">
        <f>AR164</f>
        <v>1.22</v>
      </c>
      <c r="AJ164" s="159">
        <f t="shared" si="41"/>
        <v>2.22712961794585</v>
      </c>
      <c r="AK164" s="160">
        <f t="shared" si="42"/>
        <v>2.22712961794585</v>
      </c>
      <c r="AL164" s="160">
        <f>AK164+1.59*(135-AM164)</f>
        <v>2.22712961794585</v>
      </c>
      <c r="AM164" s="160">
        <f t="shared" si="43"/>
        <v>135</v>
      </c>
      <c r="AN164" s="114">
        <v>0</v>
      </c>
      <c r="AO164" s="114">
        <v>1</v>
      </c>
      <c r="AP164" s="114">
        <v>1.8</v>
      </c>
      <c r="AQ164" s="114">
        <v>52</v>
      </c>
      <c r="AR164" s="114">
        <v>1.22</v>
      </c>
      <c r="AS164" s="160">
        <v>30</v>
      </c>
      <c r="AT164" s="161">
        <v>12.1</v>
      </c>
      <c r="AU164" s="114">
        <v>75</v>
      </c>
      <c r="AV164" s="114">
        <v>141</v>
      </c>
      <c r="AZ164" s="119" t="s">
        <v>511</v>
      </c>
    </row>
    <row r="165" spans="1:52">
      <c r="A165" s="117" t="s">
        <v>512</v>
      </c>
      <c r="B165" s="117" t="s">
        <v>53</v>
      </c>
      <c r="C165" s="117">
        <v>57</v>
      </c>
      <c r="D165" s="135">
        <v>1.68</v>
      </c>
      <c r="E165" s="117">
        <v>67</v>
      </c>
      <c r="F165" s="136">
        <f>E165/(D165*D165)</f>
        <v>23.7386621315193</v>
      </c>
      <c r="G165" s="135">
        <v>0</v>
      </c>
      <c r="I165" s="158">
        <v>44074</v>
      </c>
      <c r="J165" s="158">
        <v>44104</v>
      </c>
      <c r="L165" s="137">
        <v>1</v>
      </c>
      <c r="M165" s="138">
        <v>30</v>
      </c>
      <c r="N165" s="139" t="s">
        <v>513</v>
      </c>
      <c r="O165" s="114"/>
      <c r="P165" s="114"/>
      <c r="Q165" s="114"/>
      <c r="R165" s="114">
        <v>1</v>
      </c>
      <c r="S165" s="114"/>
      <c r="T165" s="114">
        <v>0</v>
      </c>
      <c r="U165" s="114">
        <v>0</v>
      </c>
      <c r="V165" s="114">
        <v>0</v>
      </c>
      <c r="W165" s="114">
        <v>0</v>
      </c>
      <c r="X165" s="114">
        <v>1</v>
      </c>
      <c r="Y165" s="114">
        <v>1</v>
      </c>
      <c r="Z165" s="114" t="s">
        <v>58</v>
      </c>
      <c r="AA165" s="114">
        <v>1</v>
      </c>
      <c r="AB165" s="114">
        <f>_xlfn.IFS(AT165&lt;34,1,AT165=34-51,2,AT165&gt;51,3)</f>
        <v>3</v>
      </c>
      <c r="AC165" s="114">
        <f>_xlfn.IFS(AS165&lt;28,3,AS165=28-35,2,AS165&gt;35,1)</f>
        <v>3</v>
      </c>
      <c r="AD165" s="114">
        <f>_xlfn.IFS(AR165&lt;1.7,1,AR165=1.7-2.3,2,AR165&gt;2.3,3)</f>
        <v>1</v>
      </c>
      <c r="AE165" s="114">
        <f t="shared" si="40"/>
        <v>9</v>
      </c>
      <c r="AF165" s="116" t="s">
        <v>63</v>
      </c>
      <c r="AG165" s="114">
        <f>AT165/17.1</f>
        <v>13.3450292397661</v>
      </c>
      <c r="AH165" s="114">
        <f>AU165/88.4</f>
        <v>0.554298642533937</v>
      </c>
      <c r="AI165" s="114">
        <f>AR165</f>
        <v>1.1</v>
      </c>
      <c r="AJ165" s="159">
        <f t="shared" si="41"/>
        <v>10.913821114702</v>
      </c>
      <c r="AK165" s="160">
        <f t="shared" si="42"/>
        <v>10.913821114702</v>
      </c>
      <c r="AL165" s="160">
        <f>AK165+1.59*(135-AM165)</f>
        <v>10.913821114702</v>
      </c>
      <c r="AM165" s="160">
        <f t="shared" si="43"/>
        <v>135</v>
      </c>
      <c r="AN165" s="114">
        <v>0</v>
      </c>
      <c r="AO165" s="114">
        <v>1</v>
      </c>
      <c r="AP165" s="114">
        <v>3.23</v>
      </c>
      <c r="AQ165" s="114">
        <v>87</v>
      </c>
      <c r="AR165" s="114">
        <v>1.1</v>
      </c>
      <c r="AS165" s="160">
        <v>25</v>
      </c>
      <c r="AT165" s="161">
        <v>228.2</v>
      </c>
      <c r="AU165" s="114">
        <v>49</v>
      </c>
      <c r="AV165" s="114">
        <v>140</v>
      </c>
      <c r="AZ165" s="119" t="s">
        <v>514</v>
      </c>
    </row>
    <row r="166" s="123" customFormat="1" ht="13.5" customHeight="1" spans="1:52">
      <c r="A166" s="123" t="s">
        <v>515</v>
      </c>
      <c r="B166" s="123" t="s">
        <v>53</v>
      </c>
      <c r="C166" s="123">
        <v>74</v>
      </c>
      <c r="D166" s="176">
        <v>1.55</v>
      </c>
      <c r="E166" s="123">
        <v>48</v>
      </c>
      <c r="F166" s="189">
        <f>E166/(D166*D166)</f>
        <v>19.9791883454735</v>
      </c>
      <c r="G166" s="123">
        <v>1</v>
      </c>
      <c r="I166" s="177">
        <v>44147</v>
      </c>
      <c r="J166" s="177">
        <v>44158</v>
      </c>
      <c r="L166" s="178">
        <v>1</v>
      </c>
      <c r="M166" s="178">
        <v>11</v>
      </c>
      <c r="N166" s="179" t="s">
        <v>516</v>
      </c>
      <c r="O166" s="114">
        <v>1</v>
      </c>
      <c r="P166" s="114"/>
      <c r="Q166" s="114"/>
      <c r="R166" s="114"/>
      <c r="S166" s="114"/>
      <c r="T166" s="114">
        <v>0</v>
      </c>
      <c r="U166" s="114">
        <v>0</v>
      </c>
      <c r="V166" s="114">
        <v>0</v>
      </c>
      <c r="W166" s="114">
        <v>0</v>
      </c>
      <c r="X166" s="114">
        <v>1</v>
      </c>
      <c r="Y166" s="114">
        <v>1</v>
      </c>
      <c r="Z166" s="114" t="s">
        <v>58</v>
      </c>
      <c r="AA166" s="114">
        <v>1</v>
      </c>
      <c r="AB166" s="114">
        <v>3</v>
      </c>
      <c r="AC166" s="114">
        <v>2</v>
      </c>
      <c r="AD166" s="114">
        <v>1</v>
      </c>
      <c r="AE166" s="114">
        <f t="shared" si="40"/>
        <v>8</v>
      </c>
      <c r="AF166" s="116" t="s">
        <v>63</v>
      </c>
      <c r="AG166" s="114">
        <f>AT166/17.1</f>
        <v>4.63742690058479</v>
      </c>
      <c r="AH166" s="114">
        <f>AU166/88.4</f>
        <v>0.384615384615385</v>
      </c>
      <c r="AI166" s="114">
        <f>AR166</f>
        <v>1.11</v>
      </c>
      <c r="AJ166" s="159">
        <f t="shared" si="41"/>
        <v>6.99863889913383</v>
      </c>
      <c r="AK166" s="160">
        <f t="shared" si="42"/>
        <v>6.99863889913383</v>
      </c>
      <c r="AL166" s="160">
        <f>AK166+1.59*(135-AM166)</f>
        <v>6.99863889913383</v>
      </c>
      <c r="AM166" s="160">
        <f t="shared" si="43"/>
        <v>135</v>
      </c>
      <c r="AN166" s="114"/>
      <c r="AO166" s="114"/>
      <c r="AP166" s="114">
        <v>1.57</v>
      </c>
      <c r="AQ166" s="114">
        <v>103</v>
      </c>
      <c r="AR166" s="114">
        <v>1.11</v>
      </c>
      <c r="AS166" s="160">
        <v>30</v>
      </c>
      <c r="AT166" s="161">
        <v>79.3</v>
      </c>
      <c r="AU166" s="114">
        <v>34</v>
      </c>
      <c r="AV166" s="114">
        <v>144</v>
      </c>
      <c r="AZ166" s="132" t="s">
        <v>517</v>
      </c>
    </row>
    <row r="167" s="129" customFormat="1" spans="1:52">
      <c r="A167" s="129" t="s">
        <v>466</v>
      </c>
      <c r="B167" s="129" t="s">
        <v>53</v>
      </c>
      <c r="C167" s="129">
        <v>78</v>
      </c>
      <c r="D167" s="217">
        <v>1.57</v>
      </c>
      <c r="F167" s="218"/>
      <c r="G167" s="129">
        <v>3</v>
      </c>
      <c r="I167" s="219">
        <v>44135</v>
      </c>
      <c r="J167" s="219">
        <v>44145</v>
      </c>
      <c r="L167" s="220">
        <v>2</v>
      </c>
      <c r="M167" s="220">
        <v>10</v>
      </c>
      <c r="N167" s="221" t="s">
        <v>518</v>
      </c>
      <c r="O167" s="114"/>
      <c r="P167" s="114"/>
      <c r="Q167" s="114"/>
      <c r="R167" s="114"/>
      <c r="S167" s="114">
        <v>1</v>
      </c>
      <c r="T167" s="114">
        <v>1</v>
      </c>
      <c r="U167" s="114">
        <v>0</v>
      </c>
      <c r="V167" s="114">
        <v>1</v>
      </c>
      <c r="W167" s="114">
        <v>0</v>
      </c>
      <c r="X167" s="114">
        <v>1</v>
      </c>
      <c r="Y167" s="114">
        <v>1</v>
      </c>
      <c r="Z167" s="114" t="s">
        <v>300</v>
      </c>
      <c r="AA167" s="114">
        <v>2</v>
      </c>
      <c r="AB167" s="114">
        <v>1</v>
      </c>
      <c r="AC167" s="114">
        <v>3</v>
      </c>
      <c r="AD167" s="114">
        <v>1</v>
      </c>
      <c r="AE167" s="114">
        <f t="shared" si="40"/>
        <v>8</v>
      </c>
      <c r="AF167" s="116" t="s">
        <v>63</v>
      </c>
      <c r="AG167" s="114">
        <f>AT167/17.1</f>
        <v>0.964912280701754</v>
      </c>
      <c r="AH167" s="114">
        <f>AU167/88.4</f>
        <v>0.723981900452489</v>
      </c>
      <c r="AI167" s="114">
        <f>AR167</f>
        <v>1.48</v>
      </c>
      <c r="AJ167" s="159">
        <f t="shared" si="41"/>
        <v>4.39087138309146</v>
      </c>
      <c r="AK167" s="160">
        <f t="shared" si="42"/>
        <v>4.39087138309146</v>
      </c>
      <c r="AL167" s="160">
        <f>AK167+1.59*(135-AM167)</f>
        <v>4.39087138309146</v>
      </c>
      <c r="AM167" s="160">
        <f t="shared" si="43"/>
        <v>135</v>
      </c>
      <c r="AN167" s="114"/>
      <c r="AO167" s="114"/>
      <c r="AP167" s="114">
        <v>2.5</v>
      </c>
      <c r="AQ167" s="114">
        <v>92</v>
      </c>
      <c r="AR167" s="114">
        <v>1.48</v>
      </c>
      <c r="AS167" s="160">
        <v>26</v>
      </c>
      <c r="AT167" s="161">
        <v>16.5</v>
      </c>
      <c r="AU167" s="114">
        <v>64</v>
      </c>
      <c r="AV167" s="114">
        <v>135</v>
      </c>
      <c r="AZ167" s="222" t="s">
        <v>519</v>
      </c>
    </row>
    <row r="168" spans="1:52">
      <c r="A168" s="117" t="s">
        <v>342</v>
      </c>
      <c r="B168" s="117" t="s">
        <v>48</v>
      </c>
      <c r="C168" s="117">
        <v>58</v>
      </c>
      <c r="D168" s="135">
        <v>1.72</v>
      </c>
      <c r="E168" s="117">
        <v>50</v>
      </c>
      <c r="F168" s="136">
        <f t="shared" ref="F168:F191" si="44">E168/(D168*D168)</f>
        <v>16.901027582477</v>
      </c>
      <c r="G168" s="117">
        <v>2</v>
      </c>
      <c r="I168" s="158">
        <v>44133</v>
      </c>
      <c r="J168" s="158">
        <v>44142</v>
      </c>
      <c r="L168" s="137">
        <v>5</v>
      </c>
      <c r="M168" s="138">
        <v>9</v>
      </c>
      <c r="N168" s="139" t="s">
        <v>520</v>
      </c>
      <c r="O168" s="114">
        <v>1</v>
      </c>
      <c r="P168" s="114"/>
      <c r="Q168" s="114"/>
      <c r="R168" s="114"/>
      <c r="S168" s="114"/>
      <c r="T168" s="114">
        <v>1</v>
      </c>
      <c r="U168" s="114">
        <v>0</v>
      </c>
      <c r="V168" s="114">
        <v>1</v>
      </c>
      <c r="W168" s="114">
        <v>0</v>
      </c>
      <c r="X168" s="114">
        <v>1</v>
      </c>
      <c r="Y168" s="114">
        <v>1</v>
      </c>
      <c r="Z168" s="114" t="s">
        <v>300</v>
      </c>
      <c r="AA168" s="114">
        <v>2</v>
      </c>
      <c r="AB168" s="114">
        <v>1</v>
      </c>
      <c r="AC168" s="114">
        <v>1</v>
      </c>
      <c r="AD168" s="114">
        <v>1</v>
      </c>
      <c r="AE168" s="114">
        <f t="shared" si="40"/>
        <v>6</v>
      </c>
      <c r="AF168" s="116" t="s">
        <v>59</v>
      </c>
      <c r="AG168" s="114">
        <f>AT168/17.1</f>
        <v>1.47368421052632</v>
      </c>
      <c r="AH168" s="114">
        <f>AU168/88.4</f>
        <v>0.893665158371041</v>
      </c>
      <c r="AI168" s="114">
        <f>AR168</f>
        <v>1.61</v>
      </c>
      <c r="AJ168" s="159">
        <f t="shared" si="41"/>
        <v>6.80733182259266</v>
      </c>
      <c r="AK168" s="160">
        <f t="shared" si="42"/>
        <v>6.80733182259266</v>
      </c>
      <c r="AL168" s="160">
        <f>AK168+1.59*(135-AM168)</f>
        <v>6.80733182259266</v>
      </c>
      <c r="AM168" s="160">
        <f t="shared" si="43"/>
        <v>135</v>
      </c>
      <c r="AN168" s="114"/>
      <c r="AO168" s="114"/>
      <c r="AP168" s="114">
        <v>1.31</v>
      </c>
      <c r="AQ168" s="114">
        <v>67</v>
      </c>
      <c r="AR168" s="114">
        <v>1.61</v>
      </c>
      <c r="AS168" s="160">
        <v>39</v>
      </c>
      <c r="AT168" s="161">
        <v>25.2</v>
      </c>
      <c r="AU168" s="114">
        <v>79</v>
      </c>
      <c r="AV168" s="114">
        <v>137</v>
      </c>
      <c r="AZ168" s="119" t="s">
        <v>521</v>
      </c>
    </row>
    <row r="169" s="125" customFormat="1" spans="1:52">
      <c r="A169" s="125" t="s">
        <v>522</v>
      </c>
      <c r="B169" s="125" t="s">
        <v>48</v>
      </c>
      <c r="C169" s="125">
        <v>74</v>
      </c>
      <c r="D169" s="185">
        <v>1.8</v>
      </c>
      <c r="E169" s="125">
        <v>65</v>
      </c>
      <c r="F169" s="216">
        <f t="shared" si="44"/>
        <v>20.0617283950617</v>
      </c>
      <c r="G169" s="125">
        <v>5</v>
      </c>
      <c r="I169" s="186">
        <v>44135</v>
      </c>
      <c r="J169" s="186">
        <v>44147</v>
      </c>
      <c r="L169" s="187">
        <v>1</v>
      </c>
      <c r="M169" s="187">
        <v>12</v>
      </c>
      <c r="N169" s="188" t="s">
        <v>523</v>
      </c>
      <c r="O169" s="114"/>
      <c r="P169" s="114"/>
      <c r="Q169" s="114"/>
      <c r="R169" s="114"/>
      <c r="S169" s="114">
        <v>1</v>
      </c>
      <c r="T169" s="114">
        <v>1</v>
      </c>
      <c r="U169" s="114">
        <v>0</v>
      </c>
      <c r="V169" s="114">
        <v>1</v>
      </c>
      <c r="W169" s="114">
        <v>0</v>
      </c>
      <c r="X169" s="114">
        <v>1</v>
      </c>
      <c r="Y169" s="114">
        <v>1</v>
      </c>
      <c r="Z169" s="114" t="s">
        <v>307</v>
      </c>
      <c r="AA169" s="114">
        <v>3</v>
      </c>
      <c r="AB169" s="114">
        <v>1</v>
      </c>
      <c r="AC169" s="114">
        <v>3</v>
      </c>
      <c r="AD169" s="114">
        <v>1</v>
      </c>
      <c r="AE169" s="114">
        <f t="shared" si="40"/>
        <v>9</v>
      </c>
      <c r="AF169" s="116" t="s">
        <v>63</v>
      </c>
      <c r="AG169" s="114">
        <f>AT169/17.1</f>
        <v>1.35087719298246</v>
      </c>
      <c r="AH169" s="114">
        <f>AU169/88.4</f>
        <v>0.81447963800905</v>
      </c>
      <c r="AI169" s="114">
        <f>AR169</f>
        <v>1.24</v>
      </c>
      <c r="AJ169" s="159">
        <f t="shared" si="41"/>
        <v>3.5521132369825</v>
      </c>
      <c r="AK169" s="160">
        <f t="shared" si="42"/>
        <v>3.5521132369825</v>
      </c>
      <c r="AL169" s="160">
        <f>AK169+1.59*(135-AM169)</f>
        <v>3.5521132369825</v>
      </c>
      <c r="AM169" s="160">
        <f t="shared" si="43"/>
        <v>135</v>
      </c>
      <c r="AN169" s="114"/>
      <c r="AO169" s="114"/>
      <c r="AP169" s="114">
        <v>6.61</v>
      </c>
      <c r="AQ169" s="114">
        <v>101</v>
      </c>
      <c r="AR169" s="114">
        <v>1.24</v>
      </c>
      <c r="AS169" s="160">
        <v>23</v>
      </c>
      <c r="AT169" s="161">
        <v>23.1</v>
      </c>
      <c r="AU169" s="114">
        <v>72</v>
      </c>
      <c r="AV169" s="114">
        <v>138</v>
      </c>
      <c r="AZ169" s="131" t="s">
        <v>524</v>
      </c>
    </row>
    <row r="170" spans="1:52">
      <c r="A170" s="117" t="s">
        <v>525</v>
      </c>
      <c r="B170" s="117" t="s">
        <v>48</v>
      </c>
      <c r="C170" s="117">
        <v>57</v>
      </c>
      <c r="D170" s="135">
        <v>1.82</v>
      </c>
      <c r="E170" s="117">
        <v>82</v>
      </c>
      <c r="F170" s="136">
        <f t="shared" si="44"/>
        <v>24.7554643159039</v>
      </c>
      <c r="G170" s="117">
        <v>0</v>
      </c>
      <c r="I170" s="158">
        <v>44128</v>
      </c>
      <c r="J170" s="158">
        <v>44145</v>
      </c>
      <c r="L170" s="137">
        <v>2</v>
      </c>
      <c r="M170" s="137">
        <v>17</v>
      </c>
      <c r="N170" s="139" t="s">
        <v>526</v>
      </c>
      <c r="O170" s="114"/>
      <c r="P170" s="114"/>
      <c r="Q170" s="114"/>
      <c r="R170" s="114"/>
      <c r="S170" s="114">
        <v>1</v>
      </c>
      <c r="T170" s="114">
        <v>1</v>
      </c>
      <c r="U170" s="114">
        <v>0</v>
      </c>
      <c r="V170" s="114">
        <v>1</v>
      </c>
      <c r="W170" s="114">
        <v>0</v>
      </c>
      <c r="X170" s="114">
        <v>1</v>
      </c>
      <c r="Y170" s="114">
        <v>1</v>
      </c>
      <c r="Z170" s="114" t="s">
        <v>307</v>
      </c>
      <c r="AA170" s="114">
        <v>3</v>
      </c>
      <c r="AB170" s="114">
        <v>1</v>
      </c>
      <c r="AC170" s="114">
        <v>2</v>
      </c>
      <c r="AD170" s="114">
        <v>1</v>
      </c>
      <c r="AE170" s="114">
        <f t="shared" si="40"/>
        <v>8</v>
      </c>
      <c r="AF170" s="116" t="s">
        <v>63</v>
      </c>
      <c r="AG170" s="114">
        <f>AT170/17.1</f>
        <v>1.4327485380117</v>
      </c>
      <c r="AH170" s="114">
        <f>AU170/88.4</f>
        <v>0.690045248868778</v>
      </c>
      <c r="AI170" s="114">
        <f>AR170</f>
        <v>1.4</v>
      </c>
      <c r="AJ170" s="159">
        <f t="shared" si="41"/>
        <v>5.13494873551744</v>
      </c>
      <c r="AK170" s="160">
        <f t="shared" si="42"/>
        <v>5.13494873551744</v>
      </c>
      <c r="AL170" s="160">
        <f>AK170+1.59*(135-AM170)</f>
        <v>5.13494873551744</v>
      </c>
      <c r="AM170" s="160">
        <f t="shared" si="43"/>
        <v>135</v>
      </c>
      <c r="AN170" s="114"/>
      <c r="AO170" s="114"/>
      <c r="AP170" s="114">
        <v>4.72</v>
      </c>
      <c r="AQ170" s="114">
        <v>142</v>
      </c>
      <c r="AR170" s="114">
        <v>1.4</v>
      </c>
      <c r="AS170" s="160">
        <v>35</v>
      </c>
      <c r="AT170" s="161">
        <v>24.5</v>
      </c>
      <c r="AU170" s="114">
        <v>61</v>
      </c>
      <c r="AV170" s="114">
        <v>145</v>
      </c>
      <c r="AZ170" s="119" t="s">
        <v>527</v>
      </c>
    </row>
    <row r="171" s="129" customFormat="1" spans="1:52">
      <c r="A171" s="129" t="s">
        <v>528</v>
      </c>
      <c r="B171" s="129" t="s">
        <v>48</v>
      </c>
      <c r="C171" s="129">
        <v>73</v>
      </c>
      <c r="D171" s="217">
        <v>1.71</v>
      </c>
      <c r="E171" s="129">
        <v>90</v>
      </c>
      <c r="F171" s="218">
        <f t="shared" si="44"/>
        <v>30.7787011388119</v>
      </c>
      <c r="G171" s="129">
        <v>6</v>
      </c>
      <c r="I171" s="219">
        <v>44127</v>
      </c>
      <c r="J171" s="219">
        <v>44135</v>
      </c>
      <c r="L171" s="220">
        <v>2</v>
      </c>
      <c r="M171" s="220">
        <v>8</v>
      </c>
      <c r="N171" s="221" t="s">
        <v>529</v>
      </c>
      <c r="O171" s="114"/>
      <c r="P171" s="114">
        <v>1</v>
      </c>
      <c r="Q171" s="114"/>
      <c r="R171" s="114"/>
      <c r="S171" s="114"/>
      <c r="T171" s="114">
        <v>1</v>
      </c>
      <c r="U171" s="114">
        <v>1</v>
      </c>
      <c r="V171" s="114">
        <v>1</v>
      </c>
      <c r="W171" s="114">
        <v>0</v>
      </c>
      <c r="X171" s="114">
        <v>0</v>
      </c>
      <c r="Y171" s="114">
        <v>2</v>
      </c>
      <c r="Z171" s="114" t="s">
        <v>300</v>
      </c>
      <c r="AA171" s="114">
        <v>2</v>
      </c>
      <c r="AB171" s="114">
        <v>2</v>
      </c>
      <c r="AC171" s="114">
        <v>2</v>
      </c>
      <c r="AD171" s="114">
        <v>1</v>
      </c>
      <c r="AE171" s="114">
        <f t="shared" si="40"/>
        <v>9</v>
      </c>
      <c r="AF171" s="116" t="s">
        <v>63</v>
      </c>
      <c r="AG171" s="114">
        <f>AT171/17.1</f>
        <v>2.22222222222222</v>
      </c>
      <c r="AH171" s="114">
        <f>AU171/88.4</f>
        <v>0.599547511312217</v>
      </c>
      <c r="AI171" s="114">
        <f>AR171</f>
        <v>1.24</v>
      </c>
      <c r="AJ171" s="159">
        <f t="shared" si="41"/>
        <v>5.44357669733732</v>
      </c>
      <c r="AK171" s="160">
        <f t="shared" si="42"/>
        <v>5.44357669733732</v>
      </c>
      <c r="AL171" s="160">
        <f>AK171+1.59*(135-AM171)</f>
        <v>5.44357669733732</v>
      </c>
      <c r="AM171" s="160">
        <f t="shared" si="43"/>
        <v>135</v>
      </c>
      <c r="AN171" s="114">
        <v>0</v>
      </c>
      <c r="AO171" s="114">
        <v>1</v>
      </c>
      <c r="AP171" s="114">
        <v>4.36</v>
      </c>
      <c r="AQ171" s="114">
        <v>109</v>
      </c>
      <c r="AR171" s="114">
        <v>1.24</v>
      </c>
      <c r="AS171" s="160">
        <v>25</v>
      </c>
      <c r="AT171" s="161">
        <v>38</v>
      </c>
      <c r="AU171" s="114">
        <v>53</v>
      </c>
      <c r="AV171" s="114">
        <v>143</v>
      </c>
      <c r="AZ171" s="222" t="s">
        <v>530</v>
      </c>
    </row>
    <row r="172" spans="1:52">
      <c r="A172" s="117" t="s">
        <v>531</v>
      </c>
      <c r="B172" s="117" t="s">
        <v>53</v>
      </c>
      <c r="C172" s="117">
        <v>68</v>
      </c>
      <c r="D172" s="135">
        <v>1.76</v>
      </c>
      <c r="E172" s="117">
        <v>68.5</v>
      </c>
      <c r="F172" s="136">
        <f t="shared" si="44"/>
        <v>22.1138946280992</v>
      </c>
      <c r="G172" s="117">
        <v>0</v>
      </c>
      <c r="I172" s="158">
        <v>44107</v>
      </c>
      <c r="J172" s="158">
        <v>44119</v>
      </c>
      <c r="L172" s="137">
        <v>3</v>
      </c>
      <c r="M172" s="137">
        <v>12</v>
      </c>
      <c r="N172" s="139" t="s">
        <v>532</v>
      </c>
      <c r="O172" s="114">
        <v>1</v>
      </c>
      <c r="P172" s="114"/>
      <c r="Q172" s="114"/>
      <c r="R172" s="114"/>
      <c r="S172" s="114"/>
      <c r="T172" s="114">
        <v>1</v>
      </c>
      <c r="U172" s="114">
        <v>0</v>
      </c>
      <c r="V172" s="114">
        <v>1</v>
      </c>
      <c r="W172" s="114">
        <v>0</v>
      </c>
      <c r="X172" s="114">
        <v>1</v>
      </c>
      <c r="Y172" s="114">
        <v>1</v>
      </c>
      <c r="Z172" s="114" t="s">
        <v>300</v>
      </c>
      <c r="AA172" s="114">
        <v>2</v>
      </c>
      <c r="AB172" s="114">
        <v>1</v>
      </c>
      <c r="AC172" s="114">
        <v>3</v>
      </c>
      <c r="AD172" s="114">
        <v>1</v>
      </c>
      <c r="AE172" s="114">
        <f t="shared" si="40"/>
        <v>8</v>
      </c>
      <c r="AF172" s="116" t="s">
        <v>63</v>
      </c>
      <c r="AG172" s="114">
        <f>AT172/17.1</f>
        <v>1.26315789473684</v>
      </c>
      <c r="AH172" s="114">
        <f>AU172/88.4</f>
        <v>0.723981900452489</v>
      </c>
      <c r="AI172" s="114">
        <f>AR172</f>
        <v>1.55</v>
      </c>
      <c r="AJ172" s="159">
        <f t="shared" si="41"/>
        <v>5.79619166091866</v>
      </c>
      <c r="AK172" s="160">
        <f t="shared" si="42"/>
        <v>5.79619166091866</v>
      </c>
      <c r="AL172" s="160">
        <f>AK172+1.59*(135-AM172)</f>
        <v>5.79619166091866</v>
      </c>
      <c r="AM172" s="160">
        <f t="shared" si="43"/>
        <v>135</v>
      </c>
      <c r="AN172" s="114"/>
      <c r="AO172" s="114"/>
      <c r="AP172" s="114">
        <v>7.32</v>
      </c>
      <c r="AQ172" s="114">
        <v>60</v>
      </c>
      <c r="AR172" s="114">
        <v>1.55</v>
      </c>
      <c r="AS172" s="160">
        <v>27</v>
      </c>
      <c r="AT172" s="161">
        <v>21.6</v>
      </c>
      <c r="AU172" s="114">
        <v>64</v>
      </c>
      <c r="AV172" s="114">
        <v>139</v>
      </c>
      <c r="AZ172" s="119" t="s">
        <v>533</v>
      </c>
    </row>
    <row r="173" spans="1:52">
      <c r="A173" s="117" t="s">
        <v>534</v>
      </c>
      <c r="B173" s="117" t="s">
        <v>48</v>
      </c>
      <c r="C173" s="117">
        <v>62</v>
      </c>
      <c r="D173" s="135">
        <v>1.65</v>
      </c>
      <c r="E173" s="117">
        <v>60</v>
      </c>
      <c r="F173" s="136">
        <f t="shared" si="44"/>
        <v>22.038567493113</v>
      </c>
      <c r="G173" s="117">
        <v>6</v>
      </c>
      <c r="I173" s="158">
        <v>44120</v>
      </c>
      <c r="J173" s="158">
        <v>44130</v>
      </c>
      <c r="L173" s="137">
        <v>1</v>
      </c>
      <c r="M173" s="137">
        <v>10</v>
      </c>
      <c r="N173" s="139" t="s">
        <v>535</v>
      </c>
      <c r="O173" s="114"/>
      <c r="P173" s="114">
        <v>1</v>
      </c>
      <c r="Q173" s="114"/>
      <c r="R173" s="114"/>
      <c r="S173" s="114"/>
      <c r="T173" s="114">
        <v>0</v>
      </c>
      <c r="U173" s="114">
        <v>0</v>
      </c>
      <c r="V173" s="114">
        <v>1</v>
      </c>
      <c r="W173" s="114">
        <v>0</v>
      </c>
      <c r="X173" s="114">
        <v>0</v>
      </c>
      <c r="Y173" s="114">
        <v>1</v>
      </c>
      <c r="Z173" s="114" t="s">
        <v>58</v>
      </c>
      <c r="AA173" s="114">
        <v>1</v>
      </c>
      <c r="AB173" s="114">
        <v>1</v>
      </c>
      <c r="AC173" s="114">
        <v>2</v>
      </c>
      <c r="AD173" s="114">
        <v>1</v>
      </c>
      <c r="AE173" s="114">
        <f t="shared" si="40"/>
        <v>6</v>
      </c>
      <c r="AF173" s="116" t="s">
        <v>59</v>
      </c>
      <c r="AG173" s="114">
        <f>AT173/17.1</f>
        <v>0.508771929824561</v>
      </c>
      <c r="AH173" s="114">
        <f>AU173/88.4</f>
        <v>0.576923076923077</v>
      </c>
      <c r="AI173" s="114">
        <f>AR173</f>
        <v>1.16</v>
      </c>
      <c r="AJ173" s="159">
        <f t="shared" si="41"/>
        <v>1.66230405732466</v>
      </c>
      <c r="AK173" s="160">
        <f>IF(AND(AG173&gt;0,AH173&gt;0,AI173&gt;0),AJ173,"")</f>
        <v>1.66230405732466</v>
      </c>
      <c r="AL173" s="160">
        <f>AK173+1.59*(135-AM173)</f>
        <v>1.66230405732466</v>
      </c>
      <c r="AM173" s="160">
        <f>IF(AV173&gt;135,135,IF(AV173&lt;120,120,AV173))</f>
        <v>135</v>
      </c>
      <c r="AN173" s="114">
        <v>0</v>
      </c>
      <c r="AO173" s="114">
        <v>1</v>
      </c>
      <c r="AP173" s="114">
        <v>4.28</v>
      </c>
      <c r="AQ173" s="114">
        <v>82</v>
      </c>
      <c r="AR173" s="114">
        <v>1.16</v>
      </c>
      <c r="AS173" s="160">
        <v>29</v>
      </c>
      <c r="AT173" s="161">
        <v>8.7</v>
      </c>
      <c r="AU173" s="114">
        <v>51</v>
      </c>
      <c r="AV173" s="114">
        <v>139</v>
      </c>
      <c r="AZ173" s="119" t="s">
        <v>536</v>
      </c>
    </row>
    <row r="174" spans="1:52">
      <c r="A174" s="117" t="s">
        <v>537</v>
      </c>
      <c r="B174" s="117" t="s">
        <v>53</v>
      </c>
      <c r="C174" s="117">
        <v>57</v>
      </c>
      <c r="D174" s="135">
        <v>1.58</v>
      </c>
      <c r="E174" s="117">
        <v>87.5</v>
      </c>
      <c r="F174" s="136">
        <f t="shared" si="44"/>
        <v>35.0504726806601</v>
      </c>
      <c r="G174" s="117">
        <v>0</v>
      </c>
      <c r="I174" s="158">
        <v>44111</v>
      </c>
      <c r="J174" s="158">
        <v>44130</v>
      </c>
      <c r="L174" s="137">
        <v>1</v>
      </c>
      <c r="M174" s="137">
        <v>19</v>
      </c>
      <c r="N174" s="139" t="s">
        <v>538</v>
      </c>
      <c r="O174" s="114"/>
      <c r="P174" s="114"/>
      <c r="Q174" s="114"/>
      <c r="R174" s="114"/>
      <c r="S174" s="114">
        <v>1</v>
      </c>
      <c r="T174" s="114">
        <v>0</v>
      </c>
      <c r="U174" s="114"/>
      <c r="V174" s="114">
        <v>1</v>
      </c>
      <c r="W174" s="114">
        <v>0</v>
      </c>
      <c r="X174" s="114">
        <v>1</v>
      </c>
      <c r="Y174" s="114">
        <v>1</v>
      </c>
      <c r="Z174" s="114" t="s">
        <v>58</v>
      </c>
      <c r="AA174" s="114">
        <v>1</v>
      </c>
      <c r="AB174" s="114">
        <v>1</v>
      </c>
      <c r="AC174" s="114">
        <v>2</v>
      </c>
      <c r="AD174" s="114">
        <v>1</v>
      </c>
      <c r="AE174" s="114">
        <f t="shared" si="40"/>
        <v>6</v>
      </c>
      <c r="AF174" s="116" t="s">
        <v>59</v>
      </c>
      <c r="AG174" s="114">
        <f>AT174/17.1</f>
        <v>0.824561403508772</v>
      </c>
      <c r="AH174" s="114">
        <f>AU174/88.4</f>
        <v>0.610859728506787</v>
      </c>
      <c r="AI174" s="114">
        <f>AR174</f>
        <v>1.25</v>
      </c>
      <c r="AJ174" s="159">
        <f t="shared" si="41"/>
        <v>2.49920777471915</v>
      </c>
      <c r="AK174" s="160">
        <f>IF(AND(AG174&gt;0,AH174&gt;0,AI174&gt;0),AJ174,"")</f>
        <v>2.49920777471915</v>
      </c>
      <c r="AL174" s="160">
        <f>AK174+1.59*(135-AM174)</f>
        <v>2.49920777471915</v>
      </c>
      <c r="AM174" s="160">
        <f>IF(AV174&gt;135,135,IF(AV174&lt;120,120,AV174))</f>
        <v>135</v>
      </c>
      <c r="AN174" s="114"/>
      <c r="AO174" s="114"/>
      <c r="AP174" s="114">
        <v>3.8</v>
      </c>
      <c r="AQ174" s="114">
        <v>82</v>
      </c>
      <c r="AR174" s="114">
        <v>1.25</v>
      </c>
      <c r="AS174" s="160">
        <v>30</v>
      </c>
      <c r="AT174" s="161">
        <v>14.1</v>
      </c>
      <c r="AU174" s="114">
        <v>54</v>
      </c>
      <c r="AV174" s="114">
        <v>142</v>
      </c>
      <c r="AZ174" s="119" t="s">
        <v>539</v>
      </c>
    </row>
    <row r="175" spans="1:52">
      <c r="A175" s="117" t="s">
        <v>540</v>
      </c>
      <c r="B175" s="117" t="s">
        <v>48</v>
      </c>
      <c r="C175" s="117">
        <v>52</v>
      </c>
      <c r="D175" s="135">
        <v>1.68</v>
      </c>
      <c r="E175" s="117">
        <v>59</v>
      </c>
      <c r="F175" s="136">
        <f t="shared" si="44"/>
        <v>20.9041950113379</v>
      </c>
      <c r="G175" s="117">
        <v>0</v>
      </c>
      <c r="I175" s="158">
        <v>44112</v>
      </c>
      <c r="J175" s="158">
        <v>44134</v>
      </c>
      <c r="L175" s="137">
        <v>1</v>
      </c>
      <c r="M175" s="137">
        <v>22</v>
      </c>
      <c r="N175" s="139" t="s">
        <v>541</v>
      </c>
      <c r="O175" s="114">
        <v>1</v>
      </c>
      <c r="P175" s="114"/>
      <c r="Q175" s="114"/>
      <c r="R175" s="114"/>
      <c r="S175" s="114"/>
      <c r="T175" s="114">
        <v>0</v>
      </c>
      <c r="U175" s="114">
        <v>0</v>
      </c>
      <c r="V175" s="114">
        <v>1</v>
      </c>
      <c r="W175" s="114">
        <v>0</v>
      </c>
      <c r="X175" s="114">
        <v>0</v>
      </c>
      <c r="Y175" s="114">
        <v>1</v>
      </c>
      <c r="Z175" s="114" t="s">
        <v>58</v>
      </c>
      <c r="AA175" s="114">
        <v>1</v>
      </c>
      <c r="AB175" s="114">
        <v>1</v>
      </c>
      <c r="AC175" s="114">
        <v>1</v>
      </c>
      <c r="AD175" s="114">
        <v>1</v>
      </c>
      <c r="AE175" s="114">
        <f t="shared" si="40"/>
        <v>5</v>
      </c>
      <c r="AF175" s="116" t="s">
        <v>59</v>
      </c>
      <c r="AG175" s="114">
        <f>AT175/17.1</f>
        <v>0.766081871345029</v>
      </c>
      <c r="AH175" s="114">
        <f>AU175/88.4</f>
        <v>0.690045248868778</v>
      </c>
      <c r="AI175" s="114">
        <f>AR175</f>
        <v>1.28</v>
      </c>
      <c r="AJ175" s="159">
        <f t="shared" si="41"/>
        <v>2.76483287283309</v>
      </c>
      <c r="AK175" s="160">
        <f>IF(AND(AG175&gt;0,AH175&gt;0,AI175&gt;0),AJ175,"")</f>
        <v>2.76483287283309</v>
      </c>
      <c r="AL175" s="160">
        <f>AK175+1.59*(135-AM175)</f>
        <v>2.76483287283309</v>
      </c>
      <c r="AM175" s="160">
        <f>IF(AV175&gt;135,135,IF(AV175&lt;120,120,AV175))</f>
        <v>135</v>
      </c>
      <c r="AN175" s="114"/>
      <c r="AO175" s="114"/>
      <c r="AP175" s="114">
        <v>1.56</v>
      </c>
      <c r="AQ175" s="114">
        <v>105</v>
      </c>
      <c r="AR175" s="114">
        <v>1.28</v>
      </c>
      <c r="AS175" s="160">
        <v>39</v>
      </c>
      <c r="AT175" s="161">
        <v>13.1</v>
      </c>
      <c r="AU175" s="114">
        <v>61</v>
      </c>
      <c r="AV175" s="114">
        <v>141</v>
      </c>
      <c r="AZ175" s="119" t="s">
        <v>58</v>
      </c>
    </row>
    <row r="176" s="129" customFormat="1" spans="1:52">
      <c r="A176" s="129" t="s">
        <v>542</v>
      </c>
      <c r="B176" s="129" t="s">
        <v>53</v>
      </c>
      <c r="C176" s="129">
        <v>69</v>
      </c>
      <c r="D176" s="217">
        <v>1.54</v>
      </c>
      <c r="E176" s="129">
        <v>42.5</v>
      </c>
      <c r="F176" s="218">
        <f t="shared" si="44"/>
        <v>17.9203912970147</v>
      </c>
      <c r="G176" s="129">
        <v>1</v>
      </c>
      <c r="I176" s="219">
        <v>44112</v>
      </c>
      <c r="J176" s="219">
        <v>44137</v>
      </c>
      <c r="L176" s="220">
        <v>2</v>
      </c>
      <c r="M176" s="220">
        <v>25</v>
      </c>
      <c r="N176" s="221" t="s">
        <v>543</v>
      </c>
      <c r="O176" s="114"/>
      <c r="P176" s="114"/>
      <c r="Q176" s="114"/>
      <c r="R176" s="114">
        <v>1</v>
      </c>
      <c r="S176" s="114"/>
      <c r="T176" s="114">
        <v>1</v>
      </c>
      <c r="U176" s="114">
        <v>0</v>
      </c>
      <c r="V176" s="114">
        <v>1</v>
      </c>
      <c r="W176" s="114">
        <v>0</v>
      </c>
      <c r="X176" s="114">
        <v>0</v>
      </c>
      <c r="Y176" s="114">
        <v>1</v>
      </c>
      <c r="Z176" s="114" t="s">
        <v>307</v>
      </c>
      <c r="AA176" s="114">
        <v>3</v>
      </c>
      <c r="AB176" s="114">
        <v>1</v>
      </c>
      <c r="AC176" s="114">
        <v>2</v>
      </c>
      <c r="AD176" s="114">
        <v>1</v>
      </c>
      <c r="AE176" s="114">
        <f t="shared" si="40"/>
        <v>8</v>
      </c>
      <c r="AF176" s="116" t="s">
        <v>63</v>
      </c>
      <c r="AG176" s="114">
        <f>AT176/17.1</f>
        <v>1.66666666666667</v>
      </c>
      <c r="AH176" s="114">
        <f>AU176/88.4</f>
        <v>0.475113122171946</v>
      </c>
      <c r="AI176" s="114">
        <f>AR176</f>
        <v>1.31</v>
      </c>
      <c r="AJ176" s="159">
        <f t="shared" si="41"/>
        <v>4.96544130709704</v>
      </c>
      <c r="AK176" s="160">
        <f>IF(AND(AG176&gt;0,AH176&gt;0,AI176&gt;0),AJ176,"")</f>
        <v>4.96544130709704</v>
      </c>
      <c r="AL176" s="160">
        <f>AK176+1.59*(135-AM176)</f>
        <v>4.96544130709704</v>
      </c>
      <c r="AM176" s="160">
        <f>IF(AV176&gt;135,135,IF(AV176&lt;120,120,AV176))</f>
        <v>135</v>
      </c>
      <c r="AN176" s="114"/>
      <c r="AO176" s="114"/>
      <c r="AP176" s="114">
        <v>1.83</v>
      </c>
      <c r="AQ176" s="114">
        <v>90</v>
      </c>
      <c r="AR176" s="114">
        <v>1.31</v>
      </c>
      <c r="AS176" s="160">
        <v>28</v>
      </c>
      <c r="AT176" s="161">
        <v>28.5</v>
      </c>
      <c r="AU176" s="114">
        <v>42</v>
      </c>
      <c r="AV176" s="114">
        <v>137</v>
      </c>
      <c r="AZ176" s="222" t="s">
        <v>58</v>
      </c>
    </row>
    <row r="177" spans="1:52">
      <c r="A177" s="117" t="s">
        <v>489</v>
      </c>
      <c r="B177" s="117" t="s">
        <v>53</v>
      </c>
      <c r="C177" s="117">
        <v>66</v>
      </c>
      <c r="D177" s="135">
        <v>1.58</v>
      </c>
      <c r="E177" s="117">
        <v>73.5</v>
      </c>
      <c r="F177" s="136">
        <f t="shared" si="44"/>
        <v>29.4423970517545</v>
      </c>
      <c r="G177" s="117">
        <v>0</v>
      </c>
      <c r="I177" s="158">
        <v>44109</v>
      </c>
      <c r="J177" s="158">
        <v>44120</v>
      </c>
      <c r="L177" s="137">
        <v>5</v>
      </c>
      <c r="M177" s="138">
        <v>11</v>
      </c>
      <c r="N177" s="139" t="s">
        <v>544</v>
      </c>
      <c r="O177" s="114"/>
      <c r="P177" s="114"/>
      <c r="Q177" s="114"/>
      <c r="R177" s="114"/>
      <c r="S177" s="114">
        <v>0</v>
      </c>
      <c r="T177" s="114">
        <v>0</v>
      </c>
      <c r="U177" s="114">
        <v>0</v>
      </c>
      <c r="V177" s="114">
        <v>1</v>
      </c>
      <c r="W177" s="114">
        <v>0</v>
      </c>
      <c r="X177" s="114">
        <v>0</v>
      </c>
      <c r="Y177" s="114">
        <v>1</v>
      </c>
      <c r="Z177" s="114" t="s">
        <v>58</v>
      </c>
      <c r="AA177" s="114">
        <v>1</v>
      </c>
      <c r="AB177" s="114">
        <v>1</v>
      </c>
      <c r="AC177" s="114">
        <v>2</v>
      </c>
      <c r="AD177" s="114">
        <v>1</v>
      </c>
      <c r="AE177" s="114">
        <f t="shared" si="40"/>
        <v>6</v>
      </c>
      <c r="AF177" s="116" t="s">
        <v>59</v>
      </c>
      <c r="AG177" s="114">
        <f>AT177/17.1</f>
        <v>2.34502923976608</v>
      </c>
      <c r="AH177" s="114">
        <f>AU177/88.4</f>
        <v>1.16515837104072</v>
      </c>
      <c r="AI177" s="114">
        <f>AR177</f>
        <v>1.13</v>
      </c>
      <c r="AJ177" s="159">
        <f t="shared" si="41"/>
        <v>6.07499677399241</v>
      </c>
      <c r="AK177" s="160">
        <f>IF(AND(AG177&gt;0,AH177&gt;0,AI177&gt;0),AJ177,"")</f>
        <v>6.07499677399241</v>
      </c>
      <c r="AL177" s="160">
        <f>AK177+1.59*(135-AM177)</f>
        <v>6.07499677399241</v>
      </c>
      <c r="AM177" s="160">
        <f>IF(AV177&gt;135,135,IF(AV177&lt;120,120,AV177))</f>
        <v>135</v>
      </c>
      <c r="AN177" s="114"/>
      <c r="AO177" s="114"/>
      <c r="AP177" s="114">
        <v>5.39</v>
      </c>
      <c r="AQ177" s="114">
        <v>68</v>
      </c>
      <c r="AR177" s="114">
        <v>1.13</v>
      </c>
      <c r="AS177" s="160">
        <v>28</v>
      </c>
      <c r="AT177" s="161">
        <v>40.1</v>
      </c>
      <c r="AU177" s="114">
        <v>103</v>
      </c>
      <c r="AV177" s="114">
        <v>142</v>
      </c>
      <c r="AZ177" s="119" t="s">
        <v>545</v>
      </c>
    </row>
    <row r="178" spans="1:52">
      <c r="A178" s="117" t="s">
        <v>546</v>
      </c>
      <c r="B178" s="117" t="s">
        <v>48</v>
      </c>
      <c r="C178" s="117">
        <v>57</v>
      </c>
      <c r="D178" s="135">
        <v>1.78</v>
      </c>
      <c r="E178" s="117">
        <v>70</v>
      </c>
      <c r="F178" s="136">
        <f t="shared" si="44"/>
        <v>22.0931700542861</v>
      </c>
      <c r="G178" s="117">
        <v>0</v>
      </c>
      <c r="I178" s="158">
        <v>44109</v>
      </c>
      <c r="J178" s="158">
        <v>44116</v>
      </c>
      <c r="L178" s="137">
        <v>4</v>
      </c>
      <c r="M178" s="138">
        <v>7</v>
      </c>
      <c r="N178" s="139" t="s">
        <v>547</v>
      </c>
      <c r="O178" s="114"/>
      <c r="P178" s="114">
        <v>1</v>
      </c>
      <c r="Q178" s="114"/>
      <c r="R178" s="114"/>
      <c r="S178" s="114"/>
      <c r="T178" s="114">
        <v>0</v>
      </c>
      <c r="U178" s="114">
        <v>0</v>
      </c>
      <c r="V178" s="114">
        <v>1</v>
      </c>
      <c r="W178" s="114">
        <v>0</v>
      </c>
      <c r="X178" s="114">
        <v>1</v>
      </c>
      <c r="Y178" s="114">
        <v>1</v>
      </c>
      <c r="Z178" s="114" t="s">
        <v>58</v>
      </c>
      <c r="AA178" s="114">
        <v>1</v>
      </c>
      <c r="AB178" s="114">
        <v>1</v>
      </c>
      <c r="AC178" s="114">
        <v>2</v>
      </c>
      <c r="AD178" s="114">
        <v>1</v>
      </c>
      <c r="AE178" s="114">
        <f t="shared" si="40"/>
        <v>6</v>
      </c>
      <c r="AF178" s="116" t="s">
        <v>59</v>
      </c>
      <c r="AG178" s="114">
        <f>AT178/17.1</f>
        <v>0.818713450292398</v>
      </c>
      <c r="AH178" s="114">
        <f>AU178/88.4</f>
        <v>0.85972850678733</v>
      </c>
      <c r="AI178" s="114">
        <f>AR178</f>
        <v>1.29</v>
      </c>
      <c r="AJ178" s="159">
        <f t="shared" si="41"/>
        <v>2.8519928457841</v>
      </c>
      <c r="AK178" s="160">
        <f>IF(AND(AG178&gt;0,AH178&gt;0,AI178&gt;0),AJ178,"")</f>
        <v>2.8519928457841</v>
      </c>
      <c r="AL178" s="160">
        <f>AK178+1.59*(135-AM178)</f>
        <v>2.8519928457841</v>
      </c>
      <c r="AM178" s="160">
        <f>IF(AV178&gt;135,135,IF(AV178&lt;120,120,AV178))</f>
        <v>135</v>
      </c>
      <c r="AN178" s="114">
        <v>0</v>
      </c>
      <c r="AO178" s="114">
        <v>1</v>
      </c>
      <c r="AP178" s="114">
        <v>4.13</v>
      </c>
      <c r="AQ178" s="114">
        <v>92</v>
      </c>
      <c r="AR178" s="114">
        <v>1.29</v>
      </c>
      <c r="AS178" s="160">
        <v>28</v>
      </c>
      <c r="AT178" s="161">
        <v>14</v>
      </c>
      <c r="AU178" s="114">
        <v>76</v>
      </c>
      <c r="AV178" s="114">
        <v>139</v>
      </c>
      <c r="AZ178" s="119" t="s">
        <v>548</v>
      </c>
    </row>
    <row r="179" s="128" customFormat="1" ht="13.5" customHeight="1" spans="1:52">
      <c r="A179" s="128" t="s">
        <v>549</v>
      </c>
      <c r="B179" s="128" t="s">
        <v>53</v>
      </c>
      <c r="C179" s="128">
        <v>65</v>
      </c>
      <c r="D179" s="204">
        <v>1.6</v>
      </c>
      <c r="E179" s="128">
        <v>74</v>
      </c>
      <c r="F179" s="205">
        <f t="shared" si="44"/>
        <v>28.90625</v>
      </c>
      <c r="G179" s="128">
        <v>1</v>
      </c>
      <c r="I179" s="206">
        <v>44111</v>
      </c>
      <c r="J179" s="206">
        <v>44121</v>
      </c>
      <c r="K179" s="206">
        <v>44531</v>
      </c>
      <c r="L179" s="207">
        <v>1</v>
      </c>
      <c r="M179" s="207">
        <v>10</v>
      </c>
      <c r="N179" s="208" t="s">
        <v>550</v>
      </c>
      <c r="O179" s="114">
        <v>1</v>
      </c>
      <c r="P179" s="114"/>
      <c r="Q179" s="114"/>
      <c r="R179" s="114"/>
      <c r="S179" s="114">
        <v>1</v>
      </c>
      <c r="T179" s="114">
        <v>1</v>
      </c>
      <c r="U179" s="114">
        <v>0</v>
      </c>
      <c r="V179" s="114">
        <v>1</v>
      </c>
      <c r="W179" s="114">
        <v>0</v>
      </c>
      <c r="X179" s="114">
        <v>1</v>
      </c>
      <c r="Y179" s="114">
        <v>1</v>
      </c>
      <c r="Z179" s="114" t="s">
        <v>300</v>
      </c>
      <c r="AA179" s="114">
        <v>2</v>
      </c>
      <c r="AB179" s="114">
        <v>1</v>
      </c>
      <c r="AC179" s="114">
        <v>2</v>
      </c>
      <c r="AD179" s="114">
        <v>1</v>
      </c>
      <c r="AE179" s="114">
        <f t="shared" si="40"/>
        <v>7</v>
      </c>
      <c r="AF179" s="116" t="s">
        <v>63</v>
      </c>
      <c r="AG179" s="114">
        <f>AT179/17.1</f>
        <v>1.70175438596491</v>
      </c>
      <c r="AH179" s="114">
        <f>AU179/88.4</f>
        <v>0.690045248868778</v>
      </c>
      <c r="AI179" s="114">
        <f>AR179</f>
        <v>1.27</v>
      </c>
      <c r="AJ179" s="159">
        <f t="shared" si="41"/>
        <v>4.69729618581116</v>
      </c>
      <c r="AK179" s="160">
        <f>IF(AND(AG179&gt;0,AH179&gt;0,AI179&gt;0),AJ179,"")</f>
        <v>4.69729618581116</v>
      </c>
      <c r="AL179" s="160">
        <f>AK179+1.59*(135-AM179)</f>
        <v>4.69729618581116</v>
      </c>
      <c r="AM179" s="160">
        <f>IF(AV179&gt;135,135,IF(AV179&lt;120,120,AV179))</f>
        <v>135</v>
      </c>
      <c r="AN179" s="114"/>
      <c r="AO179" s="114"/>
      <c r="AP179" s="114">
        <v>3</v>
      </c>
      <c r="AQ179" s="114">
        <v>84</v>
      </c>
      <c r="AR179" s="114">
        <v>1.27</v>
      </c>
      <c r="AS179" s="160">
        <v>31</v>
      </c>
      <c r="AT179" s="161">
        <v>29.1</v>
      </c>
      <c r="AU179" s="114">
        <v>61</v>
      </c>
      <c r="AV179" s="114">
        <v>141</v>
      </c>
      <c r="AZ179" s="209" t="s">
        <v>551</v>
      </c>
    </row>
    <row r="180" spans="1:52">
      <c r="A180" s="117" t="s">
        <v>552</v>
      </c>
      <c r="B180" s="117" t="s">
        <v>48</v>
      </c>
      <c r="C180" s="117">
        <v>73</v>
      </c>
      <c r="D180" s="135">
        <v>1.75</v>
      </c>
      <c r="E180" s="117">
        <v>86</v>
      </c>
      <c r="F180" s="136">
        <f>E180/(D180*D180)</f>
        <v>28.0816326530612</v>
      </c>
      <c r="G180" s="117">
        <v>1</v>
      </c>
      <c r="I180" s="158">
        <v>44142</v>
      </c>
      <c r="J180" s="158">
        <v>44153</v>
      </c>
      <c r="L180" s="137">
        <v>1</v>
      </c>
      <c r="M180" s="137">
        <v>11</v>
      </c>
      <c r="N180" s="139" t="s">
        <v>553</v>
      </c>
      <c r="O180" s="114"/>
      <c r="P180" s="114"/>
      <c r="Q180" s="114"/>
      <c r="R180" s="114"/>
      <c r="S180" s="114">
        <v>1</v>
      </c>
      <c r="T180" s="114">
        <v>0</v>
      </c>
      <c r="U180" s="114">
        <v>0</v>
      </c>
      <c r="V180" s="114">
        <v>0</v>
      </c>
      <c r="W180" s="114">
        <v>0</v>
      </c>
      <c r="X180" s="114">
        <v>0</v>
      </c>
      <c r="Y180" s="114">
        <v>1</v>
      </c>
      <c r="Z180" s="114" t="s">
        <v>58</v>
      </c>
      <c r="AA180" s="114">
        <v>1</v>
      </c>
      <c r="AB180" s="114">
        <v>1</v>
      </c>
      <c r="AC180" s="114">
        <v>2</v>
      </c>
      <c r="AD180" s="114">
        <v>1</v>
      </c>
      <c r="AE180" s="114">
        <f>Y180+AA180+AB180+AC180+AD180</f>
        <v>6</v>
      </c>
      <c r="AF180" s="116" t="s">
        <v>59</v>
      </c>
      <c r="AG180" s="114">
        <f t="shared" ref="AG180:AG213" si="45">AT180/17.1</f>
        <v>1.46198830409357</v>
      </c>
      <c r="AH180" s="114">
        <f t="shared" ref="AH180:AH213" si="46">AU180/88.4</f>
        <v>0.723981900452489</v>
      </c>
      <c r="AI180" s="114">
        <f t="shared" ref="AI180:AI213" si="47">AR180</f>
        <v>1.03</v>
      </c>
      <c r="AJ180" s="159">
        <f>LN(IF(AG180&gt;=1,AG180,1))*3.8+LN(IF(AH180&gt;=1,AH180,1))*9.6+11.2*LN(IF(AI180&gt;=1,AI180,1))+6.4*AN180</f>
        <v>1.77428855827173</v>
      </c>
      <c r="AK180" s="160">
        <f t="shared" ref="AK180:AK188" si="48">IF(AND(AG180&gt;0,AH180&gt;0,AI180&gt;0),AJ180,"")</f>
        <v>1.77428855827173</v>
      </c>
      <c r="AL180" s="160">
        <f t="shared" ref="AL180:AL205" si="49">AK180+1.59*(135-AM180)</f>
        <v>1.77428855827173</v>
      </c>
      <c r="AM180" s="160">
        <f t="shared" ref="AM180:AM188" si="50">IF(AV180&gt;135,135,IF(AV180&lt;120,120,AV180))</f>
        <v>135</v>
      </c>
      <c r="AN180" s="114"/>
      <c r="AO180" s="114"/>
      <c r="AP180" s="114">
        <v>4.49</v>
      </c>
      <c r="AQ180" s="114">
        <v>133</v>
      </c>
      <c r="AR180" s="114">
        <v>1.03</v>
      </c>
      <c r="AS180" s="160">
        <v>32</v>
      </c>
      <c r="AT180" s="161">
        <v>25</v>
      </c>
      <c r="AU180" s="114">
        <v>64</v>
      </c>
      <c r="AV180" s="114">
        <v>141</v>
      </c>
      <c r="AZ180" s="119" t="s">
        <v>554</v>
      </c>
    </row>
    <row r="181" s="129" customFormat="1" spans="1:52">
      <c r="A181" s="129" t="s">
        <v>67</v>
      </c>
      <c r="B181" s="129" t="s">
        <v>53</v>
      </c>
      <c r="C181" s="129">
        <v>67</v>
      </c>
      <c r="D181" s="217">
        <v>1.57</v>
      </c>
      <c r="E181" s="129">
        <v>86</v>
      </c>
      <c r="F181" s="218">
        <f>E181/(D181*D181)</f>
        <v>34.8898535437543</v>
      </c>
      <c r="G181" s="129">
        <v>0</v>
      </c>
      <c r="I181" s="219">
        <v>44144</v>
      </c>
      <c r="J181" s="219">
        <v>44149</v>
      </c>
      <c r="L181" s="220">
        <v>6</v>
      </c>
      <c r="M181" s="220">
        <v>5</v>
      </c>
      <c r="N181" s="221" t="s">
        <v>555</v>
      </c>
      <c r="O181" s="114"/>
      <c r="P181" s="114"/>
      <c r="Q181" s="114"/>
      <c r="R181" s="114"/>
      <c r="S181" s="114">
        <v>1</v>
      </c>
      <c r="T181" s="114">
        <v>1</v>
      </c>
      <c r="U181" s="114">
        <v>0</v>
      </c>
      <c r="V181" s="114">
        <v>1</v>
      </c>
      <c r="W181" s="114">
        <v>0</v>
      </c>
      <c r="X181" s="114">
        <v>0</v>
      </c>
      <c r="Y181" s="114">
        <v>1</v>
      </c>
      <c r="Z181" s="114" t="s">
        <v>300</v>
      </c>
      <c r="AA181" s="114">
        <v>2</v>
      </c>
      <c r="AB181" s="114">
        <v>1</v>
      </c>
      <c r="AC181" s="114">
        <v>1</v>
      </c>
      <c r="AD181" s="114">
        <v>1</v>
      </c>
      <c r="AE181" s="114">
        <f>Y181+AA181+AB181+AC181+AD181</f>
        <v>6</v>
      </c>
      <c r="AF181" s="116" t="s">
        <v>59</v>
      </c>
      <c r="AG181" s="114">
        <f t="shared" si="45"/>
        <v>1.40350877192982</v>
      </c>
      <c r="AH181" s="114">
        <f t="shared" si="46"/>
        <v>0.610859728506787</v>
      </c>
      <c r="AI181" s="114">
        <f t="shared" si="47"/>
        <v>1.19</v>
      </c>
      <c r="AJ181" s="159">
        <f>LN(IF(AG181&gt;=1,AG181,1))*3.8+LN(IF(AH181&gt;=1,AH181,1))*9.6+11.2*LN(IF(AI181&gt;=1,AI181,1))+6.4*AN181</f>
        <v>3.23638343377196</v>
      </c>
      <c r="AK181" s="160">
        <f t="shared" si="48"/>
        <v>3.23638343377196</v>
      </c>
      <c r="AL181" s="160">
        <f t="shared" si="49"/>
        <v>3.23638343377196</v>
      </c>
      <c r="AM181" s="160">
        <f t="shared" si="50"/>
        <v>135</v>
      </c>
      <c r="AN181" s="114"/>
      <c r="AO181" s="114"/>
      <c r="AP181" s="114">
        <v>2.18</v>
      </c>
      <c r="AQ181" s="114">
        <v>93</v>
      </c>
      <c r="AR181" s="114">
        <v>1.19</v>
      </c>
      <c r="AS181" s="160">
        <v>37</v>
      </c>
      <c r="AT181" s="161">
        <v>24</v>
      </c>
      <c r="AU181" s="114">
        <v>54</v>
      </c>
      <c r="AV181" s="114">
        <v>136</v>
      </c>
      <c r="AZ181" s="222" t="s">
        <v>556</v>
      </c>
    </row>
    <row r="182" s="129" customFormat="1" spans="1:52">
      <c r="A182" s="129" t="s">
        <v>528</v>
      </c>
      <c r="B182" s="129" t="s">
        <v>48</v>
      </c>
      <c r="C182" s="129">
        <v>73</v>
      </c>
      <c r="D182" s="217">
        <v>1.71</v>
      </c>
      <c r="E182" s="129">
        <v>90</v>
      </c>
      <c r="F182" s="218">
        <f>E182/(D182*D182)</f>
        <v>30.7787011388119</v>
      </c>
      <c r="G182" s="129">
        <v>0</v>
      </c>
      <c r="I182" s="219">
        <v>44140</v>
      </c>
      <c r="J182" s="219">
        <v>44155</v>
      </c>
      <c r="L182" s="220">
        <v>2</v>
      </c>
      <c r="M182" s="220">
        <v>15</v>
      </c>
      <c r="N182" s="221" t="s">
        <v>557</v>
      </c>
      <c r="O182" s="114"/>
      <c r="P182" s="114">
        <v>1</v>
      </c>
      <c r="Q182" s="114"/>
      <c r="R182" s="114"/>
      <c r="S182" s="114"/>
      <c r="T182" s="114">
        <v>0</v>
      </c>
      <c r="U182" s="114">
        <v>1</v>
      </c>
      <c r="V182" s="114">
        <v>0</v>
      </c>
      <c r="W182" s="114">
        <v>0</v>
      </c>
      <c r="X182" s="114">
        <v>0</v>
      </c>
      <c r="Y182" s="114">
        <v>2</v>
      </c>
      <c r="Z182" s="114" t="s">
        <v>58</v>
      </c>
      <c r="AA182" s="114">
        <v>1</v>
      </c>
      <c r="AB182" s="114">
        <v>2</v>
      </c>
      <c r="AC182" s="114">
        <v>3</v>
      </c>
      <c r="AD182" s="114">
        <v>1</v>
      </c>
      <c r="AE182" s="114">
        <f>Y182+AA182+AB182+AC182+AD182</f>
        <v>9</v>
      </c>
      <c r="AF182" s="116" t="s">
        <v>63</v>
      </c>
      <c r="AG182" s="114">
        <f t="shared" si="45"/>
        <v>2.22222222222222</v>
      </c>
      <c r="AH182" s="114">
        <f t="shared" si="46"/>
        <v>0.599547511312217</v>
      </c>
      <c r="AI182" s="114">
        <f t="shared" si="47"/>
        <v>1.24</v>
      </c>
      <c r="AJ182" s="159">
        <f>LN(IF(AG182&gt;=1,AG182,1))*3.8+LN(IF(AH182&gt;=1,AH182,1))*9.6+11.2*LN(IF(AI182&gt;=1,AI182,1))+6.4*AN182</f>
        <v>5.44357669733732</v>
      </c>
      <c r="AK182" s="160">
        <f t="shared" si="48"/>
        <v>5.44357669733732</v>
      </c>
      <c r="AL182" s="160">
        <f t="shared" si="49"/>
        <v>5.44357669733732</v>
      </c>
      <c r="AM182" s="160">
        <f t="shared" si="50"/>
        <v>135</v>
      </c>
      <c r="AN182" s="114">
        <v>0</v>
      </c>
      <c r="AO182" s="114">
        <v>1</v>
      </c>
      <c r="AP182" s="114">
        <v>4.36</v>
      </c>
      <c r="AQ182" s="114">
        <v>109</v>
      </c>
      <c r="AR182" s="114">
        <v>1.24</v>
      </c>
      <c r="AS182" s="160">
        <v>25</v>
      </c>
      <c r="AT182" s="161">
        <v>38</v>
      </c>
      <c r="AU182" s="114">
        <v>53</v>
      </c>
      <c r="AV182" s="114">
        <v>143</v>
      </c>
      <c r="AZ182" s="222" t="s">
        <v>558</v>
      </c>
    </row>
    <row r="183" spans="1:52">
      <c r="A183" s="224" t="s">
        <v>498</v>
      </c>
      <c r="B183" s="117" t="s">
        <v>53</v>
      </c>
      <c r="C183" s="117">
        <v>67</v>
      </c>
      <c r="D183" s="135">
        <v>1.56</v>
      </c>
      <c r="E183" s="117">
        <v>46</v>
      </c>
      <c r="F183" s="136">
        <f>E183/(D183*D183)</f>
        <v>18.9020381328074</v>
      </c>
      <c r="G183" s="117">
        <v>3</v>
      </c>
      <c r="I183" s="158">
        <v>44146</v>
      </c>
      <c r="J183" s="158">
        <v>44154</v>
      </c>
      <c r="L183" s="137">
        <v>3</v>
      </c>
      <c r="M183" s="137">
        <v>8</v>
      </c>
      <c r="N183" s="139" t="s">
        <v>559</v>
      </c>
      <c r="O183" s="114"/>
      <c r="P183" s="114"/>
      <c r="Q183" s="114">
        <v>1</v>
      </c>
      <c r="R183" s="114">
        <v>1</v>
      </c>
      <c r="S183" s="114"/>
      <c r="T183" s="114">
        <v>1</v>
      </c>
      <c r="U183" s="114">
        <v>0</v>
      </c>
      <c r="V183" s="114">
        <v>1</v>
      </c>
      <c r="W183" s="114">
        <v>0</v>
      </c>
      <c r="X183" s="114">
        <v>1</v>
      </c>
      <c r="Y183" s="114">
        <v>1</v>
      </c>
      <c r="Z183" s="114" t="s">
        <v>321</v>
      </c>
      <c r="AA183" s="114">
        <v>3</v>
      </c>
      <c r="AB183" s="114">
        <v>1</v>
      </c>
      <c r="AC183" s="114">
        <v>3</v>
      </c>
      <c r="AD183" s="114">
        <v>1</v>
      </c>
      <c r="AE183" s="114">
        <f>Y183+AA183+AB183+AC183+AD183</f>
        <v>9</v>
      </c>
      <c r="AF183" s="116" t="s">
        <v>63</v>
      </c>
      <c r="AG183" s="114">
        <f t="shared" si="45"/>
        <v>0.923976608187134</v>
      </c>
      <c r="AH183" s="114">
        <f t="shared" si="46"/>
        <v>0.520361990950226</v>
      </c>
      <c r="AI183" s="114">
        <f t="shared" si="47"/>
        <v>1.05</v>
      </c>
      <c r="AJ183" s="159">
        <f>LN(IF(AG183&gt;=1,AG183,1))*3.8+LN(IF(AH183&gt;=1,AH183,1))*9.6+11.2*LN(IF(AI183&gt;=1,AI183,1))+6.4*AN183</f>
        <v>0.546449838697639</v>
      </c>
      <c r="AK183" s="160">
        <f t="shared" si="48"/>
        <v>0.546449838697639</v>
      </c>
      <c r="AL183" s="160">
        <f t="shared" si="49"/>
        <v>0.546449838697639</v>
      </c>
      <c r="AM183" s="160">
        <f t="shared" si="50"/>
        <v>135</v>
      </c>
      <c r="AN183" s="114">
        <v>0</v>
      </c>
      <c r="AO183" s="114">
        <v>1</v>
      </c>
      <c r="AP183" s="114">
        <v>2.73</v>
      </c>
      <c r="AQ183" s="114">
        <v>63</v>
      </c>
      <c r="AR183" s="114">
        <v>1.05</v>
      </c>
      <c r="AS183" s="160">
        <v>21</v>
      </c>
      <c r="AT183" s="161">
        <v>15.8</v>
      </c>
      <c r="AU183" s="114">
        <v>46</v>
      </c>
      <c r="AV183" s="114">
        <v>142</v>
      </c>
      <c r="AZ183" s="119" t="s">
        <v>560</v>
      </c>
    </row>
    <row r="184" s="123" customFormat="1" spans="1:52">
      <c r="A184" s="123" t="s">
        <v>561</v>
      </c>
      <c r="B184" s="123" t="s">
        <v>48</v>
      </c>
      <c r="C184" s="123">
        <v>47</v>
      </c>
      <c r="D184" s="176">
        <v>1.66</v>
      </c>
      <c r="E184" s="123">
        <v>57</v>
      </c>
      <c r="F184" s="189">
        <f>E184/(D184*D184)</f>
        <v>20.6851502395123</v>
      </c>
      <c r="G184" s="123">
        <v>6</v>
      </c>
      <c r="I184" s="177">
        <v>44144</v>
      </c>
      <c r="J184" s="177">
        <v>44156</v>
      </c>
      <c r="L184" s="178">
        <v>1</v>
      </c>
      <c r="M184" s="178">
        <v>12</v>
      </c>
      <c r="N184" s="179" t="s">
        <v>562</v>
      </c>
      <c r="O184" s="114"/>
      <c r="P184" s="114">
        <v>1</v>
      </c>
      <c r="Q184" s="114"/>
      <c r="R184" s="114"/>
      <c r="S184" s="114"/>
      <c r="T184" s="114">
        <v>1</v>
      </c>
      <c r="U184" s="114">
        <v>0</v>
      </c>
      <c r="V184" s="114">
        <v>1</v>
      </c>
      <c r="W184" s="114">
        <v>0</v>
      </c>
      <c r="X184" s="114">
        <v>0</v>
      </c>
      <c r="Y184" s="114">
        <v>1</v>
      </c>
      <c r="Z184" s="114" t="s">
        <v>321</v>
      </c>
      <c r="AA184" s="114">
        <v>3</v>
      </c>
      <c r="AB184" s="114">
        <v>3</v>
      </c>
      <c r="AC184" s="114">
        <v>3</v>
      </c>
      <c r="AD184" s="114">
        <v>2</v>
      </c>
      <c r="AE184" s="114">
        <f>Y184+AA184+AB184+AC184+AD184</f>
        <v>12</v>
      </c>
      <c r="AF184" s="116" t="s">
        <v>50</v>
      </c>
      <c r="AG184" s="114">
        <f t="shared" si="45"/>
        <v>5.33918128654971</v>
      </c>
      <c r="AH184" s="114">
        <f t="shared" si="46"/>
        <v>1.27828054298643</v>
      </c>
      <c r="AI184" s="114">
        <f t="shared" si="47"/>
        <v>2.29</v>
      </c>
      <c r="AJ184" s="159">
        <f>LN(IF(AG184&gt;=1,AG184,1))*3.8+LN(IF(AH184&gt;=1,AH184,1))*9.6+11.2*LN(IF(AI184&gt;=1,AI184,1))+6.4*AN184</f>
        <v>18.0020073393516</v>
      </c>
      <c r="AK184" s="160">
        <f t="shared" si="48"/>
        <v>18.0020073393516</v>
      </c>
      <c r="AL184" s="160">
        <f t="shared" si="49"/>
        <v>24.3620073393516</v>
      </c>
      <c r="AM184" s="160">
        <f t="shared" si="50"/>
        <v>131</v>
      </c>
      <c r="AN184" s="114">
        <v>0</v>
      </c>
      <c r="AO184" s="114">
        <v>3</v>
      </c>
      <c r="AP184" s="114">
        <v>6.4</v>
      </c>
      <c r="AQ184" s="114">
        <v>76</v>
      </c>
      <c r="AR184" s="114">
        <v>2.29</v>
      </c>
      <c r="AS184" s="160">
        <v>23</v>
      </c>
      <c r="AT184" s="161">
        <v>91.3</v>
      </c>
      <c r="AU184" s="114">
        <v>113</v>
      </c>
      <c r="AV184" s="114">
        <v>131</v>
      </c>
      <c r="AZ184" s="132" t="s">
        <v>563</v>
      </c>
    </row>
    <row r="185" spans="1:52">
      <c r="A185" s="114" t="s">
        <v>564</v>
      </c>
      <c r="B185" s="117" t="s">
        <v>53</v>
      </c>
      <c r="C185" s="117">
        <v>63</v>
      </c>
      <c r="D185" s="135">
        <v>1.55</v>
      </c>
      <c r="E185" s="117">
        <v>60</v>
      </c>
      <c r="F185" s="136">
        <f>E185/(D185*D185)</f>
        <v>24.9739854318418</v>
      </c>
      <c r="G185" s="117">
        <v>3</v>
      </c>
      <c r="I185" s="158">
        <v>44141</v>
      </c>
      <c r="J185" s="158">
        <v>44155</v>
      </c>
      <c r="L185" s="137">
        <v>1</v>
      </c>
      <c r="M185" s="137">
        <v>14</v>
      </c>
      <c r="N185" s="139" t="s">
        <v>565</v>
      </c>
      <c r="O185" s="114">
        <v>1</v>
      </c>
      <c r="P185" s="114"/>
      <c r="Q185" s="114"/>
      <c r="R185" s="114"/>
      <c r="S185" s="114"/>
      <c r="T185" s="114">
        <v>1</v>
      </c>
      <c r="U185" s="114">
        <v>1</v>
      </c>
      <c r="V185" s="114">
        <v>1</v>
      </c>
      <c r="W185" s="114">
        <v>0</v>
      </c>
      <c r="X185" s="114">
        <v>0</v>
      </c>
      <c r="Y185" s="114">
        <v>2</v>
      </c>
      <c r="Z185" s="114" t="s">
        <v>307</v>
      </c>
      <c r="AA185" s="114">
        <v>3</v>
      </c>
      <c r="AB185" s="114">
        <v>1</v>
      </c>
      <c r="AC185" s="114">
        <v>2</v>
      </c>
      <c r="AD185" s="114">
        <v>1</v>
      </c>
      <c r="AE185" s="114">
        <f>Y185+AA185+AB185+AC185+AD185</f>
        <v>9</v>
      </c>
      <c r="AF185" s="116" t="s">
        <v>63</v>
      </c>
      <c r="AG185" s="114">
        <f t="shared" si="45"/>
        <v>0.830409356725146</v>
      </c>
      <c r="AH185" s="114">
        <f t="shared" si="46"/>
        <v>0.486425339366516</v>
      </c>
      <c r="AI185" s="114">
        <f t="shared" si="47"/>
        <v>1.37</v>
      </c>
      <c r="AJ185" s="159">
        <f>LN(IF(AG185&gt;=1,AG185,1))*3.8+LN(IF(AH185&gt;=1,AH185,1))*9.6+11.2*LN(IF(AI185&gt;=1,AI185,1))+6.4*AN185</f>
        <v>3.52588028620838</v>
      </c>
      <c r="AK185" s="160">
        <f t="shared" si="48"/>
        <v>3.52588028620838</v>
      </c>
      <c r="AL185" s="160">
        <f t="shared" si="49"/>
        <v>3.52588028620838</v>
      </c>
      <c r="AM185" s="160">
        <f t="shared" si="50"/>
        <v>135</v>
      </c>
      <c r="AN185" s="114"/>
      <c r="AO185" s="114"/>
      <c r="AP185" s="114">
        <v>4.95</v>
      </c>
      <c r="AQ185" s="114">
        <v>79</v>
      </c>
      <c r="AR185" s="114">
        <v>1.37</v>
      </c>
      <c r="AS185" s="160">
        <v>29</v>
      </c>
      <c r="AT185" s="161">
        <v>14.2</v>
      </c>
      <c r="AU185" s="114">
        <v>43</v>
      </c>
      <c r="AV185" s="114">
        <v>137</v>
      </c>
      <c r="AZ185" s="119" t="s">
        <v>566</v>
      </c>
    </row>
    <row r="186" spans="1:52">
      <c r="A186" s="117" t="s">
        <v>153</v>
      </c>
      <c r="B186" s="117" t="s">
        <v>48</v>
      </c>
      <c r="C186" s="117">
        <v>63</v>
      </c>
      <c r="D186" s="135">
        <v>1.6</v>
      </c>
      <c r="E186" s="117">
        <v>60</v>
      </c>
      <c r="F186" s="136">
        <f>E186/(D186*D186)</f>
        <v>23.4375</v>
      </c>
      <c r="G186" s="117">
        <v>6</v>
      </c>
      <c r="I186" s="158">
        <v>44140</v>
      </c>
      <c r="J186" s="158">
        <v>44158</v>
      </c>
      <c r="L186" s="137">
        <v>4</v>
      </c>
      <c r="M186" s="138">
        <v>18</v>
      </c>
      <c r="N186" s="139" t="s">
        <v>567</v>
      </c>
      <c r="O186" s="114"/>
      <c r="P186" s="114">
        <v>1</v>
      </c>
      <c r="Q186" s="114"/>
      <c r="R186" s="114"/>
      <c r="S186" s="114"/>
      <c r="T186" s="114">
        <v>1</v>
      </c>
      <c r="U186" s="114">
        <v>0</v>
      </c>
      <c r="V186" s="114">
        <v>1</v>
      </c>
      <c r="W186" s="114">
        <v>0</v>
      </c>
      <c r="X186" s="114">
        <v>1</v>
      </c>
      <c r="Y186" s="114">
        <v>1</v>
      </c>
      <c r="Z186" s="114" t="s">
        <v>307</v>
      </c>
      <c r="AA186" s="114">
        <v>3</v>
      </c>
      <c r="AB186" s="114">
        <v>1</v>
      </c>
      <c r="AC186" s="114">
        <v>2</v>
      </c>
      <c r="AD186" s="114">
        <v>1</v>
      </c>
      <c r="AE186" s="114">
        <f>Y186+AA186+AB186+AC186+AD186</f>
        <v>8</v>
      </c>
      <c r="AF186" s="116" t="s">
        <v>63</v>
      </c>
      <c r="AG186" s="114">
        <f t="shared" si="45"/>
        <v>0.514619883040936</v>
      </c>
      <c r="AH186" s="114">
        <f t="shared" si="46"/>
        <v>0.8710407239819</v>
      </c>
      <c r="AI186" s="114">
        <f t="shared" si="47"/>
        <v>1.38</v>
      </c>
      <c r="AJ186" s="159">
        <f>LN(IF(AG186&gt;=1,AG186,1))*3.8+LN(IF(AH186&gt;=1,AH186,1))*9.6+11.2*LN(IF(AI186&gt;=1,AI186,1))+6.4*AN186</f>
        <v>3.60733519069407</v>
      </c>
      <c r="AK186" s="160">
        <f t="shared" si="48"/>
        <v>3.60733519069407</v>
      </c>
      <c r="AL186" s="160">
        <f t="shared" si="49"/>
        <v>3.60733519069407</v>
      </c>
      <c r="AM186" s="160">
        <f t="shared" si="50"/>
        <v>135</v>
      </c>
      <c r="AN186" s="114">
        <v>0</v>
      </c>
      <c r="AO186" s="114">
        <v>1</v>
      </c>
      <c r="AP186" s="114">
        <v>1.57</v>
      </c>
      <c r="AQ186" s="114">
        <v>92</v>
      </c>
      <c r="AR186" s="114">
        <v>1.38</v>
      </c>
      <c r="AS186" s="160">
        <v>33</v>
      </c>
      <c r="AT186" s="161">
        <v>8.8</v>
      </c>
      <c r="AU186" s="114">
        <v>77</v>
      </c>
      <c r="AV186" s="114">
        <v>140</v>
      </c>
      <c r="AZ186" s="119" t="s">
        <v>568</v>
      </c>
    </row>
    <row r="187" spans="1:52">
      <c r="A187" s="117" t="s">
        <v>546</v>
      </c>
      <c r="B187" s="117" t="s">
        <v>48</v>
      </c>
      <c r="C187" s="117">
        <v>57</v>
      </c>
      <c r="D187" s="135">
        <v>1.78</v>
      </c>
      <c r="E187" s="117">
        <v>65</v>
      </c>
      <c r="F187" s="136">
        <f>E187/(D187*D187)</f>
        <v>20.5150864789799</v>
      </c>
      <c r="G187" s="117">
        <v>6</v>
      </c>
      <c r="I187" s="158">
        <v>44162</v>
      </c>
      <c r="J187" s="158">
        <v>44170</v>
      </c>
      <c r="L187" s="137">
        <v>4</v>
      </c>
      <c r="M187" s="137">
        <v>8</v>
      </c>
      <c r="N187" s="139" t="s">
        <v>569</v>
      </c>
      <c r="O187" s="114"/>
      <c r="P187" s="114">
        <v>1</v>
      </c>
      <c r="Q187" s="114"/>
      <c r="R187" s="114"/>
      <c r="S187" s="114"/>
      <c r="T187" s="114">
        <v>0</v>
      </c>
      <c r="U187" s="114">
        <v>0</v>
      </c>
      <c r="V187" s="114">
        <v>1</v>
      </c>
      <c r="W187" s="114">
        <v>0</v>
      </c>
      <c r="X187" s="114">
        <v>1</v>
      </c>
      <c r="Y187" s="114">
        <v>1</v>
      </c>
      <c r="Z187" s="114" t="s">
        <v>58</v>
      </c>
      <c r="AA187" s="114">
        <v>1</v>
      </c>
      <c r="AB187" s="114">
        <v>1</v>
      </c>
      <c r="AC187" s="114">
        <v>2</v>
      </c>
      <c r="AD187" s="114">
        <v>1</v>
      </c>
      <c r="AE187" s="114">
        <f>Y187+AA187+AB187+AC187+AD187</f>
        <v>6</v>
      </c>
      <c r="AF187" s="116" t="s">
        <v>59</v>
      </c>
      <c r="AG187" s="114">
        <f>AT187/17.1</f>
        <v>0.818713450292398</v>
      </c>
      <c r="AH187" s="114">
        <f>AU187/88.4</f>
        <v>0.85972850678733</v>
      </c>
      <c r="AI187" s="114">
        <f>AR187</f>
        <v>1.29</v>
      </c>
      <c r="AJ187" s="159">
        <f>LN(IF(AG187&gt;=1,AG187,1))*3.8+LN(IF(AH187&gt;=1,AH187,1))*9.6+11.2*LN(IF(AI187&gt;=1,AI187,1))+6.4*AN187</f>
        <v>2.8519928457841</v>
      </c>
      <c r="AK187" s="160">
        <f>IF(AND(AG187&gt;0,AH187&gt;0,AI187&gt;0),AJ187,"")</f>
        <v>2.8519928457841</v>
      </c>
      <c r="AL187" s="160">
        <f>AK187+1.59*(135-AM187)</f>
        <v>2.8519928457841</v>
      </c>
      <c r="AM187" s="160">
        <f>IF(AV187&gt;135,135,IF(AV187&lt;120,120,AV187))</f>
        <v>135</v>
      </c>
      <c r="AN187" s="114">
        <v>0</v>
      </c>
      <c r="AO187" s="114">
        <v>1</v>
      </c>
      <c r="AP187" s="114">
        <v>4.16</v>
      </c>
      <c r="AQ187" s="114">
        <v>86</v>
      </c>
      <c r="AR187" s="114">
        <v>1.29</v>
      </c>
      <c r="AS187" s="160">
        <v>28</v>
      </c>
      <c r="AT187" s="161">
        <v>14</v>
      </c>
      <c r="AU187" s="114">
        <v>76</v>
      </c>
      <c r="AV187" s="114">
        <v>139</v>
      </c>
      <c r="AZ187" s="119" t="s">
        <v>570</v>
      </c>
    </row>
    <row r="188" s="129" customFormat="1" spans="1:52">
      <c r="A188" s="129" t="s">
        <v>571</v>
      </c>
      <c r="B188" s="129" t="s">
        <v>53</v>
      </c>
      <c r="C188" s="129">
        <v>65</v>
      </c>
      <c r="D188" s="217">
        <v>1.68</v>
      </c>
      <c r="E188" s="129">
        <v>95</v>
      </c>
      <c r="F188" s="218">
        <f>E188/(D188*D188)</f>
        <v>33.6592970521542</v>
      </c>
      <c r="G188" s="129">
        <v>0</v>
      </c>
      <c r="I188" s="219">
        <v>44151</v>
      </c>
      <c r="J188" s="219">
        <v>44169</v>
      </c>
      <c r="L188" s="220">
        <v>3</v>
      </c>
      <c r="M188" s="220">
        <v>18</v>
      </c>
      <c r="N188" s="221" t="s">
        <v>572</v>
      </c>
      <c r="O188" s="114"/>
      <c r="P188" s="114"/>
      <c r="Q188" s="114">
        <v>1</v>
      </c>
      <c r="R188" s="114"/>
      <c r="S188" s="114"/>
      <c r="T188" s="114">
        <v>1</v>
      </c>
      <c r="U188" s="114">
        <v>0</v>
      </c>
      <c r="V188" s="114">
        <v>1</v>
      </c>
      <c r="W188" s="114">
        <v>0</v>
      </c>
      <c r="X188" s="114">
        <v>1</v>
      </c>
      <c r="Y188" s="114">
        <v>1</v>
      </c>
      <c r="Z188" s="114" t="s">
        <v>300</v>
      </c>
      <c r="AA188" s="114">
        <v>2</v>
      </c>
      <c r="AB188" s="114">
        <v>1</v>
      </c>
      <c r="AC188" s="114">
        <v>2</v>
      </c>
      <c r="AD188" s="114">
        <v>1</v>
      </c>
      <c r="AE188" s="114">
        <f>Y188+AA188+AB188+AC188+AD188</f>
        <v>7</v>
      </c>
      <c r="AF188" s="116" t="s">
        <v>63</v>
      </c>
      <c r="AG188" s="114">
        <f>AT188/17.1</f>
        <v>1.59356725146199</v>
      </c>
      <c r="AH188" s="114">
        <f>AU188/88.4</f>
        <v>0.520361990950226</v>
      </c>
      <c r="AI188" s="114">
        <f t="shared" ref="AI188:AI208" si="51">AR188</f>
        <v>1.38</v>
      </c>
      <c r="AJ188" s="159">
        <f>LN(IF(AG188&gt;=1,AG188,1))*3.8+LN(IF(AH188&gt;=1,AH188,1))*9.6+11.2*LN(IF(AI188&gt;=1,AI188,1))+6.4*AN188</f>
        <v>5.37804040957649</v>
      </c>
      <c r="AK188" s="160">
        <f>IF(AND(AG188&gt;0,AH188&gt;0,AI188&gt;0),AJ188,"")</f>
        <v>5.37804040957649</v>
      </c>
      <c r="AL188" s="160">
        <f t="shared" ref="AL188:AL200" si="52">AK188+1.59*(135-AM188)</f>
        <v>5.37804040957649</v>
      </c>
      <c r="AM188" s="160">
        <f>IF(AV188&gt;135,135,IF(AV188&lt;120,120,AV188))</f>
        <v>135</v>
      </c>
      <c r="AN188" s="114"/>
      <c r="AO188" s="114"/>
      <c r="AP188" s="114">
        <v>1.56</v>
      </c>
      <c r="AQ188" s="114">
        <v>93</v>
      </c>
      <c r="AR188" s="114">
        <v>1.38</v>
      </c>
      <c r="AS188" s="160">
        <v>31</v>
      </c>
      <c r="AT188" s="161">
        <v>27.25</v>
      </c>
      <c r="AU188" s="114">
        <v>46</v>
      </c>
      <c r="AV188" s="114">
        <v>142</v>
      </c>
      <c r="AZ188" s="222" t="s">
        <v>573</v>
      </c>
    </row>
    <row r="189" s="130" customFormat="1" spans="1:52">
      <c r="A189" s="130" t="s">
        <v>574</v>
      </c>
      <c r="B189" s="130" t="s">
        <v>53</v>
      </c>
      <c r="C189" s="130">
        <v>69</v>
      </c>
      <c r="D189" s="225">
        <v>1.65</v>
      </c>
      <c r="E189" s="130">
        <v>70</v>
      </c>
      <c r="F189" s="226">
        <f>E189/(D189*D189)</f>
        <v>25.7116620752984</v>
      </c>
      <c r="G189" s="130">
        <v>3</v>
      </c>
      <c r="I189" s="227">
        <v>44154</v>
      </c>
      <c r="J189" s="227">
        <v>44170</v>
      </c>
      <c r="L189" s="228">
        <v>1</v>
      </c>
      <c r="M189" s="228">
        <v>16</v>
      </c>
      <c r="N189" s="229" t="s">
        <v>575</v>
      </c>
      <c r="O189" s="230"/>
      <c r="P189" s="230"/>
      <c r="Q189" s="230"/>
      <c r="R189" s="230">
        <v>1</v>
      </c>
      <c r="S189" s="230"/>
      <c r="T189" s="230">
        <v>1</v>
      </c>
      <c r="U189" s="230">
        <v>0</v>
      </c>
      <c r="V189" s="230">
        <v>1</v>
      </c>
      <c r="W189" s="230">
        <v>0</v>
      </c>
      <c r="X189" s="230">
        <v>0</v>
      </c>
      <c r="Y189" s="230">
        <v>1</v>
      </c>
      <c r="Z189" s="230" t="s">
        <v>300</v>
      </c>
      <c r="AA189" s="230">
        <v>2</v>
      </c>
      <c r="AB189" s="230">
        <v>1</v>
      </c>
      <c r="AC189" s="230">
        <v>3</v>
      </c>
      <c r="AD189" s="230">
        <v>2</v>
      </c>
      <c r="AE189" s="114">
        <f>Y189+AA189+AB189+AC189+AD189</f>
        <v>9</v>
      </c>
      <c r="AF189" s="116" t="s">
        <v>63</v>
      </c>
      <c r="AG189" s="114">
        <f>AT189/17.1</f>
        <v>1.22222222222222</v>
      </c>
      <c r="AH189" s="114">
        <f>AU189/88.4</f>
        <v>0.542986425339366</v>
      </c>
      <c r="AI189" s="114">
        <f t="shared" si="51"/>
        <v>1.94</v>
      </c>
      <c r="AJ189" s="159">
        <f>LN(IF(AG189&gt;=1,AG189,1))*3.8+LN(IF(AH189&gt;=1,AH189,1))*9.6+11.2*LN(IF(AI189&gt;=1,AI189,1))+6.4*AN189</f>
        <v>8.18465394119882</v>
      </c>
      <c r="AK189" s="160">
        <f>IF(AND(AG189&gt;0,AH189&gt;0,AI189&gt;0),AJ189,"")</f>
        <v>8.18465394119882</v>
      </c>
      <c r="AL189" s="160">
        <f t="shared" si="52"/>
        <v>8.18465394119882</v>
      </c>
      <c r="AM189" s="160">
        <f>IF(AV189&gt;135,135,IF(AV189&lt;120,120,AV189))</f>
        <v>135</v>
      </c>
      <c r="AN189" s="230">
        <v>0</v>
      </c>
      <c r="AO189" s="230">
        <v>1</v>
      </c>
      <c r="AP189" s="230">
        <v>4.88</v>
      </c>
      <c r="AQ189" s="230">
        <v>67</v>
      </c>
      <c r="AR189" s="230">
        <v>1.94</v>
      </c>
      <c r="AS189" s="231">
        <v>23</v>
      </c>
      <c r="AT189" s="232">
        <v>20.9</v>
      </c>
      <c r="AU189" s="230">
        <v>48</v>
      </c>
      <c r="AV189" s="230">
        <v>140</v>
      </c>
      <c r="AZ189" s="233" t="s">
        <v>576</v>
      </c>
    </row>
    <row r="190" spans="1:52">
      <c r="A190" s="234" t="s">
        <v>577</v>
      </c>
      <c r="B190" s="234" t="s">
        <v>48</v>
      </c>
      <c r="C190" s="234">
        <v>79</v>
      </c>
      <c r="D190" s="234">
        <v>1.6</v>
      </c>
      <c r="E190" s="234">
        <v>68</v>
      </c>
      <c r="F190" s="136">
        <f>E190/(D190*D190)</f>
        <v>26.5625</v>
      </c>
      <c r="G190" s="117">
        <v>3</v>
      </c>
      <c r="I190" s="158">
        <v>44244</v>
      </c>
      <c r="J190" s="158">
        <v>44254</v>
      </c>
      <c r="L190" s="137">
        <v>7</v>
      </c>
      <c r="M190" s="137">
        <v>9</v>
      </c>
      <c r="N190" s="139" t="s">
        <v>578</v>
      </c>
      <c r="O190" s="114"/>
      <c r="P190" s="114"/>
      <c r="Q190" s="114">
        <v>1</v>
      </c>
      <c r="R190" s="114"/>
      <c r="S190" s="114"/>
      <c r="T190" s="114">
        <v>1</v>
      </c>
      <c r="U190" s="114">
        <v>0</v>
      </c>
      <c r="V190" s="114">
        <v>1</v>
      </c>
      <c r="W190" s="114">
        <v>0</v>
      </c>
      <c r="X190" s="114">
        <v>1</v>
      </c>
      <c r="Y190" s="114">
        <v>1</v>
      </c>
      <c r="Z190" s="114" t="s">
        <v>307</v>
      </c>
      <c r="AA190" s="114">
        <v>3</v>
      </c>
      <c r="AB190" s="114">
        <v>1</v>
      </c>
      <c r="AC190" s="114">
        <v>2</v>
      </c>
      <c r="AD190" s="114">
        <v>1</v>
      </c>
      <c r="AE190" s="114">
        <f>Y190+AA190+AB190+AC190+AD190</f>
        <v>8</v>
      </c>
      <c r="AF190" s="116" t="s">
        <v>63</v>
      </c>
      <c r="AG190" s="114">
        <f>AT190/17.1</f>
        <v>0.649122807017544</v>
      </c>
      <c r="AH190" s="114">
        <f>AU190/88.4</f>
        <v>0.622171945701357</v>
      </c>
      <c r="AI190" s="114">
        <f t="shared" si="51"/>
        <v>1.2</v>
      </c>
      <c r="AJ190" s="159">
        <f>LN(IF(AG190&gt;=1,AG190,1))*3.8+LN(IF(AH190&gt;=1,AH190,1))*9.6+11.2*LN(IF(AI190&gt;=1,AI190,1))+6.4*AN190</f>
        <v>8.44200143609229</v>
      </c>
      <c r="AK190" s="160">
        <f>IF(AND(AG190&gt;0,AH190&gt;0,AI190&gt;0),AJ190,"")</f>
        <v>8.44200143609229</v>
      </c>
      <c r="AL190" s="160">
        <f t="shared" si="52"/>
        <v>8.44200143609229</v>
      </c>
      <c r="AM190" s="160">
        <f>IF(AV190&gt;135,135,IF(AV190&lt;120,120,AV190))</f>
        <v>135</v>
      </c>
      <c r="AN190" s="114">
        <v>1</v>
      </c>
      <c r="AO190" s="114">
        <v>1</v>
      </c>
      <c r="AP190" s="114">
        <v>3.77</v>
      </c>
      <c r="AQ190" s="114">
        <v>65</v>
      </c>
      <c r="AR190" s="114">
        <v>1.2</v>
      </c>
      <c r="AS190" s="160">
        <v>32</v>
      </c>
      <c r="AT190" s="161">
        <v>11.1</v>
      </c>
      <c r="AU190" s="114">
        <v>55</v>
      </c>
      <c r="AV190" s="114">
        <v>140</v>
      </c>
      <c r="AZ190" s="119" t="s">
        <v>579</v>
      </c>
    </row>
    <row r="191" spans="1:52">
      <c r="A191" s="234" t="s">
        <v>580</v>
      </c>
      <c r="B191" s="234" t="s">
        <v>48</v>
      </c>
      <c r="C191" s="234">
        <v>59</v>
      </c>
      <c r="D191" s="234">
        <v>1.72</v>
      </c>
      <c r="E191" s="234">
        <v>60</v>
      </c>
      <c r="F191" s="136">
        <f>E191/(D191*D191)</f>
        <v>20.2812330989724</v>
      </c>
      <c r="G191" s="117">
        <v>0</v>
      </c>
      <c r="I191" s="158">
        <v>44243</v>
      </c>
      <c r="J191" s="158">
        <v>44251</v>
      </c>
      <c r="L191" s="137">
        <v>3</v>
      </c>
      <c r="M191" s="137">
        <v>8</v>
      </c>
      <c r="N191" s="139" t="s">
        <v>581</v>
      </c>
      <c r="O191" s="114"/>
      <c r="P191" s="114">
        <v>1</v>
      </c>
      <c r="Q191" s="114"/>
      <c r="R191" s="114"/>
      <c r="S191" s="114"/>
      <c r="T191" s="114">
        <v>0</v>
      </c>
      <c r="U191" s="114">
        <v>0</v>
      </c>
      <c r="V191" s="114">
        <v>1</v>
      </c>
      <c r="W191" s="114">
        <v>1</v>
      </c>
      <c r="X191" s="114">
        <v>1</v>
      </c>
      <c r="Y191" s="114">
        <v>1</v>
      </c>
      <c r="Z191" s="114" t="s">
        <v>58</v>
      </c>
      <c r="AA191" s="114">
        <v>1</v>
      </c>
      <c r="AB191" s="114">
        <v>1</v>
      </c>
      <c r="AC191" s="114">
        <v>2</v>
      </c>
      <c r="AD191" s="114">
        <v>1</v>
      </c>
      <c r="AE191" s="114">
        <f>Y191+AA191+AB191+AC191+AD191</f>
        <v>6</v>
      </c>
      <c r="AF191" s="116" t="s">
        <v>59</v>
      </c>
      <c r="AG191" s="114">
        <f>AT191/17.1</f>
        <v>0.304093567251462</v>
      </c>
      <c r="AH191" s="114">
        <f>AU191/88.4</f>
        <v>0.656108597285068</v>
      </c>
      <c r="AI191" s="114">
        <f t="shared" si="51"/>
        <v>1.09</v>
      </c>
      <c r="AJ191" s="159">
        <f>LN(IF(AG191&gt;=1,AG191,1))*3.8+LN(IF(AH191&gt;=1,AH191,1))*9.6+11.2*LN(IF(AI191&gt;=1,AI191,1))+6.4*AN191</f>
        <v>0.965190197899787</v>
      </c>
      <c r="AK191" s="160">
        <f>IF(AND(AG191&gt;0,AH191&gt;0,AI191&gt;0),AJ191,"")</f>
        <v>0.965190197899787</v>
      </c>
      <c r="AL191" s="160">
        <f t="shared" si="52"/>
        <v>0.965190197899787</v>
      </c>
      <c r="AM191" s="160">
        <f>IF(AV191&gt;135,135,IF(AV191&lt;120,120,AV191))</f>
        <v>135</v>
      </c>
      <c r="AN191" s="114">
        <v>0</v>
      </c>
      <c r="AO191" s="114">
        <v>1</v>
      </c>
      <c r="AP191" s="114">
        <v>2.82</v>
      </c>
      <c r="AQ191" s="114">
        <v>90</v>
      </c>
      <c r="AR191" s="114">
        <v>1.09</v>
      </c>
      <c r="AS191" s="160">
        <v>31</v>
      </c>
      <c r="AT191" s="161">
        <v>5.2</v>
      </c>
      <c r="AU191" s="114">
        <v>58</v>
      </c>
      <c r="AV191" s="114">
        <v>138</v>
      </c>
      <c r="AZ191" s="119" t="s">
        <v>582</v>
      </c>
    </row>
    <row r="192" spans="1:52">
      <c r="A192" s="234" t="s">
        <v>583</v>
      </c>
      <c r="B192" s="234" t="s">
        <v>48</v>
      </c>
      <c r="C192" s="234">
        <v>60</v>
      </c>
      <c r="D192" s="234">
        <v>1.67</v>
      </c>
      <c r="E192" s="234">
        <v>65</v>
      </c>
      <c r="F192" s="136">
        <f>E192/(D192*D192)</f>
        <v>23.3066800530675</v>
      </c>
      <c r="G192" s="117">
        <v>6</v>
      </c>
      <c r="I192" s="158">
        <v>44243</v>
      </c>
      <c r="J192" s="158">
        <v>44249</v>
      </c>
      <c r="L192" s="137">
        <v>3</v>
      </c>
      <c r="M192" s="137">
        <v>6</v>
      </c>
      <c r="N192" s="139" t="s">
        <v>584</v>
      </c>
      <c r="O192" s="114"/>
      <c r="P192" s="114">
        <v>1</v>
      </c>
      <c r="Q192" s="114"/>
      <c r="R192" s="114"/>
      <c r="S192" s="114">
        <v>1</v>
      </c>
      <c r="T192" s="114">
        <v>1</v>
      </c>
      <c r="U192" s="114">
        <v>0</v>
      </c>
      <c r="V192" s="114">
        <v>1</v>
      </c>
      <c r="W192" s="114">
        <v>0</v>
      </c>
      <c r="X192" s="114">
        <v>1</v>
      </c>
      <c r="Y192" s="114">
        <v>1</v>
      </c>
      <c r="Z192" s="114" t="s">
        <v>300</v>
      </c>
      <c r="AA192" s="114">
        <v>2</v>
      </c>
      <c r="AB192" s="114">
        <v>1</v>
      </c>
      <c r="AC192" s="114">
        <v>2</v>
      </c>
      <c r="AD192" s="114">
        <v>1</v>
      </c>
      <c r="AE192" s="114">
        <f>Y192+AA192+AB192+AC192+AD192</f>
        <v>7</v>
      </c>
      <c r="AF192" s="116" t="s">
        <v>63</v>
      </c>
      <c r="AG192" s="114">
        <f>AT192/17.1</f>
        <v>0.590643274853801</v>
      </c>
      <c r="AH192" s="114">
        <f>AU192/88.4</f>
        <v>0.8710407239819</v>
      </c>
      <c r="AI192" s="114">
        <f t="shared" si="51"/>
        <v>1.21</v>
      </c>
      <c r="AJ192" s="159">
        <f>LN(IF(AG192&gt;=1,AG192,1))*3.8+LN(IF(AH192&gt;=1,AH192,1))*9.6+11.2*LN(IF(AI192&gt;=1,AI192,1))+6.4*AN192</f>
        <v>2.13494802761688</v>
      </c>
      <c r="AK192" s="160">
        <f>IF(AND(AG192&gt;0,AH192&gt;0,AI192&gt;0),AJ192,"")</f>
        <v>2.13494802761688</v>
      </c>
      <c r="AL192" s="160">
        <f t="shared" si="52"/>
        <v>2.13494802761688</v>
      </c>
      <c r="AM192" s="160">
        <f>IF(AV192&gt;135,135,IF(AV192&lt;120,120,AV192))</f>
        <v>135</v>
      </c>
      <c r="AN192" s="114">
        <v>0</v>
      </c>
      <c r="AO192" s="114">
        <v>1</v>
      </c>
      <c r="AP192" s="114">
        <v>3.36</v>
      </c>
      <c r="AQ192" s="114">
        <v>65</v>
      </c>
      <c r="AR192" s="114">
        <v>1.21</v>
      </c>
      <c r="AS192" s="160">
        <v>30</v>
      </c>
      <c r="AT192" s="161">
        <v>10.1</v>
      </c>
      <c r="AU192" s="114">
        <v>77</v>
      </c>
      <c r="AV192" s="114">
        <v>141</v>
      </c>
      <c r="AZ192" s="119" t="s">
        <v>585</v>
      </c>
    </row>
    <row r="193" s="129" customFormat="1" spans="1:52">
      <c r="A193" s="235" t="s">
        <v>441</v>
      </c>
      <c r="B193" s="235" t="s">
        <v>48</v>
      </c>
      <c r="C193" s="235">
        <v>58</v>
      </c>
      <c r="D193" s="235">
        <v>1.78</v>
      </c>
      <c r="E193" s="235">
        <v>78</v>
      </c>
      <c r="F193" s="218">
        <f>E193/(D193*D193)</f>
        <v>24.6181037747759</v>
      </c>
      <c r="G193" s="129">
        <v>6</v>
      </c>
      <c r="I193" s="219">
        <v>44230</v>
      </c>
      <c r="J193" s="219">
        <v>44246</v>
      </c>
      <c r="L193" s="220">
        <v>2</v>
      </c>
      <c r="M193" s="220">
        <v>16</v>
      </c>
      <c r="N193" s="221" t="s">
        <v>586</v>
      </c>
      <c r="O193" s="114"/>
      <c r="P193" s="114">
        <v>1</v>
      </c>
      <c r="Q193" s="114"/>
      <c r="R193" s="114"/>
      <c r="S193" s="114"/>
      <c r="T193" s="114">
        <v>1</v>
      </c>
      <c r="U193" s="114">
        <v>0</v>
      </c>
      <c r="V193" s="114">
        <v>1</v>
      </c>
      <c r="W193" s="114">
        <v>0</v>
      </c>
      <c r="X193" s="114">
        <v>1</v>
      </c>
      <c r="Y193" s="114">
        <v>1</v>
      </c>
      <c r="Z193" s="114" t="s">
        <v>300</v>
      </c>
      <c r="AA193" s="114">
        <v>2</v>
      </c>
      <c r="AB193" s="114">
        <v>2</v>
      </c>
      <c r="AC193" s="114">
        <v>2</v>
      </c>
      <c r="AD193" s="114">
        <v>1</v>
      </c>
      <c r="AE193" s="114">
        <f>Y193+AA193+AB193+AC193+AD193</f>
        <v>8</v>
      </c>
      <c r="AF193" s="116" t="s">
        <v>63</v>
      </c>
      <c r="AG193" s="114">
        <f>AT193/17.1</f>
        <v>2.36842105263158</v>
      </c>
      <c r="AH193" s="114">
        <f>AU193/88.4</f>
        <v>0.656108597285068</v>
      </c>
      <c r="AI193" s="114">
        <f t="shared" si="51"/>
        <v>1.66</v>
      </c>
      <c r="AJ193" s="159">
        <f>LN(IF(AG193&gt;=1,AG193,1))*3.8+LN(IF(AH193&gt;=1,AH193,1))*9.6+11.2*LN(IF(AI193&gt;=1,AI193,1))+6.4*AN193</f>
        <v>8.9528064868214</v>
      </c>
      <c r="AK193" s="160">
        <f>IF(AND(AG193&gt;0,AH193&gt;0,AI193&gt;0),AJ193,"")</f>
        <v>8.9528064868214</v>
      </c>
      <c r="AL193" s="160">
        <f t="shared" si="52"/>
        <v>8.9528064868214</v>
      </c>
      <c r="AM193" s="160">
        <f>IF(AV193&gt;135,135,IF(AV193&lt;120,120,AV193))</f>
        <v>135</v>
      </c>
      <c r="AN193" s="114">
        <v>0</v>
      </c>
      <c r="AO193" s="114">
        <v>1</v>
      </c>
      <c r="AP193" s="114">
        <v>1.57</v>
      </c>
      <c r="AQ193" s="114">
        <v>99</v>
      </c>
      <c r="AR193" s="114">
        <v>1.66</v>
      </c>
      <c r="AS193" s="160">
        <v>30</v>
      </c>
      <c r="AT193" s="161">
        <v>40.5</v>
      </c>
      <c r="AU193" s="114">
        <v>58</v>
      </c>
      <c r="AV193" s="114">
        <v>138</v>
      </c>
      <c r="AZ193" s="222" t="s">
        <v>587</v>
      </c>
    </row>
    <row r="194" spans="1:52">
      <c r="A194" s="236" t="s">
        <v>588</v>
      </c>
      <c r="B194" s="234" t="s">
        <v>53</v>
      </c>
      <c r="C194" s="234">
        <v>62</v>
      </c>
      <c r="D194" s="234">
        <v>1.65</v>
      </c>
      <c r="E194" s="234">
        <v>58</v>
      </c>
      <c r="F194" s="136">
        <f>E194/(D194*D194)</f>
        <v>21.3039485766759</v>
      </c>
      <c r="G194" s="117">
        <v>0</v>
      </c>
      <c r="I194" s="158">
        <v>44233</v>
      </c>
      <c r="J194" s="158">
        <v>44241</v>
      </c>
      <c r="L194" s="137">
        <v>2</v>
      </c>
      <c r="M194" s="137">
        <v>8</v>
      </c>
      <c r="N194" s="139" t="s">
        <v>589</v>
      </c>
      <c r="O194" s="114"/>
      <c r="P194" s="114"/>
      <c r="Q194" s="114">
        <v>1</v>
      </c>
      <c r="R194" s="114"/>
      <c r="S194" s="114"/>
      <c r="T194" s="114">
        <v>0</v>
      </c>
      <c r="U194" s="114">
        <v>0</v>
      </c>
      <c r="V194" s="114">
        <v>1</v>
      </c>
      <c r="W194" s="114">
        <v>0</v>
      </c>
      <c r="X194" s="114">
        <v>0</v>
      </c>
      <c r="Y194" s="114">
        <v>1</v>
      </c>
      <c r="Z194" s="114" t="s">
        <v>58</v>
      </c>
      <c r="AA194" s="114">
        <v>1</v>
      </c>
      <c r="AB194" s="114">
        <v>1</v>
      </c>
      <c r="AC194" s="114">
        <v>2</v>
      </c>
      <c r="AD194" s="114">
        <v>1</v>
      </c>
      <c r="AE194" s="114">
        <f>Y194+AA194+AB194+AC194+AD194</f>
        <v>6</v>
      </c>
      <c r="AF194" s="116" t="s">
        <v>59</v>
      </c>
      <c r="AG194" s="114">
        <f>AT194/17.1</f>
        <v>0.976608187134503</v>
      </c>
      <c r="AH194" s="114">
        <f>AU194/88.4</f>
        <v>0.735294117647059</v>
      </c>
      <c r="AI194" s="114">
        <f t="shared" si="51"/>
        <v>1.21</v>
      </c>
      <c r="AJ194" s="159">
        <f>LN(IF(AG194&gt;=1,AG194,1))*3.8+LN(IF(AH194&gt;=1,AH194,1))*9.6+11.2*LN(IF(AI194&gt;=1,AI194,1))+6.4*AN194</f>
        <v>8.53494802761688</v>
      </c>
      <c r="AK194" s="160">
        <f>IF(AND(AG194&gt;0,AH194&gt;0,AI194&gt;0),AJ194,"")</f>
        <v>8.53494802761688</v>
      </c>
      <c r="AL194" s="160">
        <f t="shared" si="52"/>
        <v>8.53494802761688</v>
      </c>
      <c r="AM194" s="160">
        <f>IF(AV194&gt;135,135,IF(AV194&lt;120,120,AV194))</f>
        <v>135</v>
      </c>
      <c r="AN194" s="114">
        <v>1</v>
      </c>
      <c r="AO194" s="114">
        <v>1</v>
      </c>
      <c r="AP194" s="114">
        <v>3.09</v>
      </c>
      <c r="AQ194" s="114">
        <v>52</v>
      </c>
      <c r="AR194" s="114">
        <v>1.21</v>
      </c>
      <c r="AS194" s="160">
        <v>35</v>
      </c>
      <c r="AT194" s="161">
        <v>16.7</v>
      </c>
      <c r="AU194" s="114">
        <v>65</v>
      </c>
      <c r="AV194" s="114">
        <v>142</v>
      </c>
      <c r="AZ194" s="119" t="s">
        <v>590</v>
      </c>
    </row>
    <row r="195" spans="1:52">
      <c r="A195" s="236" t="s">
        <v>591</v>
      </c>
      <c r="B195" s="234" t="s">
        <v>48</v>
      </c>
      <c r="C195" s="234">
        <v>71</v>
      </c>
      <c r="D195" s="234">
        <v>1.71</v>
      </c>
      <c r="E195" s="234">
        <v>80</v>
      </c>
      <c r="F195" s="136">
        <f>E195/(D195*D195)</f>
        <v>27.3588454567217</v>
      </c>
      <c r="G195" s="117">
        <v>5</v>
      </c>
      <c r="I195" s="158">
        <v>44233</v>
      </c>
      <c r="J195" s="158">
        <v>44249</v>
      </c>
      <c r="L195" s="137">
        <v>1</v>
      </c>
      <c r="M195" s="138">
        <v>16</v>
      </c>
      <c r="N195" s="139" t="s">
        <v>592</v>
      </c>
      <c r="O195" s="114">
        <v>1</v>
      </c>
      <c r="P195" s="114"/>
      <c r="Q195" s="114"/>
      <c r="R195" s="114"/>
      <c r="S195" s="114"/>
      <c r="T195" s="114">
        <v>1</v>
      </c>
      <c r="U195" s="114">
        <v>0</v>
      </c>
      <c r="V195" s="114">
        <v>1</v>
      </c>
      <c r="W195" s="114">
        <v>0</v>
      </c>
      <c r="X195" s="114">
        <v>1</v>
      </c>
      <c r="Y195" s="114">
        <v>1</v>
      </c>
      <c r="Z195" s="114" t="s">
        <v>321</v>
      </c>
      <c r="AA195" s="114">
        <v>3</v>
      </c>
      <c r="AB195" s="114">
        <v>1</v>
      </c>
      <c r="AC195" s="114">
        <v>3</v>
      </c>
      <c r="AD195" s="114">
        <v>1</v>
      </c>
      <c r="AE195" s="114">
        <f>Y195+AA195+AB195+AC195+AD195</f>
        <v>9</v>
      </c>
      <c r="AF195" s="116" t="s">
        <v>63</v>
      </c>
      <c r="AG195" s="114">
        <f>AT195/17.1</f>
        <v>1.87134502923977</v>
      </c>
      <c r="AH195" s="114">
        <f>AU195/88.4</f>
        <v>0.723981900452489</v>
      </c>
      <c r="AI195" s="114">
        <f t="shared" si="51"/>
        <v>1.17</v>
      </c>
      <c r="AJ195" s="159">
        <f>LN(IF(AG195&gt;=1,AG195,1))*3.8+LN(IF(AH195&gt;=1,AH195,1))*9.6+11.2*LN(IF(AI195&gt;=1,AI195,1))+6.4*AN195</f>
        <v>10.5397402559745</v>
      </c>
      <c r="AK195" s="160">
        <f>IF(AND(AG195&gt;0,AH195&gt;0,AI195&gt;0),AJ195,"")</f>
        <v>10.5397402559745</v>
      </c>
      <c r="AL195" s="160">
        <f t="shared" si="52"/>
        <v>10.5397402559745</v>
      </c>
      <c r="AM195" s="160">
        <f>IF(AV195&gt;135,135,IF(AV195&lt;120,120,AV195))</f>
        <v>135</v>
      </c>
      <c r="AN195" s="114">
        <v>1</v>
      </c>
      <c r="AO195" s="114">
        <v>1</v>
      </c>
      <c r="AP195" s="114">
        <v>4.99</v>
      </c>
      <c r="AQ195" s="114">
        <v>140</v>
      </c>
      <c r="AR195" s="114">
        <v>1.17</v>
      </c>
      <c r="AS195" s="160">
        <v>27</v>
      </c>
      <c r="AT195" s="161">
        <v>32</v>
      </c>
      <c r="AU195" s="114">
        <v>64</v>
      </c>
      <c r="AV195" s="114">
        <v>140</v>
      </c>
      <c r="AZ195" s="119" t="s">
        <v>593</v>
      </c>
    </row>
    <row r="196" s="114" customFormat="1" spans="1:52">
      <c r="A196" s="236" t="s">
        <v>594</v>
      </c>
      <c r="B196" s="236" t="s">
        <v>53</v>
      </c>
      <c r="C196" s="236">
        <v>72</v>
      </c>
      <c r="D196" s="236">
        <v>1.68</v>
      </c>
      <c r="E196" s="236">
        <v>68</v>
      </c>
      <c r="F196" s="136">
        <f>E196/(D196*D196)</f>
        <v>24.092970521542</v>
      </c>
      <c r="G196" s="114">
        <v>4</v>
      </c>
      <c r="I196" s="210">
        <v>44228</v>
      </c>
      <c r="J196" s="210">
        <v>44245</v>
      </c>
      <c r="L196" s="138">
        <v>1</v>
      </c>
      <c r="M196" s="138">
        <v>17</v>
      </c>
      <c r="N196" s="213" t="s">
        <v>595</v>
      </c>
      <c r="Q196" s="114">
        <v>1</v>
      </c>
      <c r="R196" s="114">
        <v>1</v>
      </c>
      <c r="T196" s="114">
        <v>1</v>
      </c>
      <c r="U196" s="114">
        <v>0</v>
      </c>
      <c r="V196" s="114">
        <v>0</v>
      </c>
      <c r="W196" s="114">
        <v>0</v>
      </c>
      <c r="X196" s="114">
        <v>0</v>
      </c>
      <c r="Y196" s="114">
        <v>1</v>
      </c>
      <c r="Z196" s="114" t="s">
        <v>307</v>
      </c>
      <c r="AA196" s="114">
        <v>3</v>
      </c>
      <c r="AB196" s="114">
        <v>1</v>
      </c>
      <c r="AC196" s="114">
        <v>3</v>
      </c>
      <c r="AD196" s="114">
        <v>1</v>
      </c>
      <c r="AE196" s="114">
        <f>Y196+AA196+AB196+AC196+AD196</f>
        <v>9</v>
      </c>
      <c r="AF196" s="116" t="s">
        <v>63</v>
      </c>
      <c r="AG196" s="114">
        <f>AT196/17.1</f>
        <v>3.5672514619883</v>
      </c>
      <c r="AH196" s="114">
        <f>AU196/88.4</f>
        <v>0.520361990950226</v>
      </c>
      <c r="AI196" s="114">
        <f t="shared" si="51"/>
        <v>1.12</v>
      </c>
      <c r="AJ196" s="159">
        <f>LN(IF(AG196&gt;=1,AG196,1))*3.8+LN(IF(AH196&gt;=1,AH196,1))*9.6+11.2*LN(IF(AI196&gt;=1,AI196,1))+6.4*AN196</f>
        <v>6.10210379796429</v>
      </c>
      <c r="AK196" s="160">
        <f>IF(AND(AG196&gt;0,AH196&gt;0,AI196&gt;0),AJ196,"")</f>
        <v>6.10210379796429</v>
      </c>
      <c r="AL196" s="160">
        <f t="shared" si="52"/>
        <v>6.10210379796429</v>
      </c>
      <c r="AM196" s="160">
        <f>IF(AV196&gt;135,135,IF(AV196&lt;120,120,AV196))</f>
        <v>135</v>
      </c>
      <c r="AN196" s="114">
        <v>0</v>
      </c>
      <c r="AO196" s="114">
        <v>1</v>
      </c>
      <c r="AP196" s="114">
        <v>5.18</v>
      </c>
      <c r="AQ196" s="114">
        <v>79</v>
      </c>
      <c r="AR196" s="114">
        <v>1.12</v>
      </c>
      <c r="AS196" s="160">
        <v>17</v>
      </c>
      <c r="AT196" s="161">
        <v>61</v>
      </c>
      <c r="AU196" s="114">
        <v>46</v>
      </c>
      <c r="AV196" s="114">
        <v>136</v>
      </c>
      <c r="AZ196" s="116" t="s">
        <v>596</v>
      </c>
    </row>
    <row r="197" s="114" customFormat="1" spans="1:52">
      <c r="A197" s="236" t="s">
        <v>597</v>
      </c>
      <c r="B197" s="236" t="s">
        <v>53</v>
      </c>
      <c r="C197" s="236">
        <v>72</v>
      </c>
      <c r="D197" s="236">
        <v>1.65</v>
      </c>
      <c r="E197" s="236">
        <v>50</v>
      </c>
      <c r="F197" s="136">
        <f>E197/(D197*D197)</f>
        <v>18.3654729109275</v>
      </c>
      <c r="G197" s="114">
        <v>3</v>
      </c>
      <c r="I197" s="210">
        <v>44221</v>
      </c>
      <c r="J197" s="210">
        <v>44233</v>
      </c>
      <c r="L197" s="138">
        <v>1</v>
      </c>
      <c r="M197" s="138">
        <v>12</v>
      </c>
      <c r="N197" s="213" t="s">
        <v>598</v>
      </c>
      <c r="S197" s="114">
        <v>1</v>
      </c>
      <c r="T197" s="114">
        <v>0</v>
      </c>
      <c r="U197" s="114">
        <v>0</v>
      </c>
      <c r="V197" s="114">
        <v>0</v>
      </c>
      <c r="W197" s="114">
        <v>0</v>
      </c>
      <c r="X197" s="114">
        <v>0</v>
      </c>
      <c r="Y197" s="114">
        <v>1</v>
      </c>
      <c r="Z197" s="114" t="s">
        <v>58</v>
      </c>
      <c r="AA197" s="114">
        <v>1</v>
      </c>
      <c r="AB197" s="114">
        <v>1</v>
      </c>
      <c r="AC197" s="114">
        <v>2</v>
      </c>
      <c r="AD197" s="114">
        <v>1</v>
      </c>
      <c r="AE197" s="114">
        <f>Y197+AA197+AB197+AC197+AD197</f>
        <v>6</v>
      </c>
      <c r="AF197" s="116" t="s">
        <v>59</v>
      </c>
      <c r="AG197" s="114">
        <f>AT197/17.1</f>
        <v>0.391812865497076</v>
      </c>
      <c r="AH197" s="114">
        <f>AU197/88.4</f>
        <v>0.723981900452489</v>
      </c>
      <c r="AI197" s="114">
        <f t="shared" si="51"/>
        <v>1</v>
      </c>
      <c r="AJ197" s="159">
        <f>LN(IF(AG197&gt;=1,AG197,1))*3.8+LN(IF(AH197&gt;=1,AH197,1))*9.6+11.2*LN(IF(AI197&gt;=1,AI197,1))+6.4*AN197</f>
        <v>6.4</v>
      </c>
      <c r="AK197" s="160">
        <f>IF(AND(AG197&gt;0,AH197&gt;0,AI197&gt;0),AJ197,"")</f>
        <v>6.4</v>
      </c>
      <c r="AL197" s="160">
        <f t="shared" si="52"/>
        <v>6.4</v>
      </c>
      <c r="AM197" s="160">
        <f>IF(AV197&gt;135,135,IF(AV197&lt;120,120,AV197))</f>
        <v>135</v>
      </c>
      <c r="AN197" s="114">
        <v>1</v>
      </c>
      <c r="AO197" s="114">
        <v>1</v>
      </c>
      <c r="AP197" s="114">
        <v>3.42</v>
      </c>
      <c r="AQ197" s="114">
        <v>81</v>
      </c>
      <c r="AR197" s="114">
        <v>1</v>
      </c>
      <c r="AS197" s="160">
        <v>28</v>
      </c>
      <c r="AT197" s="161">
        <v>6.7</v>
      </c>
      <c r="AU197" s="114">
        <v>64</v>
      </c>
      <c r="AV197" s="114">
        <v>140</v>
      </c>
      <c r="AZ197" s="116" t="s">
        <v>599</v>
      </c>
    </row>
    <row r="198" s="114" customFormat="1" spans="1:52">
      <c r="A198" s="236" t="s">
        <v>600</v>
      </c>
      <c r="B198" s="236" t="s">
        <v>53</v>
      </c>
      <c r="C198" s="236">
        <v>63</v>
      </c>
      <c r="D198" s="236">
        <v>1.5</v>
      </c>
      <c r="E198" s="236">
        <v>55</v>
      </c>
      <c r="F198" s="136">
        <f>E198/(D198*D198)</f>
        <v>24.4444444444444</v>
      </c>
      <c r="G198" s="114">
        <v>1</v>
      </c>
      <c r="I198" s="210">
        <v>44229</v>
      </c>
      <c r="J198" s="210">
        <v>44237</v>
      </c>
      <c r="L198" s="138">
        <v>1</v>
      </c>
      <c r="M198" s="138">
        <v>8</v>
      </c>
      <c r="N198" s="213" t="s">
        <v>601</v>
      </c>
      <c r="R198" s="114">
        <v>1</v>
      </c>
      <c r="T198" s="114">
        <v>0</v>
      </c>
      <c r="U198" s="114">
        <v>0</v>
      </c>
      <c r="V198" s="114">
        <v>0</v>
      </c>
      <c r="W198" s="114">
        <v>0</v>
      </c>
      <c r="X198" s="114">
        <v>1</v>
      </c>
      <c r="Y198" s="114">
        <v>1</v>
      </c>
      <c r="Z198" s="114" t="s">
        <v>58</v>
      </c>
      <c r="AA198" s="114">
        <v>1</v>
      </c>
      <c r="AB198" s="114">
        <v>2</v>
      </c>
      <c r="AC198" s="114">
        <v>2</v>
      </c>
      <c r="AD198" s="114">
        <v>1</v>
      </c>
      <c r="AE198" s="114">
        <f>Y198+AA198+AB198+AC198+AD198</f>
        <v>7</v>
      </c>
      <c r="AF198" s="116" t="s">
        <v>63</v>
      </c>
      <c r="AG198" s="114">
        <f>AT198/17.1</f>
        <v>5.71929824561403</v>
      </c>
      <c r="AH198" s="114">
        <f>AU198/88.4</f>
        <v>0.531674208144796</v>
      </c>
      <c r="AI198" s="114">
        <f t="shared" si="51"/>
        <v>1.26</v>
      </c>
      <c r="AJ198" s="159">
        <f>LN(IF(AG198&gt;=1,AG198,1))*3.8+LN(IF(AH198&gt;=1,AH198,1))*9.6+11.2*LN(IF(AI198&gt;=1,AI198,1))+6.4*AN198</f>
        <v>9.21506650621213</v>
      </c>
      <c r="AK198" s="160">
        <f>IF(AND(AG198&gt;0,AH198&gt;0,AI198&gt;0),AJ198,"")</f>
        <v>9.21506650621213</v>
      </c>
      <c r="AL198" s="160">
        <f t="shared" si="52"/>
        <v>9.21506650621213</v>
      </c>
      <c r="AM198" s="160">
        <f>IF(AV198&gt;135,135,IF(AV198&lt;120,120,AV198))</f>
        <v>135</v>
      </c>
      <c r="AN198" s="114">
        <v>0</v>
      </c>
      <c r="AO198" s="114">
        <v>1</v>
      </c>
      <c r="AP198" s="114">
        <v>4.37</v>
      </c>
      <c r="AQ198" s="114">
        <v>126</v>
      </c>
      <c r="AR198" s="114">
        <v>1.26</v>
      </c>
      <c r="AS198" s="160">
        <v>29</v>
      </c>
      <c r="AT198" s="161">
        <v>97.8</v>
      </c>
      <c r="AU198" s="114">
        <v>47</v>
      </c>
      <c r="AV198" s="114">
        <v>144</v>
      </c>
      <c r="AZ198" s="116" t="s">
        <v>602</v>
      </c>
    </row>
    <row r="199" s="114" customFormat="1" spans="1:52">
      <c r="A199" s="236" t="s">
        <v>206</v>
      </c>
      <c r="B199" s="236" t="s">
        <v>53</v>
      </c>
      <c r="C199" s="236">
        <v>62</v>
      </c>
      <c r="D199" s="236">
        <v>1.6</v>
      </c>
      <c r="E199" s="236">
        <v>45</v>
      </c>
      <c r="F199" s="136">
        <f>E199/(D199*D199)</f>
        <v>17.578125</v>
      </c>
      <c r="G199" s="114">
        <v>0</v>
      </c>
      <c r="I199" s="210">
        <v>44218</v>
      </c>
      <c r="J199" s="210">
        <v>44235</v>
      </c>
      <c r="L199" s="138">
        <v>3</v>
      </c>
      <c r="M199" s="138">
        <v>17</v>
      </c>
      <c r="N199" s="213" t="s">
        <v>603</v>
      </c>
      <c r="Q199" s="114">
        <v>1</v>
      </c>
      <c r="R199" s="114">
        <v>1</v>
      </c>
      <c r="T199" s="114">
        <v>0</v>
      </c>
      <c r="U199" s="114">
        <v>0</v>
      </c>
      <c r="V199" s="114">
        <v>1</v>
      </c>
      <c r="W199" s="114">
        <v>0</v>
      </c>
      <c r="X199" s="114">
        <v>1</v>
      </c>
      <c r="Y199" s="114">
        <v>1</v>
      </c>
      <c r="Z199" s="114" t="s">
        <v>58</v>
      </c>
      <c r="AA199" s="114">
        <v>1</v>
      </c>
      <c r="AB199" s="114">
        <v>1</v>
      </c>
      <c r="AC199" s="114">
        <v>3</v>
      </c>
      <c r="AD199" s="114">
        <v>1</v>
      </c>
      <c r="AE199" s="114">
        <f>Y199+AA199+AB199+AC199+AD199</f>
        <v>7</v>
      </c>
      <c r="AF199" s="116" t="s">
        <v>63</v>
      </c>
      <c r="AG199" s="114">
        <f>AT199/17.1</f>
        <v>1.34502923976608</v>
      </c>
      <c r="AH199" s="114">
        <f>AU199/88.4</f>
        <v>0.475113122171946</v>
      </c>
      <c r="AI199" s="114">
        <f t="shared" si="51"/>
        <v>1.12</v>
      </c>
      <c r="AJ199" s="159">
        <f>LN(IF(AG199&gt;=1,AG199,1))*3.8+LN(IF(AH199&gt;=1,AH199,1))*9.6+11.2*LN(IF(AI199&gt;=1,AI199,1))+6.4*AN199</f>
        <v>2.39566113463647</v>
      </c>
      <c r="AK199" s="160">
        <f>IF(AND(AG199&gt;0,AH199&gt;0,AI199&gt;0),AJ199,"")</f>
        <v>2.39566113463647</v>
      </c>
      <c r="AL199" s="160">
        <f t="shared" si="52"/>
        <v>2.39566113463647</v>
      </c>
      <c r="AM199" s="160">
        <f>IF(AV199&gt;135,135,IF(AV199&lt;120,120,AV199))</f>
        <v>135</v>
      </c>
      <c r="AN199" s="114">
        <v>0</v>
      </c>
      <c r="AO199" s="114">
        <v>1</v>
      </c>
      <c r="AP199" s="114">
        <v>3.06</v>
      </c>
      <c r="AQ199" s="114">
        <v>74</v>
      </c>
      <c r="AR199" s="114">
        <v>1.12</v>
      </c>
      <c r="AS199" s="160">
        <v>27</v>
      </c>
      <c r="AT199" s="161">
        <v>23</v>
      </c>
      <c r="AU199" s="114">
        <v>42</v>
      </c>
      <c r="AV199" s="114">
        <v>143</v>
      </c>
      <c r="AZ199" s="116" t="s">
        <v>604</v>
      </c>
    </row>
    <row r="200" s="125" customFormat="1" spans="1:52">
      <c r="A200" s="237" t="s">
        <v>605</v>
      </c>
      <c r="B200" s="237" t="s">
        <v>48</v>
      </c>
      <c r="C200" s="237">
        <v>74</v>
      </c>
      <c r="D200" s="237">
        <v>1.78</v>
      </c>
      <c r="E200" s="237">
        <v>83</v>
      </c>
      <c r="F200" s="216">
        <f>E200/(D200*D200)</f>
        <v>26.1961873500821</v>
      </c>
      <c r="G200" s="125">
        <v>2</v>
      </c>
      <c r="I200" s="186">
        <v>44217</v>
      </c>
      <c r="J200" s="186">
        <v>44230</v>
      </c>
      <c r="K200" s="186">
        <v>44243</v>
      </c>
      <c r="L200" s="187">
        <v>1</v>
      </c>
      <c r="M200" s="187">
        <v>13</v>
      </c>
      <c r="N200" s="188" t="s">
        <v>606</v>
      </c>
      <c r="O200" s="114"/>
      <c r="P200" s="114"/>
      <c r="Q200" s="114"/>
      <c r="R200" s="114"/>
      <c r="S200" s="114">
        <v>1</v>
      </c>
      <c r="T200" s="114">
        <v>1</v>
      </c>
      <c r="U200" s="114">
        <v>0</v>
      </c>
      <c r="V200" s="114">
        <v>1</v>
      </c>
      <c r="W200" s="114">
        <v>0</v>
      </c>
      <c r="X200" s="114">
        <v>0</v>
      </c>
      <c r="Y200" s="114">
        <v>1</v>
      </c>
      <c r="Z200" s="114" t="s">
        <v>307</v>
      </c>
      <c r="AA200" s="114">
        <v>3</v>
      </c>
      <c r="AB200" s="114">
        <v>1</v>
      </c>
      <c r="AC200" s="114">
        <v>2</v>
      </c>
      <c r="AD200" s="114">
        <v>1</v>
      </c>
      <c r="AE200" s="114">
        <f>Y200+AA200+AB200+AC200+AD200</f>
        <v>8</v>
      </c>
      <c r="AF200" s="116" t="s">
        <v>63</v>
      </c>
      <c r="AG200" s="114">
        <f>AT200/17.1</f>
        <v>1.53216374269006</v>
      </c>
      <c r="AH200" s="114">
        <f>AU200/88.4</f>
        <v>1.07466063348416</v>
      </c>
      <c r="AI200" s="114">
        <f t="shared" si="51"/>
        <v>1.29</v>
      </c>
      <c r="AJ200" s="159">
        <f>LN(IF(AG200&gt;=1,AG200,1))*3.8+LN(IF(AH200&gt;=1,AH200,1))*9.6+11.2*LN(IF(AI200&gt;=1,AI200,1))+6.4*AN200</f>
        <v>11.5646276961528</v>
      </c>
      <c r="AK200" s="160">
        <f>IF(AND(AG200&gt;0,AH200&gt;0,AI200&gt;0),AJ200,"")</f>
        <v>11.5646276961528</v>
      </c>
      <c r="AL200" s="160">
        <f t="shared" si="52"/>
        <v>11.5646276961528</v>
      </c>
      <c r="AM200" s="160">
        <f>IF(AV200&gt;135,135,IF(AV200&lt;120,120,AV200))</f>
        <v>135</v>
      </c>
      <c r="AN200" s="114">
        <v>1</v>
      </c>
      <c r="AO200" s="114">
        <v>1</v>
      </c>
      <c r="AP200" s="114">
        <v>2.26</v>
      </c>
      <c r="AQ200" s="114">
        <v>93</v>
      </c>
      <c r="AR200" s="114">
        <v>1.29</v>
      </c>
      <c r="AS200" s="160">
        <v>32</v>
      </c>
      <c r="AT200" s="161">
        <v>26.2</v>
      </c>
      <c r="AU200" s="114">
        <v>95</v>
      </c>
      <c r="AV200" s="114">
        <v>145</v>
      </c>
      <c r="AZ200" s="131" t="s">
        <v>58</v>
      </c>
    </row>
    <row r="201" s="114" customFormat="1" spans="1:52">
      <c r="A201" s="236" t="s">
        <v>607</v>
      </c>
      <c r="B201" s="236" t="s">
        <v>48</v>
      </c>
      <c r="C201" s="236">
        <v>75</v>
      </c>
      <c r="D201" s="236">
        <v>1.7</v>
      </c>
      <c r="E201" s="236">
        <v>70</v>
      </c>
      <c r="F201" s="136">
        <f t="shared" ref="F201:F221" si="53">E201/(D201*D201)</f>
        <v>24.2214532871972</v>
      </c>
      <c r="G201" s="114">
        <v>1</v>
      </c>
      <c r="I201" s="210">
        <v>44218</v>
      </c>
      <c r="J201" s="210">
        <v>44235</v>
      </c>
      <c r="L201" s="138">
        <v>1</v>
      </c>
      <c r="M201" s="138">
        <v>17</v>
      </c>
      <c r="N201" s="213" t="s">
        <v>608</v>
      </c>
      <c r="R201" s="114">
        <v>1</v>
      </c>
      <c r="T201" s="114">
        <v>1</v>
      </c>
      <c r="U201" s="114">
        <v>0</v>
      </c>
      <c r="V201" s="114">
        <v>0</v>
      </c>
      <c r="W201" s="114">
        <v>0</v>
      </c>
      <c r="X201" s="114">
        <v>0</v>
      </c>
      <c r="Y201" s="114">
        <v>1</v>
      </c>
      <c r="Z201" s="114" t="s">
        <v>300</v>
      </c>
      <c r="AA201" s="114">
        <v>2</v>
      </c>
      <c r="AB201" s="114">
        <v>1</v>
      </c>
      <c r="AC201" s="114">
        <v>1</v>
      </c>
      <c r="AD201" s="114">
        <v>1</v>
      </c>
      <c r="AE201" s="114">
        <f t="shared" ref="AE201:AE218" si="54">Y201+AA201+AB201+AC201+AD201</f>
        <v>6</v>
      </c>
      <c r="AF201" s="116" t="s">
        <v>59</v>
      </c>
      <c r="AG201" s="114">
        <f>AT201/17.1</f>
        <v>0.736842105263158</v>
      </c>
      <c r="AH201" s="114">
        <f>AU201/88.4</f>
        <v>0.80316742081448</v>
      </c>
      <c r="AI201" s="114">
        <f>AR201</f>
        <v>1.15</v>
      </c>
      <c r="AJ201" s="159">
        <f>LN(IF(AG201&gt;=1,AG201,1))*3.8+LN(IF(AH201&gt;=1,AH201,1))*9.6+11.2*LN(IF(AI201&gt;=1,AI201,1))+6.4*AN201</f>
        <v>1.56533375460178</v>
      </c>
      <c r="AK201" s="160">
        <f>IF(AND(AG201&gt;0,AH201&gt;0,AI201&gt;0),AJ201,"")</f>
        <v>1.56533375460178</v>
      </c>
      <c r="AL201" s="160">
        <f>AK201+1.59*(135-AM201)</f>
        <v>1.56533375460178</v>
      </c>
      <c r="AM201" s="160">
        <f>IF(AV201&gt;135,135,IF(AV201&lt;120,120,AV201))</f>
        <v>135</v>
      </c>
      <c r="AN201" s="114">
        <v>0</v>
      </c>
      <c r="AO201" s="114">
        <v>1</v>
      </c>
      <c r="AP201" s="114">
        <v>3.2</v>
      </c>
      <c r="AQ201" s="114">
        <v>99</v>
      </c>
      <c r="AR201" s="114">
        <v>1.15</v>
      </c>
      <c r="AS201" s="160">
        <v>40</v>
      </c>
      <c r="AT201" s="161">
        <v>12.6</v>
      </c>
      <c r="AU201" s="114">
        <v>71</v>
      </c>
      <c r="AV201" s="114">
        <v>144</v>
      </c>
      <c r="AZ201" s="116" t="s">
        <v>609</v>
      </c>
    </row>
    <row r="202" s="114" customFormat="1" spans="1:52">
      <c r="A202" s="236" t="s">
        <v>610</v>
      </c>
      <c r="B202" s="236" t="s">
        <v>48</v>
      </c>
      <c r="C202" s="236">
        <v>63</v>
      </c>
      <c r="D202" s="236">
        <v>1.78</v>
      </c>
      <c r="E202" s="236">
        <v>77</v>
      </c>
      <c r="F202" s="136">
        <f t="shared" si="53"/>
        <v>24.3024870597147</v>
      </c>
      <c r="G202" s="114">
        <v>6</v>
      </c>
      <c r="I202" s="210">
        <v>44216</v>
      </c>
      <c r="J202" s="210">
        <v>44235</v>
      </c>
      <c r="L202" s="138">
        <v>1</v>
      </c>
      <c r="M202" s="138">
        <v>19</v>
      </c>
      <c r="N202" s="213" t="s">
        <v>611</v>
      </c>
      <c r="P202" s="114">
        <v>1</v>
      </c>
      <c r="T202" s="114">
        <v>1</v>
      </c>
      <c r="U202" s="114">
        <v>0</v>
      </c>
      <c r="V202" s="114">
        <v>1</v>
      </c>
      <c r="W202" s="114">
        <v>0</v>
      </c>
      <c r="X202" s="114">
        <v>1</v>
      </c>
      <c r="Y202" s="114">
        <v>1</v>
      </c>
      <c r="Z202" s="114" t="s">
        <v>321</v>
      </c>
      <c r="AA202" s="114">
        <v>3</v>
      </c>
      <c r="AB202" s="114">
        <v>1</v>
      </c>
      <c r="AC202" s="114">
        <v>3</v>
      </c>
      <c r="AD202" s="114">
        <v>1</v>
      </c>
      <c r="AE202" s="114">
        <f t="shared" si="54"/>
        <v>9</v>
      </c>
      <c r="AF202" s="116" t="s">
        <v>63</v>
      </c>
      <c r="AG202" s="114">
        <f>AT202/17.1</f>
        <v>1.21637426900585</v>
      </c>
      <c r="AH202" s="114">
        <f>AU202/88.4</f>
        <v>0.644796380090498</v>
      </c>
      <c r="AI202" s="114">
        <f>AR202</f>
        <v>1.25</v>
      </c>
      <c r="AJ202" s="159">
        <f>LN(IF(AG202&gt;=1,AG202,1))*3.8+LN(IF(AH202&gt;=1,AH202,1))*9.6+11.2*LN(IF(AI202&gt;=1,AI202,1))+6.4*AN202</f>
        <v>3.24353096287405</v>
      </c>
      <c r="AK202" s="160">
        <f>IF(AND(AG202&gt;0,AH202&gt;0,AI202&gt;0),AJ202,"")</f>
        <v>3.24353096287405</v>
      </c>
      <c r="AL202" s="160">
        <f>AK202+1.59*(135-AM202)</f>
        <v>3.24353096287405</v>
      </c>
      <c r="AM202" s="160">
        <f>IF(AV202&gt;135,135,IF(AV202&lt;120,120,AV202))</f>
        <v>135</v>
      </c>
      <c r="AN202" s="114">
        <v>0</v>
      </c>
      <c r="AO202" s="114">
        <v>1</v>
      </c>
      <c r="AP202" s="114">
        <v>4.31</v>
      </c>
      <c r="AQ202" s="114">
        <v>99</v>
      </c>
      <c r="AR202" s="114">
        <v>1.25</v>
      </c>
      <c r="AS202" s="160">
        <v>27</v>
      </c>
      <c r="AT202" s="161">
        <v>20.8</v>
      </c>
      <c r="AU202" s="114">
        <v>57</v>
      </c>
      <c r="AV202" s="114">
        <v>142</v>
      </c>
      <c r="AZ202" s="116" t="s">
        <v>612</v>
      </c>
    </row>
    <row r="203" s="125" customFormat="1" spans="1:52">
      <c r="A203" s="237" t="s">
        <v>331</v>
      </c>
      <c r="B203" s="237" t="s">
        <v>53</v>
      </c>
      <c r="C203" s="237">
        <v>58</v>
      </c>
      <c r="D203" s="237">
        <v>1.54</v>
      </c>
      <c r="E203" s="237">
        <v>43</v>
      </c>
      <c r="F203" s="216">
        <f t="shared" si="53"/>
        <v>18.1312194299207</v>
      </c>
      <c r="G203" s="125">
        <v>1</v>
      </c>
      <c r="I203" s="186">
        <v>44214</v>
      </c>
      <c r="J203" s="186">
        <v>44229</v>
      </c>
      <c r="K203" s="186">
        <v>44229</v>
      </c>
      <c r="L203" s="187">
        <v>7</v>
      </c>
      <c r="M203" s="187">
        <v>15</v>
      </c>
      <c r="N203" s="188" t="s">
        <v>613</v>
      </c>
      <c r="O203" s="114"/>
      <c r="P203" s="114"/>
      <c r="Q203" s="114">
        <v>1</v>
      </c>
      <c r="R203" s="114">
        <v>1</v>
      </c>
      <c r="S203" s="114"/>
      <c r="T203" s="114">
        <v>1</v>
      </c>
      <c r="U203" s="114">
        <v>0</v>
      </c>
      <c r="V203" s="114">
        <v>1</v>
      </c>
      <c r="W203" s="114">
        <v>0</v>
      </c>
      <c r="X203" s="114">
        <v>0</v>
      </c>
      <c r="Y203" s="114">
        <v>1</v>
      </c>
      <c r="Z203" s="114" t="s">
        <v>321</v>
      </c>
      <c r="AA203" s="114">
        <v>3</v>
      </c>
      <c r="AB203" s="114">
        <v>2</v>
      </c>
      <c r="AC203" s="114">
        <v>3</v>
      </c>
      <c r="AD203" s="114">
        <v>1</v>
      </c>
      <c r="AE203" s="114">
        <f t="shared" si="54"/>
        <v>10</v>
      </c>
      <c r="AF203" s="116" t="s">
        <v>50</v>
      </c>
      <c r="AG203" s="114">
        <f>AT203/17.1</f>
        <v>7.74269005847953</v>
      </c>
      <c r="AH203" s="114">
        <f>AU203/88.4</f>
        <v>0.610859728506787</v>
      </c>
      <c r="AI203" s="114">
        <f>AR203</f>
        <v>1.28</v>
      </c>
      <c r="AJ203" s="159">
        <f>LN(IF(AG203&gt;=1,AG203,1))*3.8+LN(IF(AH203&gt;=1,AH203,1))*9.6+11.2*LN(IF(AI203&gt;=1,AI203,1))+6.4*AN203</f>
        <v>10.5424797568114</v>
      </c>
      <c r="AK203" s="160">
        <f>IF(AND(AG203&gt;0,AH203&gt;0,AI203&gt;0),AJ203,"")</f>
        <v>10.5424797568114</v>
      </c>
      <c r="AL203" s="160">
        <f>AK203+1.59*(135-AM203)</f>
        <v>10.5424797568114</v>
      </c>
      <c r="AM203" s="160">
        <f>IF(AV203&gt;135,135,IF(AV203&lt;120,120,AV203))</f>
        <v>135</v>
      </c>
      <c r="AN203" s="114">
        <v>0</v>
      </c>
      <c r="AO203" s="114">
        <v>1</v>
      </c>
      <c r="AP203" s="114">
        <v>3.63</v>
      </c>
      <c r="AQ203" s="114">
        <v>61</v>
      </c>
      <c r="AR203" s="114">
        <v>1.28</v>
      </c>
      <c r="AS203" s="160">
        <v>21</v>
      </c>
      <c r="AT203" s="161">
        <v>132.4</v>
      </c>
      <c r="AU203" s="114">
        <v>54</v>
      </c>
      <c r="AV203" s="114">
        <v>139</v>
      </c>
      <c r="AZ203" s="131" t="s">
        <v>614</v>
      </c>
    </row>
    <row r="204" s="123" customFormat="1" spans="1:52">
      <c r="A204" s="238" t="s">
        <v>615</v>
      </c>
      <c r="B204" s="238" t="s">
        <v>48</v>
      </c>
      <c r="C204" s="238">
        <v>50</v>
      </c>
      <c r="D204" s="238">
        <v>1.73</v>
      </c>
      <c r="E204" s="238">
        <v>85</v>
      </c>
      <c r="F204" s="189">
        <f t="shared" si="53"/>
        <v>28.4005479635136</v>
      </c>
      <c r="G204" s="123">
        <v>6</v>
      </c>
      <c r="I204" s="177">
        <v>44224</v>
      </c>
      <c r="J204" s="177">
        <v>44231</v>
      </c>
      <c r="L204" s="178">
        <v>2</v>
      </c>
      <c r="M204" s="178">
        <v>7</v>
      </c>
      <c r="N204" s="179" t="s">
        <v>616</v>
      </c>
      <c r="O204" s="114"/>
      <c r="P204" s="114">
        <v>1</v>
      </c>
      <c r="Q204" s="114">
        <v>1</v>
      </c>
      <c r="R204" s="114"/>
      <c r="S204" s="114"/>
      <c r="T204" s="114">
        <v>0</v>
      </c>
      <c r="U204" s="114">
        <v>0</v>
      </c>
      <c r="V204" s="114">
        <v>1</v>
      </c>
      <c r="W204" s="114">
        <v>0</v>
      </c>
      <c r="X204" s="114">
        <v>1</v>
      </c>
      <c r="Y204" s="114">
        <v>1</v>
      </c>
      <c r="Z204" s="114" t="s">
        <v>58</v>
      </c>
      <c r="AA204" s="114">
        <v>1</v>
      </c>
      <c r="AB204" s="114">
        <v>2</v>
      </c>
      <c r="AC204" s="114">
        <v>2</v>
      </c>
      <c r="AD204" s="114">
        <v>1</v>
      </c>
      <c r="AE204" s="114">
        <f t="shared" si="54"/>
        <v>7</v>
      </c>
      <c r="AF204" s="116" t="s">
        <v>63</v>
      </c>
      <c r="AG204" s="114">
        <f>AT204/17.1</f>
        <v>2.15204678362573</v>
      </c>
      <c r="AH204" s="114">
        <f>AU204/88.4</f>
        <v>0.463800904977376</v>
      </c>
      <c r="AI204" s="114">
        <f>AR204</f>
        <v>1.5</v>
      </c>
      <c r="AJ204" s="159">
        <f>LN(IF(AG204&gt;=1,AG204,1))*3.8+LN(IF(AH204&gt;=1,AH204,1))*9.6+11.2*LN(IF(AI204&gt;=1,AI204,1))+6.4*AN204</f>
        <v>7.45360286114327</v>
      </c>
      <c r="AK204" s="160">
        <f>IF(AND(AG204&gt;0,AH204&gt;0,AI204&gt;0),AJ204,"")</f>
        <v>7.45360286114327</v>
      </c>
      <c r="AL204" s="160">
        <f>AK204+1.59*(135-AM204)</f>
        <v>7.45360286114327</v>
      </c>
      <c r="AM204" s="160">
        <f>IF(AV204&gt;135,135,IF(AV204&lt;120,120,AV204))</f>
        <v>135</v>
      </c>
      <c r="AN204" s="114">
        <v>0</v>
      </c>
      <c r="AO204" s="114">
        <v>1</v>
      </c>
      <c r="AP204" s="114">
        <v>3</v>
      </c>
      <c r="AQ204" s="114">
        <v>131</v>
      </c>
      <c r="AR204" s="114">
        <v>1.5</v>
      </c>
      <c r="AS204" s="160">
        <v>28</v>
      </c>
      <c r="AT204" s="161">
        <v>36.8</v>
      </c>
      <c r="AU204" s="114">
        <v>41</v>
      </c>
      <c r="AV204" s="114">
        <v>139</v>
      </c>
      <c r="AZ204" s="132" t="s">
        <v>617</v>
      </c>
    </row>
    <row r="205" s="125" customFormat="1" spans="1:52">
      <c r="A205" s="237" t="s">
        <v>618</v>
      </c>
      <c r="B205" s="237" t="s">
        <v>53</v>
      </c>
      <c r="C205" s="237">
        <v>68</v>
      </c>
      <c r="D205" s="237">
        <v>1.65</v>
      </c>
      <c r="E205" s="237">
        <v>84</v>
      </c>
      <c r="F205" s="216">
        <f t="shared" si="53"/>
        <v>30.8539944903581</v>
      </c>
      <c r="G205" s="125">
        <v>6</v>
      </c>
      <c r="I205" s="186">
        <v>44225</v>
      </c>
      <c r="J205" s="186">
        <v>44236</v>
      </c>
      <c r="K205" s="186">
        <v>44236</v>
      </c>
      <c r="L205" s="187">
        <v>6</v>
      </c>
      <c r="M205" s="187">
        <v>11</v>
      </c>
      <c r="N205" s="188" t="s">
        <v>619</v>
      </c>
      <c r="O205" s="114"/>
      <c r="P205" s="114"/>
      <c r="Q205" s="114"/>
      <c r="R205" s="114"/>
      <c r="S205" s="114">
        <v>1</v>
      </c>
      <c r="T205" s="114">
        <v>0</v>
      </c>
      <c r="U205" s="114">
        <v>0</v>
      </c>
      <c r="V205" s="114">
        <v>0</v>
      </c>
      <c r="W205" s="114">
        <v>0</v>
      </c>
      <c r="X205" s="114">
        <v>1</v>
      </c>
      <c r="Y205" s="114">
        <v>1</v>
      </c>
      <c r="Z205" s="114" t="s">
        <v>58</v>
      </c>
      <c r="AA205" s="114">
        <v>1</v>
      </c>
      <c r="AB205" s="114">
        <v>1</v>
      </c>
      <c r="AC205" s="114">
        <v>2</v>
      </c>
      <c r="AD205" s="114">
        <v>1</v>
      </c>
      <c r="AE205" s="114">
        <f t="shared" si="54"/>
        <v>6</v>
      </c>
      <c r="AF205" s="116" t="s">
        <v>59</v>
      </c>
      <c r="AG205" s="114">
        <f>AT205/17.1</f>
        <v>1.45029239766082</v>
      </c>
      <c r="AH205" s="114">
        <f>AU205/88.4</f>
        <v>0.893665158371041</v>
      </c>
      <c r="AI205" s="114">
        <f>AR205</f>
        <v>1.2</v>
      </c>
      <c r="AJ205" s="159">
        <f>LN(IF(AG205&gt;=1,AG205,1))*3.8+LN(IF(AH205&gt;=1,AH205,1))*9.6+11.2*LN(IF(AI205&gt;=1,AI205,1))+6.4*AN205</f>
        <v>9.85470915680912</v>
      </c>
      <c r="AK205" s="160">
        <f>IF(AND(AG205&gt;0,AH205&gt;0,AI205&gt;0),AJ205,"")</f>
        <v>9.85470915680912</v>
      </c>
      <c r="AL205" s="160">
        <f>AK205+1.59*(135-AM205)</f>
        <v>9.85470915680912</v>
      </c>
      <c r="AM205" s="160">
        <f>IF(AV205&gt;135,135,IF(AV205&lt;120,120,AV205))</f>
        <v>135</v>
      </c>
      <c r="AN205" s="114">
        <v>1</v>
      </c>
      <c r="AO205" s="114">
        <v>1</v>
      </c>
      <c r="AP205" s="114">
        <v>3.75</v>
      </c>
      <c r="AQ205" s="114">
        <v>62</v>
      </c>
      <c r="AR205" s="114">
        <v>1.2</v>
      </c>
      <c r="AS205" s="160">
        <v>28</v>
      </c>
      <c r="AT205" s="161">
        <v>24.8</v>
      </c>
      <c r="AU205" s="114">
        <v>79</v>
      </c>
      <c r="AV205" s="114">
        <v>145</v>
      </c>
      <c r="AZ205" s="131" t="s">
        <v>58</v>
      </c>
    </row>
    <row r="206" s="125" customFormat="1" spans="1:52">
      <c r="A206" s="237" t="s">
        <v>620</v>
      </c>
      <c r="B206" s="237" t="s">
        <v>48</v>
      </c>
      <c r="C206" s="237">
        <v>61</v>
      </c>
      <c r="D206" s="237">
        <v>1.68</v>
      </c>
      <c r="E206" s="237">
        <v>75</v>
      </c>
      <c r="F206" s="216">
        <f t="shared" si="53"/>
        <v>26.5731292517007</v>
      </c>
      <c r="G206" s="125">
        <v>2</v>
      </c>
      <c r="I206" s="186">
        <v>44214</v>
      </c>
      <c r="J206" s="186">
        <v>44233</v>
      </c>
      <c r="K206" s="186">
        <v>44233</v>
      </c>
      <c r="L206" s="187">
        <v>1</v>
      </c>
      <c r="M206" s="187">
        <v>19</v>
      </c>
      <c r="N206" s="188" t="s">
        <v>621</v>
      </c>
      <c r="O206" s="114">
        <v>1</v>
      </c>
      <c r="P206" s="114"/>
      <c r="Q206" s="114"/>
      <c r="R206" s="114"/>
      <c r="S206" s="114"/>
      <c r="T206" s="114">
        <v>1</v>
      </c>
      <c r="U206" s="114">
        <v>0</v>
      </c>
      <c r="V206" s="114">
        <v>1</v>
      </c>
      <c r="W206" s="114">
        <v>0</v>
      </c>
      <c r="X206" s="114">
        <v>1</v>
      </c>
      <c r="Y206" s="114">
        <v>1</v>
      </c>
      <c r="Z206" s="114" t="s">
        <v>307</v>
      </c>
      <c r="AA206" s="114">
        <v>3</v>
      </c>
      <c r="AB206" s="114">
        <v>1</v>
      </c>
      <c r="AC206" s="114">
        <v>3</v>
      </c>
      <c r="AD206" s="114">
        <v>1</v>
      </c>
      <c r="AE206" s="114">
        <f t="shared" si="54"/>
        <v>9</v>
      </c>
      <c r="AF206" s="116" t="s">
        <v>63</v>
      </c>
      <c r="AG206" s="114">
        <f>AT206/17.1</f>
        <v>1.54970760233918</v>
      </c>
      <c r="AH206" s="114">
        <f>AU206/88.4</f>
        <v>0.701357466063348</v>
      </c>
      <c r="AI206" s="114">
        <f>AR206</f>
        <v>1.58</v>
      </c>
      <c r="AJ206" s="159">
        <f>LN(IF(AG206&gt;=1,AG206,1))*3.8+LN(IF(AH206&gt;=1,AH206,1))*9.6+11.2*LN(IF(AI206&gt;=1,AI206,1))+6.4*AN206</f>
        <v>13.1878101108729</v>
      </c>
      <c r="AK206" s="160">
        <f>IF(AND(AG206&gt;0,AH206&gt;0,AI206&gt;0),AJ206,"")</f>
        <v>13.1878101108729</v>
      </c>
      <c r="AL206" s="160">
        <f>AK206+1.59*(135-AM206)</f>
        <v>13.1878101108729</v>
      </c>
      <c r="AM206" s="160">
        <f>IF(AV206&gt;135,135,IF(AV206&lt;120,120,AV206))</f>
        <v>135</v>
      </c>
      <c r="AN206" s="114">
        <v>1</v>
      </c>
      <c r="AO206" s="114">
        <v>1</v>
      </c>
      <c r="AP206" s="114">
        <v>5.46</v>
      </c>
      <c r="AQ206" s="114">
        <v>127</v>
      </c>
      <c r="AR206" s="114">
        <v>1.58</v>
      </c>
      <c r="AS206" s="160">
        <v>27</v>
      </c>
      <c r="AT206" s="161">
        <v>26.5</v>
      </c>
      <c r="AU206" s="114">
        <v>62</v>
      </c>
      <c r="AV206" s="114">
        <v>138</v>
      </c>
      <c r="AZ206" s="131" t="s">
        <v>58</v>
      </c>
    </row>
    <row r="207" spans="1:52">
      <c r="A207" s="236" t="s">
        <v>622</v>
      </c>
      <c r="B207" s="234" t="s">
        <v>48</v>
      </c>
      <c r="C207" s="234">
        <v>44</v>
      </c>
      <c r="D207" s="234">
        <v>1.72</v>
      </c>
      <c r="E207" s="234">
        <v>70</v>
      </c>
      <c r="F207" s="136">
        <f t="shared" si="53"/>
        <v>23.6614386154678</v>
      </c>
      <c r="G207" s="117">
        <v>1</v>
      </c>
      <c r="I207" s="158">
        <v>44211</v>
      </c>
      <c r="J207" s="158">
        <v>44218</v>
      </c>
      <c r="L207" s="137">
        <v>1</v>
      </c>
      <c r="M207" s="137">
        <v>7</v>
      </c>
      <c r="N207" s="139" t="s">
        <v>623</v>
      </c>
      <c r="O207" s="114">
        <v>1</v>
      </c>
      <c r="P207" s="114"/>
      <c r="Q207" s="114"/>
      <c r="R207" s="114"/>
      <c r="S207" s="114"/>
      <c r="T207" s="114">
        <v>1</v>
      </c>
      <c r="U207" s="114">
        <v>0</v>
      </c>
      <c r="V207" s="114">
        <v>1</v>
      </c>
      <c r="W207" s="114">
        <v>0</v>
      </c>
      <c r="X207" s="114">
        <v>1</v>
      </c>
      <c r="Y207" s="114">
        <v>1</v>
      </c>
      <c r="Z207" s="114" t="s">
        <v>307</v>
      </c>
      <c r="AA207" s="114">
        <v>3</v>
      </c>
      <c r="AB207" s="114">
        <v>1</v>
      </c>
      <c r="AC207" s="114">
        <v>3</v>
      </c>
      <c r="AD207" s="114">
        <v>1</v>
      </c>
      <c r="AE207" s="114">
        <f t="shared" si="54"/>
        <v>9</v>
      </c>
      <c r="AF207" s="116" t="s">
        <v>63</v>
      </c>
      <c r="AG207" s="114">
        <f>AT207/17.1</f>
        <v>0.947368421052631</v>
      </c>
      <c r="AH207" s="114">
        <f>AU207/88.4</f>
        <v>0.509049773755656</v>
      </c>
      <c r="AI207" s="114">
        <f>AR207</f>
        <v>1.46</v>
      </c>
      <c r="AJ207" s="159">
        <f>LN(IF(AG207&gt;=1,AG207,1))*3.8+LN(IF(AH207&gt;=1,AH207,1))*9.6+11.2*LN(IF(AI207&gt;=1,AI207,1))+6.4*AN207</f>
        <v>10.6384880800667</v>
      </c>
      <c r="AK207" s="160">
        <f>IF(AND(AG207&gt;0,AH207&gt;0,AI207&gt;0),AJ207,"")</f>
        <v>10.6384880800667</v>
      </c>
      <c r="AL207" s="160">
        <f>AK207+1.59*(135-AM207)</f>
        <v>10.6384880800667</v>
      </c>
      <c r="AM207" s="160">
        <f>IF(AV207&gt;135,135,IF(AV207&lt;120,120,AV207))</f>
        <v>135</v>
      </c>
      <c r="AN207" s="114">
        <v>1</v>
      </c>
      <c r="AO207" s="114">
        <v>1</v>
      </c>
      <c r="AP207" s="114">
        <v>1.91</v>
      </c>
      <c r="AQ207" s="114">
        <v>107</v>
      </c>
      <c r="AR207" s="114">
        <v>1.46</v>
      </c>
      <c r="AS207" s="160">
        <v>27</v>
      </c>
      <c r="AT207" s="161">
        <v>16.2</v>
      </c>
      <c r="AU207" s="114">
        <v>45</v>
      </c>
      <c r="AV207" s="114">
        <v>144</v>
      </c>
      <c r="AZ207" s="119" t="s">
        <v>624</v>
      </c>
    </row>
    <row r="208" s="123" customFormat="1" spans="1:52">
      <c r="A208" s="238" t="s">
        <v>625</v>
      </c>
      <c r="B208" s="238" t="s">
        <v>53</v>
      </c>
      <c r="C208" s="238">
        <v>66</v>
      </c>
      <c r="D208" s="238">
        <v>1.65</v>
      </c>
      <c r="E208" s="238">
        <v>85</v>
      </c>
      <c r="F208" s="189">
        <f t="shared" si="53"/>
        <v>31.2213039485767</v>
      </c>
      <c r="G208" s="123">
        <v>3</v>
      </c>
      <c r="I208" s="177">
        <v>44209</v>
      </c>
      <c r="J208" s="177">
        <v>44222</v>
      </c>
      <c r="L208" s="178">
        <v>1</v>
      </c>
      <c r="M208" s="178">
        <v>13</v>
      </c>
      <c r="N208" s="179" t="s">
        <v>626</v>
      </c>
      <c r="O208" s="114"/>
      <c r="P208" s="114"/>
      <c r="Q208" s="114"/>
      <c r="R208" s="114"/>
      <c r="S208" s="114">
        <v>1</v>
      </c>
      <c r="T208" s="114">
        <v>0</v>
      </c>
      <c r="U208" s="114">
        <v>0</v>
      </c>
      <c r="V208" s="114">
        <v>0</v>
      </c>
      <c r="W208" s="114">
        <v>0</v>
      </c>
      <c r="X208" s="114">
        <v>0</v>
      </c>
      <c r="Y208" s="114">
        <v>1</v>
      </c>
      <c r="Z208" s="114" t="s">
        <v>58</v>
      </c>
      <c r="AA208" s="114">
        <v>1</v>
      </c>
      <c r="AB208" s="114">
        <v>1</v>
      </c>
      <c r="AC208" s="114">
        <v>1</v>
      </c>
      <c r="AD208" s="114">
        <v>1</v>
      </c>
      <c r="AE208" s="114">
        <f t="shared" si="54"/>
        <v>5</v>
      </c>
      <c r="AF208" s="116" t="s">
        <v>59</v>
      </c>
      <c r="AG208" s="114">
        <f>AT208/17.1</f>
        <v>0.760233918128655</v>
      </c>
      <c r="AH208" s="114">
        <f>AU208/88.4</f>
        <v>0.407239819004525</v>
      </c>
      <c r="AI208" s="114">
        <f>AR208</f>
        <v>1.2</v>
      </c>
      <c r="AJ208" s="159">
        <f>LN(IF(AG208&gt;=1,AG208,1))*3.8+LN(IF(AH208&gt;=1,AH208,1))*9.6+11.2*LN(IF(AI208&gt;=1,AI208,1))+6.4*AN208</f>
        <v>8.44200143609229</v>
      </c>
      <c r="AK208" s="160">
        <f>IF(AND(AG208&gt;0,AH208&gt;0,AI208&gt;0),AJ208,"")</f>
        <v>8.44200143609229</v>
      </c>
      <c r="AL208" s="160">
        <f>AK208+1.59*(135-AM208)</f>
        <v>8.44200143609229</v>
      </c>
      <c r="AM208" s="160">
        <f>IF(AV208&gt;135,135,IF(AV208&lt;120,120,AV208))</f>
        <v>135</v>
      </c>
      <c r="AN208" s="114">
        <v>1</v>
      </c>
      <c r="AO208" s="114">
        <v>1</v>
      </c>
      <c r="AP208" s="114">
        <v>3.46</v>
      </c>
      <c r="AQ208" s="114">
        <v>129</v>
      </c>
      <c r="AR208" s="114">
        <v>1.2</v>
      </c>
      <c r="AS208" s="160">
        <v>38</v>
      </c>
      <c r="AT208" s="161">
        <v>13</v>
      </c>
      <c r="AU208" s="114">
        <v>36</v>
      </c>
      <c r="AV208" s="114">
        <v>143</v>
      </c>
      <c r="AZ208" s="132" t="s">
        <v>627</v>
      </c>
    </row>
    <row r="209" spans="1:52">
      <c r="A209" s="236" t="s">
        <v>628</v>
      </c>
      <c r="B209" s="234" t="s">
        <v>48</v>
      </c>
      <c r="C209" s="234">
        <v>59</v>
      </c>
      <c r="D209" s="234">
        <v>1.68</v>
      </c>
      <c r="E209" s="234">
        <v>60</v>
      </c>
      <c r="F209" s="136">
        <f t="shared" si="53"/>
        <v>21.2585034013605</v>
      </c>
      <c r="G209" s="117">
        <v>2</v>
      </c>
      <c r="I209" s="158">
        <v>44207</v>
      </c>
      <c r="J209" s="158">
        <v>44216</v>
      </c>
      <c r="L209" s="137">
        <v>1</v>
      </c>
      <c r="M209" s="137">
        <v>9</v>
      </c>
      <c r="N209" s="139" t="s">
        <v>629</v>
      </c>
      <c r="O209" s="114">
        <v>1</v>
      </c>
      <c r="P209" s="114"/>
      <c r="Q209" s="114"/>
      <c r="R209" s="114"/>
      <c r="S209" s="114"/>
      <c r="T209" s="114">
        <v>1</v>
      </c>
      <c r="U209" s="114">
        <v>0</v>
      </c>
      <c r="V209" s="114">
        <v>1</v>
      </c>
      <c r="W209" s="114">
        <v>0</v>
      </c>
      <c r="X209" s="114">
        <v>1</v>
      </c>
      <c r="Y209" s="114">
        <v>1</v>
      </c>
      <c r="Z209" s="114" t="s">
        <v>300</v>
      </c>
      <c r="AA209" s="114">
        <v>2</v>
      </c>
      <c r="AB209" s="114">
        <v>1</v>
      </c>
      <c r="AC209" s="114">
        <v>3</v>
      </c>
      <c r="AD209" s="114">
        <v>1</v>
      </c>
      <c r="AE209" s="114">
        <f t="shared" si="54"/>
        <v>8</v>
      </c>
      <c r="AF209" s="116" t="s">
        <v>63</v>
      </c>
      <c r="AG209" s="114">
        <f>AT209/17.1</f>
        <v>0.444444444444444</v>
      </c>
      <c r="AH209" s="114">
        <f>AU209/88.4</f>
        <v>0.791855203619909</v>
      </c>
      <c r="AI209" s="114">
        <f>AR209</f>
        <v>1.45</v>
      </c>
      <c r="AJ209" s="159">
        <f>LN(IF(AG209&gt;=1,AG209,1))*3.8+LN(IF(AH209&gt;=1,AH209,1))*9.6+11.2*LN(IF(AI209&gt;=1,AI209,1))+6.4*AN209</f>
        <v>10.5615118320438</v>
      </c>
      <c r="AK209" s="160">
        <f>IF(AND(AG209&gt;0,AH209&gt;0,AI209&gt;0),AJ209,"")</f>
        <v>10.5615118320438</v>
      </c>
      <c r="AL209" s="160">
        <f>AK209+1.59*(135-AM209)</f>
        <v>15.3315118320438</v>
      </c>
      <c r="AM209" s="160">
        <f>IF(AV209&gt;135,135,IF(AV209&lt;120,120,AV209))</f>
        <v>132</v>
      </c>
      <c r="AN209" s="114">
        <v>1</v>
      </c>
      <c r="AO209" s="114">
        <v>1</v>
      </c>
      <c r="AP209" s="114">
        <v>3.28</v>
      </c>
      <c r="AQ209" s="114">
        <v>53</v>
      </c>
      <c r="AR209" s="114">
        <v>1.45</v>
      </c>
      <c r="AS209" s="160">
        <v>24</v>
      </c>
      <c r="AT209" s="161">
        <v>7.6</v>
      </c>
      <c r="AU209" s="114">
        <v>70</v>
      </c>
      <c r="AV209" s="114">
        <v>132</v>
      </c>
      <c r="AZ209" s="119" t="s">
        <v>630</v>
      </c>
    </row>
    <row r="210" spans="1:52">
      <c r="A210" s="236" t="s">
        <v>631</v>
      </c>
      <c r="B210" s="234" t="s">
        <v>53</v>
      </c>
      <c r="C210" s="234">
        <v>65</v>
      </c>
      <c r="D210" s="234">
        <v>1.53</v>
      </c>
      <c r="E210" s="234">
        <v>55</v>
      </c>
      <c r="F210" s="136">
        <f t="shared" si="53"/>
        <v>23.4952368747063</v>
      </c>
      <c r="G210" s="117">
        <v>0</v>
      </c>
      <c r="I210" s="158">
        <v>44200</v>
      </c>
      <c r="J210" s="158">
        <v>44217</v>
      </c>
      <c r="L210" s="137">
        <v>1</v>
      </c>
      <c r="M210" s="138">
        <v>17</v>
      </c>
      <c r="N210" s="139" t="s">
        <v>632</v>
      </c>
      <c r="O210" s="114"/>
      <c r="P210" s="114"/>
      <c r="Q210" s="114">
        <v>1</v>
      </c>
      <c r="R210" s="114"/>
      <c r="S210" s="114"/>
      <c r="T210" s="114">
        <v>0</v>
      </c>
      <c r="U210" s="114">
        <v>0</v>
      </c>
      <c r="V210" s="114">
        <v>0</v>
      </c>
      <c r="W210" s="114">
        <v>0</v>
      </c>
      <c r="X210" s="114">
        <v>0</v>
      </c>
      <c r="Y210" s="114">
        <v>1</v>
      </c>
      <c r="Z210" s="114" t="s">
        <v>58</v>
      </c>
      <c r="AA210" s="114">
        <v>1</v>
      </c>
      <c r="AB210" s="114">
        <v>3</v>
      </c>
      <c r="AC210" s="114">
        <v>2</v>
      </c>
      <c r="AD210" s="114">
        <v>1</v>
      </c>
      <c r="AE210" s="114">
        <f t="shared" si="54"/>
        <v>8</v>
      </c>
      <c r="AF210" s="116" t="s">
        <v>63</v>
      </c>
      <c r="AG210" s="114">
        <f>AT210/17.1</f>
        <v>10.4093567251462</v>
      </c>
      <c r="AH210" s="114">
        <f>AU210/88.4</f>
        <v>0</v>
      </c>
      <c r="AI210" s="114">
        <f>AR210</f>
        <v>1.09</v>
      </c>
      <c r="AJ210" s="159">
        <f>LN(IF(AG210&gt;=1,AG210,1))*3.8+LN(IF(AH210&gt;=1,AH210,1))*9.6+11.2*LN(IF(AI210&gt;=1,AI210,1))+6.4*AN210</f>
        <v>16.267469527677</v>
      </c>
      <c r="AK210" s="160" t="str">
        <f>IF(AND(AG210&gt;0,AH210&gt;0,AI210&gt;0),AJ210,"")</f>
        <v/>
      </c>
      <c r="AL210" s="160"/>
      <c r="AM210" s="160">
        <f>IF(AV210&gt;135,135,IF(AV210&lt;120,120,AV210))</f>
        <v>135</v>
      </c>
      <c r="AN210" s="114">
        <v>1</v>
      </c>
      <c r="AO210" s="114"/>
      <c r="AP210" s="114">
        <v>6.08</v>
      </c>
      <c r="AQ210" s="114">
        <v>147</v>
      </c>
      <c r="AR210" s="114">
        <v>1.09</v>
      </c>
      <c r="AS210" s="160">
        <v>32</v>
      </c>
      <c r="AT210" s="161">
        <v>178</v>
      </c>
      <c r="AU210" s="114"/>
      <c r="AV210" s="114">
        <v>140</v>
      </c>
      <c r="AZ210" s="119" t="s">
        <v>633</v>
      </c>
    </row>
    <row r="211" spans="1:52">
      <c r="A211" s="236" t="s">
        <v>634</v>
      </c>
      <c r="B211" s="234" t="s">
        <v>53</v>
      </c>
      <c r="C211" s="234">
        <v>76</v>
      </c>
      <c r="D211" s="234">
        <v>1.6</v>
      </c>
      <c r="E211" s="234">
        <v>70</v>
      </c>
      <c r="F211" s="136">
        <f>E211/(D211*D211)</f>
        <v>27.34375</v>
      </c>
      <c r="G211" s="117">
        <v>3</v>
      </c>
      <c r="I211" s="158">
        <v>44198</v>
      </c>
      <c r="J211" s="158">
        <v>44217</v>
      </c>
      <c r="L211" s="137">
        <v>1</v>
      </c>
      <c r="M211" s="138">
        <v>19</v>
      </c>
      <c r="N211" s="139" t="s">
        <v>635</v>
      </c>
      <c r="O211" s="114"/>
      <c r="P211" s="114"/>
      <c r="Q211" s="114">
        <v>1</v>
      </c>
      <c r="R211" s="114"/>
      <c r="S211" s="114"/>
      <c r="T211" s="114">
        <v>1</v>
      </c>
      <c r="U211" s="114">
        <v>0</v>
      </c>
      <c r="V211" s="114">
        <v>1</v>
      </c>
      <c r="W211" s="114">
        <v>0</v>
      </c>
      <c r="X211" s="114">
        <v>1</v>
      </c>
      <c r="Y211" s="114">
        <v>1</v>
      </c>
      <c r="Z211" s="114" t="s">
        <v>300</v>
      </c>
      <c r="AA211" s="114">
        <v>2</v>
      </c>
      <c r="AB211" s="114">
        <v>1</v>
      </c>
      <c r="AC211" s="114">
        <v>2</v>
      </c>
      <c r="AD211" s="114">
        <v>1</v>
      </c>
      <c r="AE211" s="114">
        <f>Y211+AA211+AB211+AC211+AD211</f>
        <v>7</v>
      </c>
      <c r="AF211" s="116" t="s">
        <v>63</v>
      </c>
      <c r="AG211" s="114">
        <f>AT211/17.1</f>
        <v>0.947368421052631</v>
      </c>
      <c r="AH211" s="114">
        <f>AU211/88.4</f>
        <v>0.588235294117647</v>
      </c>
      <c r="AI211" s="114">
        <f>AR211</f>
        <v>1.08</v>
      </c>
      <c r="AJ211" s="159">
        <f>LN(IF(AG211&gt;=1,AG211,1))*3.8+LN(IF(AH211&gt;=1,AH211,1))*9.6+11.2*LN(IF(AI211&gt;=1,AI211,1))+6.4*AN211</f>
        <v>7.26196366072464</v>
      </c>
      <c r="AK211" s="160">
        <f>IF(AND(AG211&gt;0,AH211&gt;0,AI211&gt;0),AJ211,"")</f>
        <v>7.26196366072464</v>
      </c>
      <c r="AL211" s="160">
        <f>AK211+1.59*(135-AM211)</f>
        <v>7.26196366072464</v>
      </c>
      <c r="AM211" s="160">
        <f>IF(AV211&gt;135,135,IF(AV211&lt;120,120,AV211))</f>
        <v>135</v>
      </c>
      <c r="AN211" s="114">
        <v>1</v>
      </c>
      <c r="AO211" s="114">
        <v>1</v>
      </c>
      <c r="AP211" s="114">
        <v>2.61</v>
      </c>
      <c r="AQ211" s="114">
        <v>63</v>
      </c>
      <c r="AR211" s="114">
        <v>1.08</v>
      </c>
      <c r="AS211" s="160">
        <v>32</v>
      </c>
      <c r="AT211" s="161">
        <v>16.2</v>
      </c>
      <c r="AU211" s="114">
        <v>52</v>
      </c>
      <c r="AV211" s="114">
        <v>140</v>
      </c>
      <c r="AZ211" s="119" t="s">
        <v>636</v>
      </c>
    </row>
    <row r="212" s="125" customFormat="1" spans="1:52">
      <c r="A212" s="237" t="s">
        <v>637</v>
      </c>
      <c r="B212" s="237" t="s">
        <v>48</v>
      </c>
      <c r="C212" s="237">
        <v>64</v>
      </c>
      <c r="D212" s="237">
        <v>1.68</v>
      </c>
      <c r="E212" s="237">
        <v>69</v>
      </c>
      <c r="F212" s="216">
        <f>E212/(D212*D212)</f>
        <v>24.4472789115646</v>
      </c>
      <c r="G212" s="125">
        <v>3</v>
      </c>
      <c r="I212" s="186">
        <v>44218</v>
      </c>
      <c r="J212" s="186">
        <v>44243</v>
      </c>
      <c r="L212" s="187">
        <v>1</v>
      </c>
      <c r="M212" s="187">
        <v>25</v>
      </c>
      <c r="N212" s="188" t="s">
        <v>638</v>
      </c>
      <c r="O212" s="114"/>
      <c r="P212" s="114"/>
      <c r="Q212" s="114"/>
      <c r="R212" s="114">
        <v>1</v>
      </c>
      <c r="S212" s="114"/>
      <c r="T212" s="114">
        <v>1</v>
      </c>
      <c r="U212" s="114">
        <v>0</v>
      </c>
      <c r="V212" s="114">
        <v>0</v>
      </c>
      <c r="W212" s="114">
        <v>0</v>
      </c>
      <c r="X212" s="114">
        <v>0</v>
      </c>
      <c r="Y212" s="114">
        <v>1</v>
      </c>
      <c r="Z212" s="114" t="s">
        <v>300</v>
      </c>
      <c r="AA212" s="114">
        <v>2</v>
      </c>
      <c r="AB212" s="114">
        <v>1</v>
      </c>
      <c r="AC212" s="114">
        <v>2</v>
      </c>
      <c r="AD212" s="114">
        <v>1</v>
      </c>
      <c r="AE212" s="114">
        <f>Y212+AA212+AB212+AC212+AD212</f>
        <v>7</v>
      </c>
      <c r="AF212" s="116" t="s">
        <v>63</v>
      </c>
      <c r="AG212" s="114">
        <f>AT212/17.1</f>
        <v>0.491228070175439</v>
      </c>
      <c r="AH212" s="114">
        <f>AU212/88.4</f>
        <v>0.701357466063348</v>
      </c>
      <c r="AI212" s="114">
        <f>AR212</f>
        <v>0.99</v>
      </c>
      <c r="AJ212" s="159"/>
      <c r="AK212" s="160"/>
      <c r="AL212" s="160"/>
      <c r="AM212" s="160">
        <f>IF(AV212&gt;135,135,IF(AV212&lt;120,120,AV212))</f>
        <v>135</v>
      </c>
      <c r="AN212" s="114">
        <v>0</v>
      </c>
      <c r="AO212" s="114">
        <v>1</v>
      </c>
      <c r="AP212" s="114">
        <v>5.75</v>
      </c>
      <c r="AQ212" s="114">
        <v>144</v>
      </c>
      <c r="AR212" s="114">
        <v>0.99</v>
      </c>
      <c r="AS212" s="160">
        <v>35</v>
      </c>
      <c r="AT212" s="161">
        <v>8.4</v>
      </c>
      <c r="AU212" s="114">
        <v>62</v>
      </c>
      <c r="AV212" s="114">
        <v>145</v>
      </c>
      <c r="AZ212" s="131" t="s">
        <v>639</v>
      </c>
    </row>
    <row r="213" s="125" customFormat="1" spans="1:52">
      <c r="A213" s="237" t="s">
        <v>640</v>
      </c>
      <c r="B213" s="237" t="s">
        <v>48</v>
      </c>
      <c r="C213" s="237">
        <v>65</v>
      </c>
      <c r="D213" s="237">
        <v>1.7</v>
      </c>
      <c r="E213" s="237">
        <v>75</v>
      </c>
      <c r="F213" s="136">
        <f>E213/(D213*D213)</f>
        <v>25.9515570934256</v>
      </c>
      <c r="G213" s="125">
        <v>5</v>
      </c>
      <c r="I213" s="186">
        <v>44218</v>
      </c>
      <c r="J213" s="186">
        <v>44235</v>
      </c>
      <c r="K213" s="186">
        <v>44348</v>
      </c>
      <c r="L213" s="187">
        <v>1</v>
      </c>
      <c r="M213" s="187">
        <v>17</v>
      </c>
      <c r="N213" s="188" t="s">
        <v>641</v>
      </c>
      <c r="O213" s="114">
        <v>1</v>
      </c>
      <c r="P213" s="114"/>
      <c r="Q213" s="114"/>
      <c r="R213" s="114"/>
      <c r="S213" s="114"/>
      <c r="T213" s="114">
        <v>1</v>
      </c>
      <c r="U213" s="114">
        <v>0</v>
      </c>
      <c r="V213" s="114">
        <v>0</v>
      </c>
      <c r="W213" s="114">
        <v>0</v>
      </c>
      <c r="X213" s="114">
        <v>0</v>
      </c>
      <c r="Y213" s="114">
        <v>1</v>
      </c>
      <c r="Z213" s="114" t="s">
        <v>321</v>
      </c>
      <c r="AA213" s="114">
        <v>3</v>
      </c>
      <c r="AB213" s="114">
        <v>1</v>
      </c>
      <c r="AC213" s="114">
        <v>3</v>
      </c>
      <c r="AD213" s="114">
        <v>1</v>
      </c>
      <c r="AE213" s="114">
        <f>Y213+AA213+AB213+AC213+AD213</f>
        <v>9</v>
      </c>
      <c r="AF213" s="116" t="s">
        <v>63</v>
      </c>
      <c r="AG213" s="114">
        <f>AT213/17.1</f>
        <v>1.28654970760234</v>
      </c>
      <c r="AH213" s="114">
        <f>AU213/88.4</f>
        <v>0.757918552036199</v>
      </c>
      <c r="AI213" s="114">
        <f>AR213</f>
        <v>1.18</v>
      </c>
      <c r="AJ213" s="159">
        <f>LN(IF(AG213&gt;=1,AG213,1))*3.8+LN(IF(AH213&gt;=1,AH213,1))*9.6+11.2*LN(IF(AI213&gt;=1,AI213,1))+6.4*AN213</f>
        <v>9.21122487237769</v>
      </c>
      <c r="AK213" s="160">
        <f>IF(AND(AG213&gt;0,AH213&gt;0,AI213&gt;0),AJ213,"")</f>
        <v>9.21122487237769</v>
      </c>
      <c r="AL213" s="160">
        <f>AK213+1.59*(135-AM213)</f>
        <v>9.21122487237769</v>
      </c>
      <c r="AM213" s="160">
        <f>IF(AV213&gt;135,135,IF(AV213&lt;120,120,AV213))</f>
        <v>135</v>
      </c>
      <c r="AN213" s="114">
        <v>1</v>
      </c>
      <c r="AO213" s="114">
        <v>1</v>
      </c>
      <c r="AP213" s="114">
        <v>4.11</v>
      </c>
      <c r="AQ213" s="114">
        <v>115</v>
      </c>
      <c r="AR213" s="114">
        <v>1.18</v>
      </c>
      <c r="AS213" s="160">
        <v>22</v>
      </c>
      <c r="AT213" s="161">
        <v>22</v>
      </c>
      <c r="AU213" s="114">
        <v>67</v>
      </c>
      <c r="AV213" s="114">
        <v>139</v>
      </c>
      <c r="AZ213" s="131" t="s">
        <v>642</v>
      </c>
    </row>
    <row r="214" s="114" customFormat="1" spans="1:52">
      <c r="A214" s="236" t="s">
        <v>643</v>
      </c>
      <c r="B214" s="236" t="s">
        <v>48</v>
      </c>
      <c r="C214" s="236">
        <v>49</v>
      </c>
      <c r="D214" s="236">
        <v>1.7</v>
      </c>
      <c r="E214" s="236">
        <v>65</v>
      </c>
      <c r="F214" s="136">
        <f>E214/(D214*D214)</f>
        <v>22.4913494809689</v>
      </c>
      <c r="G214" s="114">
        <v>6</v>
      </c>
      <c r="I214" s="210">
        <v>44223</v>
      </c>
      <c r="J214" s="210">
        <v>44229</v>
      </c>
      <c r="L214" s="138">
        <v>1</v>
      </c>
      <c r="M214" s="138">
        <v>6</v>
      </c>
      <c r="N214" s="213" t="s">
        <v>644</v>
      </c>
      <c r="P214" s="114">
        <v>1</v>
      </c>
      <c r="T214" s="114">
        <v>1</v>
      </c>
      <c r="U214" s="114">
        <v>0</v>
      </c>
      <c r="V214" s="114">
        <v>1</v>
      </c>
      <c r="W214" s="114">
        <v>0</v>
      </c>
      <c r="X214" s="114">
        <v>1</v>
      </c>
      <c r="Y214" s="114">
        <v>1</v>
      </c>
      <c r="Z214" s="114" t="s">
        <v>321</v>
      </c>
      <c r="AA214" s="114">
        <v>3</v>
      </c>
      <c r="AB214" s="114">
        <v>3</v>
      </c>
      <c r="AC214" s="114">
        <v>2</v>
      </c>
      <c r="AD214" s="114">
        <v>1</v>
      </c>
      <c r="AE214" s="114">
        <f>Y214+AA214+AB214+AC214+AD214</f>
        <v>10</v>
      </c>
      <c r="AF214" s="116" t="s">
        <v>50</v>
      </c>
      <c r="AG214" s="114">
        <f>AT214/17.1</f>
        <v>4.19298245614035</v>
      </c>
      <c r="AH214" s="114">
        <f>AU214/88.4</f>
        <v>0.882352941176471</v>
      </c>
      <c r="AI214" s="114">
        <f>AR214</f>
        <v>1.57</v>
      </c>
      <c r="AJ214" s="159">
        <f>LN(IF(AG214&gt;=1,AG214,1))*3.8+LN(IF(AH214&gt;=1,AH214,1))*9.6+11.2*LN(IF(AI214&gt;=1,AI214,1))+6.4*AN214</f>
        <v>10.4990136164029</v>
      </c>
      <c r="AK214" s="160">
        <f>IF(AND(AG214&gt;0,AH214&gt;0,AI214&gt;0),AJ214,"")</f>
        <v>10.4990136164029</v>
      </c>
      <c r="AL214" s="160">
        <f>AK214+1.59*(135-AM214)</f>
        <v>10.4990136164029</v>
      </c>
      <c r="AM214" s="160">
        <f>IF(AV214&gt;135,135,IF(AV214&lt;120,120,AV214))</f>
        <v>135</v>
      </c>
      <c r="AN214" s="114">
        <v>0</v>
      </c>
      <c r="AO214" s="114">
        <v>1</v>
      </c>
      <c r="AP214" s="114">
        <v>6.19</v>
      </c>
      <c r="AQ214" s="114">
        <v>86</v>
      </c>
      <c r="AR214" s="114">
        <v>1.57</v>
      </c>
      <c r="AS214" s="160">
        <v>31</v>
      </c>
      <c r="AT214" s="161">
        <v>71.7</v>
      </c>
      <c r="AU214" s="114">
        <v>78</v>
      </c>
      <c r="AV214" s="114">
        <v>137</v>
      </c>
      <c r="AZ214" s="116" t="s">
        <v>645</v>
      </c>
    </row>
    <row r="215" spans="1:52">
      <c r="A215" s="236" t="s">
        <v>580</v>
      </c>
      <c r="B215" s="234" t="s">
        <v>48</v>
      </c>
      <c r="C215" s="234">
        <v>59</v>
      </c>
      <c r="D215" s="234">
        <v>1.72</v>
      </c>
      <c r="E215" s="234">
        <v>63</v>
      </c>
      <c r="F215" s="136">
        <f>E215/(D215*D215)</f>
        <v>21.295294753921</v>
      </c>
      <c r="G215" s="117">
        <v>0</v>
      </c>
      <c r="I215" s="158">
        <v>44222</v>
      </c>
      <c r="J215" s="158">
        <v>44228</v>
      </c>
      <c r="L215" s="137">
        <v>2</v>
      </c>
      <c r="M215" s="137">
        <v>6</v>
      </c>
      <c r="N215" s="139" t="s">
        <v>646</v>
      </c>
      <c r="O215" s="114">
        <v>1</v>
      </c>
      <c r="P215" s="114"/>
      <c r="Q215" s="114"/>
      <c r="R215" s="114"/>
      <c r="S215" s="114"/>
      <c r="T215" s="114">
        <v>1</v>
      </c>
      <c r="U215" s="114">
        <v>0</v>
      </c>
      <c r="V215" s="114">
        <v>1</v>
      </c>
      <c r="W215" s="114">
        <v>0</v>
      </c>
      <c r="X215" s="114">
        <v>1</v>
      </c>
      <c r="Y215" s="114">
        <v>1</v>
      </c>
      <c r="Z215" s="114" t="s">
        <v>300</v>
      </c>
      <c r="AA215" s="114">
        <v>2</v>
      </c>
      <c r="AB215" s="114">
        <v>1</v>
      </c>
      <c r="AC215" s="114">
        <v>2</v>
      </c>
      <c r="AD215" s="114">
        <v>1</v>
      </c>
      <c r="AE215" s="114">
        <f>Y215+AA215+AB215+AC215+AD215</f>
        <v>7</v>
      </c>
      <c r="AF215" s="116" t="s">
        <v>63</v>
      </c>
      <c r="AG215" s="114">
        <f>AT215/17.1</f>
        <v>1.12865497076023</v>
      </c>
      <c r="AH215" s="114">
        <f>AU215/88.4</f>
        <v>0.723981900452489</v>
      </c>
      <c r="AI215" s="114">
        <f>AR215</f>
        <v>1.26</v>
      </c>
      <c r="AJ215" s="159">
        <f>LN(IF(AG215&gt;=1,AG215,1))*3.8+LN(IF(AH215&gt;=1,AH215,1))*9.6+11.2*LN(IF(AI215&gt;=1,AI215,1))+6.4*AN215</f>
        <v>9.44835247791839</v>
      </c>
      <c r="AK215" s="160">
        <f>IF(AND(AG215&gt;0,AH215&gt;0,AI215&gt;0),AJ215,"")</f>
        <v>9.44835247791839</v>
      </c>
      <c r="AL215" s="160">
        <f>AK215+1.59*(135-AM215)</f>
        <v>9.44835247791839</v>
      </c>
      <c r="AM215" s="160">
        <f>IF(AV215&gt;135,135,IF(AV215&lt;120,120,AV215))</f>
        <v>135</v>
      </c>
      <c r="AN215" s="114">
        <v>1</v>
      </c>
      <c r="AO215" s="114">
        <v>1</v>
      </c>
      <c r="AP215" s="114">
        <v>3.46</v>
      </c>
      <c r="AQ215" s="114">
        <v>73</v>
      </c>
      <c r="AR215" s="114">
        <v>1.26</v>
      </c>
      <c r="AS215" s="160">
        <v>28</v>
      </c>
      <c r="AT215" s="161">
        <v>19.3</v>
      </c>
      <c r="AU215" s="114">
        <v>64</v>
      </c>
      <c r="AV215" s="114">
        <v>143</v>
      </c>
      <c r="AZ215" s="119" t="s">
        <v>647</v>
      </c>
    </row>
    <row r="216" s="125" customFormat="1" spans="1:52">
      <c r="A216" s="237" t="s">
        <v>648</v>
      </c>
      <c r="B216" s="237" t="s">
        <v>53</v>
      </c>
      <c r="C216" s="237">
        <v>82</v>
      </c>
      <c r="D216" s="237">
        <v>1.5</v>
      </c>
      <c r="E216" s="237">
        <v>60</v>
      </c>
      <c r="F216" s="216">
        <f>E216/(D216*D216)</f>
        <v>26.6666666666667</v>
      </c>
      <c r="G216" s="125">
        <v>3</v>
      </c>
      <c r="I216" s="186">
        <v>44182</v>
      </c>
      <c r="J216" s="186">
        <v>44198</v>
      </c>
      <c r="L216" s="187">
        <v>1</v>
      </c>
      <c r="M216" s="187">
        <v>16</v>
      </c>
      <c r="N216" s="188" t="s">
        <v>649</v>
      </c>
      <c r="O216" s="114"/>
      <c r="P216" s="114"/>
      <c r="Q216" s="114">
        <v>1</v>
      </c>
      <c r="R216" s="114"/>
      <c r="S216" s="114"/>
      <c r="T216" s="114">
        <v>1</v>
      </c>
      <c r="U216" s="114">
        <v>0</v>
      </c>
      <c r="V216" s="114">
        <v>1</v>
      </c>
      <c r="W216" s="114">
        <v>1</v>
      </c>
      <c r="X216" s="114">
        <v>1</v>
      </c>
      <c r="Y216" s="114">
        <v>1</v>
      </c>
      <c r="Z216" s="114" t="s">
        <v>321</v>
      </c>
      <c r="AA216" s="114">
        <v>3</v>
      </c>
      <c r="AB216" s="114">
        <v>1</v>
      </c>
      <c r="AC216" s="114">
        <v>2</v>
      </c>
      <c r="AD216" s="114">
        <v>1</v>
      </c>
      <c r="AE216" s="114">
        <f>Y216+AA216+AB216+AC216+AD216</f>
        <v>8</v>
      </c>
      <c r="AF216" s="116" t="s">
        <v>63</v>
      </c>
      <c r="AG216" s="114">
        <f>AT216/17.1</f>
        <v>0.87719298245614</v>
      </c>
      <c r="AH216" s="114">
        <f>AU216/88.4</f>
        <v>1.05203619909502</v>
      </c>
      <c r="AI216" s="114">
        <f>AR216</f>
        <v>1.09</v>
      </c>
      <c r="AJ216" s="159">
        <f>LN(IF(AG216&gt;=1,AG216,1))*3.8+LN(IF(AH216&gt;=1,AH216,1))*9.6+11.2*LN(IF(AI216&gt;=1,AI216,1))+6.4*AN216</f>
        <v>7.85217442359251</v>
      </c>
      <c r="AK216" s="160">
        <f>IF(AND(AG216&gt;0,AH216&gt;0,AI216&gt;0),AJ216,"")</f>
        <v>7.85217442359251</v>
      </c>
      <c r="AL216" s="160">
        <f>AK216+1.59*(135-AM216)</f>
        <v>7.85217442359251</v>
      </c>
      <c r="AM216" s="160">
        <f>IF(AV216&gt;135,135,IF(AV216&lt;120,120,AV216))</f>
        <v>135</v>
      </c>
      <c r="AN216" s="114">
        <v>1</v>
      </c>
      <c r="AO216" s="114">
        <v>1</v>
      </c>
      <c r="AP216" s="114">
        <v>7.52</v>
      </c>
      <c r="AQ216" s="114">
        <v>100</v>
      </c>
      <c r="AR216" s="114">
        <v>1.09</v>
      </c>
      <c r="AS216" s="160">
        <v>29</v>
      </c>
      <c r="AT216" s="161">
        <v>15</v>
      </c>
      <c r="AU216" s="114">
        <v>93</v>
      </c>
      <c r="AV216" s="114">
        <v>141</v>
      </c>
      <c r="AZ216" s="131" t="s">
        <v>650</v>
      </c>
    </row>
    <row r="217" s="125" customFormat="1" spans="1:52">
      <c r="A217" s="237" t="s">
        <v>190</v>
      </c>
      <c r="B217" s="237" t="s">
        <v>53</v>
      </c>
      <c r="C217" s="237">
        <v>71</v>
      </c>
      <c r="D217" s="237">
        <v>1.63</v>
      </c>
      <c r="E217" s="237">
        <v>50</v>
      </c>
      <c r="F217" s="216">
        <f>E217/(D217*D217)</f>
        <v>18.8189243102864</v>
      </c>
      <c r="G217" s="125">
        <v>1</v>
      </c>
      <c r="I217" s="186">
        <v>44184</v>
      </c>
      <c r="J217" s="186">
        <v>44196</v>
      </c>
      <c r="K217" s="186">
        <v>44501</v>
      </c>
      <c r="L217" s="187">
        <v>12</v>
      </c>
      <c r="M217" s="187">
        <v>12</v>
      </c>
      <c r="N217" s="188" t="s">
        <v>651</v>
      </c>
      <c r="O217" s="114"/>
      <c r="P217" s="114"/>
      <c r="Q217" s="114"/>
      <c r="R217" s="114">
        <v>1</v>
      </c>
      <c r="S217" s="114"/>
      <c r="T217" s="114">
        <v>1</v>
      </c>
      <c r="U217" s="114">
        <v>0</v>
      </c>
      <c r="V217" s="114">
        <v>1</v>
      </c>
      <c r="W217" s="114">
        <v>0</v>
      </c>
      <c r="X217" s="114">
        <v>1</v>
      </c>
      <c r="Y217" s="114">
        <v>1</v>
      </c>
      <c r="Z217" s="114" t="s">
        <v>300</v>
      </c>
      <c r="AA217" s="114">
        <v>2</v>
      </c>
      <c r="AB217" s="114">
        <v>2</v>
      </c>
      <c r="AC217" s="114">
        <v>3</v>
      </c>
      <c r="AD217" s="114">
        <v>1</v>
      </c>
      <c r="AE217" s="114">
        <f>Y217+AA217+AB217+AC217+AD217</f>
        <v>9</v>
      </c>
      <c r="AF217" s="116" t="s">
        <v>63</v>
      </c>
      <c r="AG217" s="114">
        <f>AT217/17.1</f>
        <v>2.06432748538012</v>
      </c>
      <c r="AH217" s="114">
        <f>AU217/88.4</f>
        <v>1.04072398190045</v>
      </c>
      <c r="AI217" s="114">
        <f>AR217</f>
        <v>1.35</v>
      </c>
      <c r="AJ217" s="159">
        <f>LN(IF(AG217&gt;=1,AG217,1))*3.8+LN(IF(AH217&gt;=1,AH217,1))*9.6+11.2*LN(IF(AI217&gt;=1,AI217,1))+6.4*AN217</f>
        <v>6.49862796817245</v>
      </c>
      <c r="AK217" s="160">
        <f>IF(AND(AG217&gt;0,AH217&gt;0,AI217&gt;0),AJ217,"")</f>
        <v>6.49862796817245</v>
      </c>
      <c r="AL217" s="160">
        <f>AK217+1.59*(135-AM217)</f>
        <v>6.49862796817245</v>
      </c>
      <c r="AM217" s="160">
        <f>IF(AV217&gt;135,135,IF(AV217&lt;120,120,AV217))</f>
        <v>135</v>
      </c>
      <c r="AN217" s="114">
        <v>0</v>
      </c>
      <c r="AO217" s="114">
        <v>1</v>
      </c>
      <c r="AP217" s="114">
        <v>1.62</v>
      </c>
      <c r="AQ217" s="114">
        <v>77</v>
      </c>
      <c r="AR217" s="114">
        <v>1.35</v>
      </c>
      <c r="AS217" s="160">
        <v>23</v>
      </c>
      <c r="AT217" s="161">
        <v>35.3</v>
      </c>
      <c r="AU217" s="114">
        <v>92</v>
      </c>
      <c r="AV217" s="114">
        <v>142</v>
      </c>
      <c r="AZ217" s="131" t="s">
        <v>652</v>
      </c>
    </row>
    <row r="218" spans="1:52">
      <c r="A218" s="236" t="s">
        <v>653</v>
      </c>
      <c r="B218" s="234" t="s">
        <v>53</v>
      </c>
      <c r="C218" s="234">
        <v>72</v>
      </c>
      <c r="D218" s="234">
        <v>1.63</v>
      </c>
      <c r="E218" s="234">
        <v>52</v>
      </c>
      <c r="F218" s="136">
        <f>E218/(D218*D218)</f>
        <v>19.5716812826979</v>
      </c>
      <c r="G218" s="117">
        <v>0</v>
      </c>
      <c r="I218" s="158">
        <v>44189</v>
      </c>
      <c r="J218" s="158">
        <v>44208</v>
      </c>
      <c r="L218" s="137">
        <v>1</v>
      </c>
      <c r="M218" s="137">
        <v>19</v>
      </c>
      <c r="N218" s="139" t="s">
        <v>654</v>
      </c>
      <c r="O218" s="114"/>
      <c r="P218" s="114"/>
      <c r="Q218" s="114"/>
      <c r="R218" s="114">
        <v>1</v>
      </c>
      <c r="S218" s="114"/>
      <c r="T218" s="114">
        <v>1</v>
      </c>
      <c r="U218" s="114">
        <v>0</v>
      </c>
      <c r="V218" s="114">
        <v>1</v>
      </c>
      <c r="W218" s="114">
        <v>0</v>
      </c>
      <c r="X218" s="114">
        <v>1</v>
      </c>
      <c r="Y218" s="114">
        <v>1</v>
      </c>
      <c r="Z218" s="114" t="s">
        <v>300</v>
      </c>
      <c r="AA218" s="114">
        <v>2</v>
      </c>
      <c r="AB218" s="114">
        <v>1</v>
      </c>
      <c r="AC218" s="114">
        <v>2</v>
      </c>
      <c r="AD218" s="114">
        <v>1</v>
      </c>
      <c r="AE218" s="114">
        <f>Y218+AA218+AB218+AC218+AD218</f>
        <v>7</v>
      </c>
      <c r="AF218" s="116" t="s">
        <v>63</v>
      </c>
      <c r="AG218" s="114">
        <f>AT218/17.1</f>
        <v>0.514619883040936</v>
      </c>
      <c r="AH218" s="114">
        <f>AU218/88.4</f>
        <v>0.588235294117647</v>
      </c>
      <c r="AI218" s="114">
        <f>AR218</f>
        <v>1.09</v>
      </c>
      <c r="AJ218" s="159">
        <f>LN(IF(AG218&gt;=1,AG218,1))*3.8+LN(IF(AH218&gt;=1,AH218,1))*9.6+11.2*LN(IF(AI218&gt;=1,AI218,1))+6.4*AN218</f>
        <v>0.965190197899787</v>
      </c>
      <c r="AK218" s="160">
        <f>IF(AND(AG218&gt;0,AH218&gt;0,AI218&gt;0),AJ218,"")</f>
        <v>0.965190197899787</v>
      </c>
      <c r="AL218" s="160">
        <f>AK218+1.59*(135-AM218)</f>
        <v>0.965190197899787</v>
      </c>
      <c r="AM218" s="160">
        <f>IF(AV218&gt;135,135,IF(AV218&lt;120,120,AV218))</f>
        <v>135</v>
      </c>
      <c r="AN218" s="114">
        <v>0</v>
      </c>
      <c r="AO218" s="114">
        <v>1</v>
      </c>
      <c r="AP218" s="114">
        <v>0.88</v>
      </c>
      <c r="AQ218" s="114">
        <v>79</v>
      </c>
      <c r="AR218" s="114">
        <v>1.09</v>
      </c>
      <c r="AS218" s="160">
        <v>34</v>
      </c>
      <c r="AT218" s="161">
        <v>8.8</v>
      </c>
      <c r="AU218" s="114">
        <v>52</v>
      </c>
      <c r="AV218" s="114">
        <v>144</v>
      </c>
      <c r="AZ218" s="119" t="s">
        <v>655</v>
      </c>
    </row>
    <row r="219" s="125" customFormat="1" spans="1:52">
      <c r="A219" s="237" t="s">
        <v>656</v>
      </c>
      <c r="B219" s="237" t="s">
        <v>48</v>
      </c>
      <c r="C219" s="237">
        <v>80</v>
      </c>
      <c r="D219" s="237">
        <v>1.6</v>
      </c>
      <c r="E219" s="237">
        <v>80</v>
      </c>
      <c r="F219" s="216">
        <f>E219/(D219*D219)</f>
        <v>31.25</v>
      </c>
      <c r="G219" s="125">
        <v>1</v>
      </c>
      <c r="I219" s="186">
        <v>44176</v>
      </c>
      <c r="J219" s="186">
        <v>44203</v>
      </c>
      <c r="L219" s="187">
        <v>1</v>
      </c>
      <c r="M219" s="187">
        <v>27</v>
      </c>
      <c r="N219" s="188" t="s">
        <v>657</v>
      </c>
      <c r="O219" s="114"/>
      <c r="P219" s="114"/>
      <c r="Q219" s="114"/>
      <c r="R219" s="114"/>
      <c r="S219" s="114">
        <v>1</v>
      </c>
      <c r="T219" s="114">
        <v>1</v>
      </c>
      <c r="U219" s="114">
        <v>0</v>
      </c>
      <c r="V219" s="114">
        <v>1</v>
      </c>
      <c r="W219" s="114">
        <v>0</v>
      </c>
      <c r="X219" s="114">
        <v>1</v>
      </c>
      <c r="Y219" s="114">
        <v>1</v>
      </c>
      <c r="Z219" s="114" t="s">
        <v>300</v>
      </c>
      <c r="AA219" s="114">
        <v>2</v>
      </c>
      <c r="AB219" s="114">
        <v>1</v>
      </c>
      <c r="AC219" s="114">
        <v>2</v>
      </c>
      <c r="AD219" s="114">
        <v>1</v>
      </c>
      <c r="AE219" s="114">
        <f>Y219+AA219+AB219+AC219+AD219</f>
        <v>7</v>
      </c>
      <c r="AF219" s="116" t="s">
        <v>63</v>
      </c>
      <c r="AG219" s="114">
        <f>AT219/17.1</f>
        <v>0.853801169590643</v>
      </c>
      <c r="AH219" s="114">
        <f>AU219/88.4</f>
        <v>0.667420814479638</v>
      </c>
      <c r="AI219" s="114">
        <f>AR219</f>
        <v>1.32</v>
      </c>
      <c r="AJ219" s="159">
        <f>LN(IF(AG219&gt;=1,AG219,1))*3.8+LN(IF(AH219&gt;=1,AH219,1))*9.6+11.2*LN(IF(AI219&gt;=1,AI219,1))+6.4*AN219</f>
        <v>9.50947544990073</v>
      </c>
      <c r="AK219" s="160">
        <f>IF(AND(AG219&gt;0,AH219&gt;0,AI219&gt;0),AJ219,"")</f>
        <v>9.50947544990073</v>
      </c>
      <c r="AL219" s="160">
        <f>AK219+1.59*(135-AM219)</f>
        <v>9.50947544990073</v>
      </c>
      <c r="AM219" s="160">
        <f>IF(AV219&gt;135,135,IF(AV219&lt;120,120,AV219))</f>
        <v>135</v>
      </c>
      <c r="AN219" s="114">
        <v>1</v>
      </c>
      <c r="AO219" s="114">
        <v>1</v>
      </c>
      <c r="AP219" s="114">
        <v>3.9</v>
      </c>
      <c r="AQ219" s="114">
        <v>74</v>
      </c>
      <c r="AR219" s="114">
        <v>1.32</v>
      </c>
      <c r="AS219" s="160">
        <v>28</v>
      </c>
      <c r="AT219" s="161">
        <v>14.6</v>
      </c>
      <c r="AU219" s="114">
        <v>59</v>
      </c>
      <c r="AV219" s="114">
        <v>139</v>
      </c>
      <c r="AZ219" s="131" t="s">
        <v>658</v>
      </c>
    </row>
    <row r="220" s="123" customFormat="1" spans="1:52">
      <c r="A220" s="238" t="s">
        <v>659</v>
      </c>
      <c r="B220" s="238" t="s">
        <v>48</v>
      </c>
      <c r="C220" s="238">
        <v>57</v>
      </c>
      <c r="D220" s="238">
        <v>1.66</v>
      </c>
      <c r="E220" s="238">
        <v>63</v>
      </c>
      <c r="F220" s="189">
        <v>22.86</v>
      </c>
      <c r="G220" s="123">
        <v>6</v>
      </c>
      <c r="H220" s="177">
        <v>44252</v>
      </c>
      <c r="I220" s="177">
        <v>44249</v>
      </c>
      <c r="J220" s="177">
        <v>44258</v>
      </c>
      <c r="L220" s="178">
        <v>1</v>
      </c>
      <c r="M220" s="178">
        <v>9</v>
      </c>
      <c r="N220" s="179" t="s">
        <v>660</v>
      </c>
      <c r="O220" s="114"/>
      <c r="P220" s="114">
        <v>1</v>
      </c>
      <c r="Q220" s="114"/>
      <c r="R220" s="114"/>
      <c r="S220" s="114"/>
      <c r="T220" s="114">
        <v>0</v>
      </c>
      <c r="U220" s="114">
        <v>1</v>
      </c>
      <c r="V220" s="114">
        <v>1</v>
      </c>
      <c r="W220" s="114">
        <v>0</v>
      </c>
      <c r="X220" s="114">
        <v>1</v>
      </c>
      <c r="Y220" s="114">
        <v>2</v>
      </c>
      <c r="Z220" s="114" t="s">
        <v>58</v>
      </c>
      <c r="AA220" s="114">
        <v>1</v>
      </c>
      <c r="AB220" s="114">
        <v>3</v>
      </c>
      <c r="AC220" s="114">
        <v>2</v>
      </c>
      <c r="AD220" s="114">
        <v>1</v>
      </c>
      <c r="AE220" s="114">
        <f>Y220+AA220+AB220+AC220+AD220</f>
        <v>9</v>
      </c>
      <c r="AF220" s="116" t="s">
        <v>63</v>
      </c>
      <c r="AG220" s="114">
        <f>AT220/17.1</f>
        <v>8.46783625730994</v>
      </c>
      <c r="AH220" s="114">
        <f>AU220/88.4</f>
        <v>0.712669683257918</v>
      </c>
      <c r="AI220" s="114">
        <f>AR220</f>
        <v>1.5</v>
      </c>
      <c r="AJ220" s="159">
        <f>LN(IF(AG220&gt;=1,AG220,1))*3.8+LN(IF(AH220&gt;=1,AH220,1))*9.6+11.2*LN(IF(AI220&gt;=1,AI220,1))+6.4*AN220</f>
        <v>12.6590542732948</v>
      </c>
      <c r="AK220" s="160">
        <f>IF(AND(AG220&gt;0,AH220&gt;0,AI220&gt;0),AJ220,"")</f>
        <v>12.6590542732948</v>
      </c>
      <c r="AL220" s="160">
        <f>AK220+1.59*(135-AM220)</f>
        <v>12.6590542732948</v>
      </c>
      <c r="AM220" s="160">
        <f>IF(AV220&gt;135,135,IF(AV220&lt;120,120,AV220))</f>
        <v>135</v>
      </c>
      <c r="AN220" s="114">
        <v>0</v>
      </c>
      <c r="AO220" s="114">
        <v>1</v>
      </c>
      <c r="AP220" s="114">
        <v>5.41</v>
      </c>
      <c r="AQ220" s="114">
        <v>131</v>
      </c>
      <c r="AR220" s="114">
        <v>1.5</v>
      </c>
      <c r="AS220" s="160">
        <v>28</v>
      </c>
      <c r="AT220" s="161">
        <v>144.8</v>
      </c>
      <c r="AU220" s="114">
        <v>63</v>
      </c>
      <c r="AV220" s="114">
        <v>142</v>
      </c>
      <c r="AZ220" s="132" t="s">
        <v>661</v>
      </c>
    </row>
    <row r="221" s="123" customFormat="1" spans="1:52">
      <c r="A221" s="238" t="s">
        <v>662</v>
      </c>
      <c r="B221" s="238" t="s">
        <v>53</v>
      </c>
      <c r="C221" s="238">
        <v>63</v>
      </c>
      <c r="D221" s="238">
        <v>1.5</v>
      </c>
      <c r="E221" s="238">
        <v>60</v>
      </c>
      <c r="F221" s="189">
        <f t="shared" ref="F221:F241" si="55">E221/(D221*D221)</f>
        <v>26.6666666666667</v>
      </c>
      <c r="G221" s="123">
        <v>1</v>
      </c>
      <c r="H221" s="177">
        <v>44252</v>
      </c>
      <c r="I221" s="177">
        <v>44250</v>
      </c>
      <c r="J221" s="177">
        <v>44257</v>
      </c>
      <c r="L221" s="178">
        <v>1</v>
      </c>
      <c r="M221" s="178">
        <v>7</v>
      </c>
      <c r="N221" s="179" t="s">
        <v>663</v>
      </c>
      <c r="O221" s="114"/>
      <c r="P221" s="114"/>
      <c r="Q221" s="114"/>
      <c r="R221" s="114"/>
      <c r="S221" s="114">
        <v>1</v>
      </c>
      <c r="T221" s="114">
        <v>1</v>
      </c>
      <c r="U221" s="114">
        <v>0</v>
      </c>
      <c r="V221" s="114">
        <v>1</v>
      </c>
      <c r="W221" s="114">
        <v>0</v>
      </c>
      <c r="X221" s="114">
        <v>1</v>
      </c>
      <c r="Y221" s="114">
        <v>1</v>
      </c>
      <c r="Z221" s="114" t="s">
        <v>307</v>
      </c>
      <c r="AA221" s="114">
        <v>3</v>
      </c>
      <c r="AB221" s="114">
        <v>1</v>
      </c>
      <c r="AC221" s="114">
        <v>2</v>
      </c>
      <c r="AD221" s="114">
        <v>1</v>
      </c>
      <c r="AE221" s="114">
        <f t="shared" ref="AE221:AE248" si="56">Y221+AA221+AB221+AC221+AD221</f>
        <v>8</v>
      </c>
      <c r="AF221" s="116" t="s">
        <v>63</v>
      </c>
      <c r="AG221" s="114">
        <f>AT221/17.1</f>
        <v>0.807017543859649</v>
      </c>
      <c r="AH221" s="114">
        <f>AU221/88.4</f>
        <v>0</v>
      </c>
      <c r="AI221" s="114">
        <f>AR221</f>
        <v>1.43</v>
      </c>
      <c r="AJ221" s="159">
        <f t="shared" ref="AJ221:AJ241" si="57">LN(IF(AG221&gt;=1,AG221,1))*3.8+LN(IF(AH221&gt;=1,AH221,1))*9.6+11.2*LN(IF(AI221&gt;=1,AI221,1))+6.4*AN221</f>
        <v>10.4059537758443</v>
      </c>
      <c r="AK221" s="160" t="str">
        <f t="shared" ref="AK221:AK241" si="58">IF(AND(AG221&gt;0,AH221&gt;0,AI221&gt;0),AJ221,"")</f>
        <v/>
      </c>
      <c r="AL221" s="160"/>
      <c r="AM221" s="160">
        <f t="shared" ref="AM221:AM241" si="59">IF(AV221&gt;135,135,IF(AV221&lt;120,120,AV221))</f>
        <v>135</v>
      </c>
      <c r="AN221" s="114">
        <v>1</v>
      </c>
      <c r="AO221" s="114"/>
      <c r="AP221" s="114">
        <v>4.76</v>
      </c>
      <c r="AQ221" s="114">
        <v>77</v>
      </c>
      <c r="AR221" s="114">
        <v>1.43</v>
      </c>
      <c r="AS221" s="160">
        <v>20</v>
      </c>
      <c r="AT221" s="161">
        <v>13.8</v>
      </c>
      <c r="AU221" s="114"/>
      <c r="AV221" s="114">
        <v>138</v>
      </c>
      <c r="AZ221" s="132" t="s">
        <v>664</v>
      </c>
    </row>
    <row r="222" spans="1:52">
      <c r="A222" s="234" t="s">
        <v>665</v>
      </c>
      <c r="B222" s="234" t="s">
        <v>48</v>
      </c>
      <c r="C222" s="234">
        <v>35</v>
      </c>
      <c r="D222" s="234">
        <v>1.75</v>
      </c>
      <c r="E222" s="234">
        <v>74</v>
      </c>
      <c r="F222" s="136">
        <f t="shared" si="55"/>
        <v>24.1632653061224</v>
      </c>
      <c r="G222" s="146">
        <v>0</v>
      </c>
      <c r="H222" s="158">
        <v>44257</v>
      </c>
      <c r="I222" s="158">
        <v>44257</v>
      </c>
      <c r="J222" s="158">
        <v>44272</v>
      </c>
      <c r="L222" s="137">
        <v>1</v>
      </c>
      <c r="M222" s="138">
        <v>15</v>
      </c>
      <c r="N222" s="139" t="s">
        <v>666</v>
      </c>
      <c r="O222" s="114"/>
      <c r="P222" s="114"/>
      <c r="Q222" s="114"/>
      <c r="R222" s="114"/>
      <c r="S222" s="114">
        <v>1</v>
      </c>
      <c r="T222" s="114">
        <v>1</v>
      </c>
      <c r="U222" s="114">
        <v>0</v>
      </c>
      <c r="V222" s="114">
        <v>1</v>
      </c>
      <c r="W222" s="114">
        <v>0</v>
      </c>
      <c r="X222" s="114">
        <v>1</v>
      </c>
      <c r="Y222" s="114">
        <v>1</v>
      </c>
      <c r="Z222" s="114" t="s">
        <v>300</v>
      </c>
      <c r="AA222" s="114">
        <v>2</v>
      </c>
      <c r="AB222" s="114">
        <v>1</v>
      </c>
      <c r="AC222" s="114">
        <v>2</v>
      </c>
      <c r="AD222" s="114">
        <v>1</v>
      </c>
      <c r="AE222" s="114">
        <f t="shared" si="56"/>
        <v>7</v>
      </c>
      <c r="AF222" s="116" t="s">
        <v>63</v>
      </c>
      <c r="AG222" s="114">
        <f>AT222/17.1</f>
        <v>0.976608187134503</v>
      </c>
      <c r="AH222" s="114">
        <f>AU222/88.4</f>
        <v>0.610859728506787</v>
      </c>
      <c r="AI222" s="114">
        <f>AR222</f>
        <v>1.39</v>
      </c>
      <c r="AJ222" s="159">
        <f t="shared" si="57"/>
        <v>10.0882019679971</v>
      </c>
      <c r="AK222" s="160">
        <f t="shared" si="58"/>
        <v>10.0882019679971</v>
      </c>
      <c r="AL222" s="160">
        <f>AK222+1.59*(135-AM222)</f>
        <v>10.0882019679971</v>
      </c>
      <c r="AM222" s="160">
        <f t="shared" si="59"/>
        <v>135</v>
      </c>
      <c r="AN222" s="114">
        <v>1</v>
      </c>
      <c r="AO222" s="114">
        <v>1</v>
      </c>
      <c r="AP222" s="114">
        <v>2.02</v>
      </c>
      <c r="AQ222" s="114">
        <v>113</v>
      </c>
      <c r="AR222" s="114">
        <v>1.39</v>
      </c>
      <c r="AS222" s="160">
        <v>32</v>
      </c>
      <c r="AT222" s="161">
        <v>16.7</v>
      </c>
      <c r="AU222" s="114">
        <v>54</v>
      </c>
      <c r="AV222" s="114">
        <v>141</v>
      </c>
      <c r="AZ222" s="119" t="s">
        <v>667</v>
      </c>
    </row>
    <row r="223" spans="1:52">
      <c r="A223" s="234" t="s">
        <v>668</v>
      </c>
      <c r="B223" s="234" t="s">
        <v>53</v>
      </c>
      <c r="C223" s="234">
        <v>59</v>
      </c>
      <c r="D223" s="234">
        <v>1.65</v>
      </c>
      <c r="E223" s="234">
        <v>59</v>
      </c>
      <c r="F223" s="136">
        <f t="shared" si="55"/>
        <v>21.6712580348944</v>
      </c>
      <c r="G223" s="146">
        <v>0</v>
      </c>
      <c r="H223" s="158">
        <v>44257</v>
      </c>
      <c r="I223" s="158">
        <v>44254</v>
      </c>
      <c r="J223" s="158">
        <v>44264</v>
      </c>
      <c r="L223" s="137">
        <v>1</v>
      </c>
      <c r="M223" s="138">
        <v>10</v>
      </c>
      <c r="N223" s="139" t="s">
        <v>669</v>
      </c>
      <c r="O223" s="114"/>
      <c r="P223" s="114"/>
      <c r="Q223" s="114"/>
      <c r="R223" s="114">
        <v>1</v>
      </c>
      <c r="S223" s="114"/>
      <c r="T223" s="114">
        <v>0</v>
      </c>
      <c r="U223" s="114">
        <v>0</v>
      </c>
      <c r="V223" s="114">
        <v>0</v>
      </c>
      <c r="W223" s="114">
        <v>0</v>
      </c>
      <c r="X223" s="114">
        <v>0</v>
      </c>
      <c r="Y223" s="114">
        <v>1</v>
      </c>
      <c r="Z223" s="114" t="s">
        <v>58</v>
      </c>
      <c r="AA223" s="114">
        <v>1</v>
      </c>
      <c r="AB223" s="114">
        <v>3</v>
      </c>
      <c r="AC223" s="114">
        <v>3</v>
      </c>
      <c r="AD223" s="114">
        <v>1</v>
      </c>
      <c r="AE223" s="114">
        <f t="shared" si="56"/>
        <v>9</v>
      </c>
      <c r="AF223" s="116" t="s">
        <v>63</v>
      </c>
      <c r="AG223" s="114">
        <f>AT223/17.1</f>
        <v>10.6198830409357</v>
      </c>
      <c r="AH223" s="114">
        <f>AU223/88.4</f>
        <v>0.633484162895928</v>
      </c>
      <c r="AI223" s="114">
        <f>AR223</f>
        <v>1.47</v>
      </c>
      <c r="AJ223" s="159">
        <f t="shared" si="57"/>
        <v>13.2933052989578</v>
      </c>
      <c r="AK223" s="160">
        <f t="shared" si="58"/>
        <v>13.2933052989578</v>
      </c>
      <c r="AL223" s="160">
        <f>AK223+1.59*(135-AM223)</f>
        <v>13.2933052989578</v>
      </c>
      <c r="AM223" s="160">
        <f t="shared" si="59"/>
        <v>135</v>
      </c>
      <c r="AN223" s="114">
        <v>0</v>
      </c>
      <c r="AO223" s="114">
        <v>1</v>
      </c>
      <c r="AP223" s="114">
        <v>5.47</v>
      </c>
      <c r="AQ223" s="114">
        <v>107</v>
      </c>
      <c r="AR223" s="114">
        <v>1.47</v>
      </c>
      <c r="AS223" s="160">
        <v>25</v>
      </c>
      <c r="AT223" s="161">
        <v>181.6</v>
      </c>
      <c r="AU223" s="114">
        <v>56</v>
      </c>
      <c r="AV223" s="114">
        <v>141</v>
      </c>
      <c r="AZ223" s="119" t="s">
        <v>670</v>
      </c>
    </row>
    <row r="224" spans="1:52">
      <c r="A224" s="234" t="s">
        <v>671</v>
      </c>
      <c r="B224" s="234" t="s">
        <v>53</v>
      </c>
      <c r="C224" s="234">
        <v>63</v>
      </c>
      <c r="D224" s="234">
        <v>1.7</v>
      </c>
      <c r="E224" s="234">
        <v>75</v>
      </c>
      <c r="F224" s="136">
        <f t="shared" si="55"/>
        <v>25.9515570934256</v>
      </c>
      <c r="G224" s="146">
        <v>0</v>
      </c>
      <c r="H224" s="158">
        <v>44257</v>
      </c>
      <c r="I224" s="158">
        <v>44254</v>
      </c>
      <c r="J224" s="158">
        <v>44268</v>
      </c>
      <c r="L224" s="137">
        <v>1</v>
      </c>
      <c r="M224" s="137">
        <v>14</v>
      </c>
      <c r="N224" s="139" t="s">
        <v>672</v>
      </c>
      <c r="O224" s="114"/>
      <c r="P224" s="114"/>
      <c r="Q224" s="114"/>
      <c r="R224" s="114">
        <v>1</v>
      </c>
      <c r="S224" s="114"/>
      <c r="T224" s="114">
        <v>1</v>
      </c>
      <c r="U224" s="114">
        <v>0</v>
      </c>
      <c r="V224" s="114">
        <v>1</v>
      </c>
      <c r="W224" s="114">
        <v>0</v>
      </c>
      <c r="X224" s="114">
        <v>1</v>
      </c>
      <c r="Y224" s="114">
        <v>1</v>
      </c>
      <c r="Z224" s="114" t="s">
        <v>300</v>
      </c>
      <c r="AA224" s="114">
        <v>2</v>
      </c>
      <c r="AB224" s="114">
        <v>1</v>
      </c>
      <c r="AC224" s="114">
        <v>2</v>
      </c>
      <c r="AD224" s="114">
        <v>1</v>
      </c>
      <c r="AE224" s="114">
        <f t="shared" si="56"/>
        <v>7</v>
      </c>
      <c r="AF224" s="116" t="s">
        <v>63</v>
      </c>
      <c r="AG224" s="114">
        <f>AT224/17.1</f>
        <v>0.894736842105263</v>
      </c>
      <c r="AH224" s="114">
        <f>AU224/88.4</f>
        <v>0.735294117647059</v>
      </c>
      <c r="AI224" s="114">
        <f>AR224</f>
        <v>1.14</v>
      </c>
      <c r="AJ224" s="159">
        <f t="shared" si="57"/>
        <v>1.46751653895172</v>
      </c>
      <c r="AK224" s="160">
        <f t="shared" si="58"/>
        <v>1.46751653895172</v>
      </c>
      <c r="AL224" s="160">
        <f>AK224+1.59*(135-AM224)</f>
        <v>1.46751653895172</v>
      </c>
      <c r="AM224" s="160">
        <f t="shared" si="59"/>
        <v>135</v>
      </c>
      <c r="AN224" s="114">
        <v>0</v>
      </c>
      <c r="AO224" s="114">
        <v>1</v>
      </c>
      <c r="AP224" s="114">
        <v>8.09</v>
      </c>
      <c r="AQ224" s="114">
        <v>87</v>
      </c>
      <c r="AR224" s="114">
        <v>1.14</v>
      </c>
      <c r="AS224" s="160">
        <v>30</v>
      </c>
      <c r="AT224" s="161">
        <v>15.3</v>
      </c>
      <c r="AU224" s="114">
        <v>65</v>
      </c>
      <c r="AV224" s="114">
        <v>145</v>
      </c>
      <c r="AZ224" s="119" t="s">
        <v>673</v>
      </c>
    </row>
    <row r="225" s="117" customFormat="1" spans="1:52">
      <c r="A225" s="234" t="s">
        <v>144</v>
      </c>
      <c r="B225" s="234" t="s">
        <v>48</v>
      </c>
      <c r="C225" s="234">
        <v>31</v>
      </c>
      <c r="D225" s="234">
        <v>1.78</v>
      </c>
      <c r="E225" s="234">
        <v>70</v>
      </c>
      <c r="F225" s="136">
        <f t="shared" si="55"/>
        <v>22.0931700542861</v>
      </c>
      <c r="G225" s="146">
        <v>0</v>
      </c>
      <c r="H225" s="158">
        <v>44257</v>
      </c>
      <c r="I225" s="158">
        <v>44253</v>
      </c>
      <c r="J225" s="158">
        <v>44260</v>
      </c>
      <c r="L225" s="117">
        <v>3</v>
      </c>
      <c r="M225" s="117">
        <v>7</v>
      </c>
      <c r="N225" s="139" t="s">
        <v>674</v>
      </c>
      <c r="O225" s="114">
        <v>1</v>
      </c>
      <c r="P225" s="114"/>
      <c r="Q225" s="114"/>
      <c r="R225" s="114"/>
      <c r="S225" s="114"/>
      <c r="T225" s="114">
        <v>1</v>
      </c>
      <c r="U225" s="114">
        <v>0</v>
      </c>
      <c r="V225" s="114">
        <v>1</v>
      </c>
      <c r="W225" s="114">
        <v>0</v>
      </c>
      <c r="X225" s="114">
        <v>1</v>
      </c>
      <c r="Y225" s="114">
        <v>1</v>
      </c>
      <c r="Z225" s="114" t="s">
        <v>300</v>
      </c>
      <c r="AA225" s="114">
        <v>2</v>
      </c>
      <c r="AB225" s="114">
        <v>1</v>
      </c>
      <c r="AC225" s="114">
        <v>2</v>
      </c>
      <c r="AD225" s="114">
        <v>1</v>
      </c>
      <c r="AE225" s="114">
        <f t="shared" si="56"/>
        <v>7</v>
      </c>
      <c r="AF225" s="116" t="s">
        <v>63</v>
      </c>
      <c r="AG225" s="114">
        <f>AT225/17.1</f>
        <v>0.742690058479532</v>
      </c>
      <c r="AH225" s="114">
        <f>AU225/88.4</f>
        <v>0.644796380090498</v>
      </c>
      <c r="AI225" s="114">
        <f>AR225</f>
        <v>1.59</v>
      </c>
      <c r="AJ225" s="159">
        <f t="shared" si="57"/>
        <v>11.5938209818</v>
      </c>
      <c r="AK225" s="160">
        <f t="shared" si="58"/>
        <v>11.5938209818</v>
      </c>
      <c r="AL225" s="160">
        <f>AK225+1.59*(135-AM225)</f>
        <v>11.5938209818</v>
      </c>
      <c r="AM225" s="160">
        <f t="shared" si="59"/>
        <v>135</v>
      </c>
      <c r="AN225" s="114">
        <v>1</v>
      </c>
      <c r="AO225" s="114">
        <v>1</v>
      </c>
      <c r="AP225" s="114">
        <v>5.72</v>
      </c>
      <c r="AQ225" s="114">
        <v>50</v>
      </c>
      <c r="AR225" s="114">
        <v>1.59</v>
      </c>
      <c r="AS225" s="160">
        <v>31</v>
      </c>
      <c r="AT225" s="161">
        <v>12.7</v>
      </c>
      <c r="AU225" s="114">
        <v>57</v>
      </c>
      <c r="AV225" s="114">
        <v>138</v>
      </c>
      <c r="AZ225" s="119" t="s">
        <v>58</v>
      </c>
    </row>
    <row r="226" spans="1:52">
      <c r="A226" s="234" t="s">
        <v>675</v>
      </c>
      <c r="B226" s="234" t="s">
        <v>53</v>
      </c>
      <c r="C226" s="234">
        <v>51</v>
      </c>
      <c r="D226" s="234">
        <v>1.65</v>
      </c>
      <c r="E226" s="234">
        <v>65</v>
      </c>
      <c r="F226" s="136">
        <f t="shared" si="55"/>
        <v>23.8751147842057</v>
      </c>
      <c r="G226" s="146">
        <v>0</v>
      </c>
      <c r="H226" s="158">
        <v>44264</v>
      </c>
      <c r="I226" s="158">
        <v>44261</v>
      </c>
      <c r="J226" s="158">
        <v>44274</v>
      </c>
      <c r="L226" s="137">
        <v>1</v>
      </c>
      <c r="M226" s="138">
        <v>13</v>
      </c>
      <c r="N226" s="139" t="s">
        <v>676</v>
      </c>
      <c r="O226" s="114"/>
      <c r="P226" s="114"/>
      <c r="Q226" s="114"/>
      <c r="R226" s="114">
        <v>1</v>
      </c>
      <c r="S226" s="114"/>
      <c r="T226" s="114">
        <v>1</v>
      </c>
      <c r="U226" s="114">
        <v>0</v>
      </c>
      <c r="V226" s="114">
        <v>1</v>
      </c>
      <c r="W226" s="114">
        <v>0</v>
      </c>
      <c r="X226" s="114">
        <v>1</v>
      </c>
      <c r="Y226" s="114">
        <v>1</v>
      </c>
      <c r="Z226" s="114" t="s">
        <v>307</v>
      </c>
      <c r="AA226" s="114">
        <v>3</v>
      </c>
      <c r="AB226" s="114">
        <v>3</v>
      </c>
      <c r="AC226" s="114">
        <v>3</v>
      </c>
      <c r="AD226" s="114">
        <v>1</v>
      </c>
      <c r="AE226" s="114">
        <f t="shared" si="56"/>
        <v>11</v>
      </c>
      <c r="AF226" s="116" t="s">
        <v>50</v>
      </c>
      <c r="AG226" s="114">
        <f>AT226/17.1</f>
        <v>4.02923976608187</v>
      </c>
      <c r="AH226" s="114">
        <f>AU226/88.4</f>
        <v>0.531674208144796</v>
      </c>
      <c r="AI226" s="114">
        <f>AR226</f>
        <v>1.27</v>
      </c>
      <c r="AJ226" s="159">
        <f t="shared" si="57"/>
        <v>7.97258460041139</v>
      </c>
      <c r="AK226" s="160">
        <f t="shared" si="58"/>
        <v>7.97258460041139</v>
      </c>
      <c r="AL226" s="160">
        <f>AK226+1.59*(135-AM226)</f>
        <v>7.97258460041139</v>
      </c>
      <c r="AM226" s="160">
        <f t="shared" si="59"/>
        <v>135</v>
      </c>
      <c r="AN226" s="114">
        <v>0</v>
      </c>
      <c r="AO226" s="114">
        <v>1</v>
      </c>
      <c r="AP226" s="114">
        <v>2.17</v>
      </c>
      <c r="AQ226" s="114">
        <v>67</v>
      </c>
      <c r="AR226" s="114">
        <v>1.27</v>
      </c>
      <c r="AS226" s="160">
        <v>26</v>
      </c>
      <c r="AT226" s="161">
        <v>68.9</v>
      </c>
      <c r="AU226" s="114">
        <v>47</v>
      </c>
      <c r="AV226" s="114">
        <v>138</v>
      </c>
      <c r="AZ226" s="119" t="s">
        <v>677</v>
      </c>
    </row>
    <row r="227" spans="1:52">
      <c r="A227" s="234" t="s">
        <v>678</v>
      </c>
      <c r="B227" s="234" t="s">
        <v>53</v>
      </c>
      <c r="C227" s="234">
        <v>69</v>
      </c>
      <c r="D227" s="234">
        <v>1.46</v>
      </c>
      <c r="E227" s="234">
        <v>51</v>
      </c>
      <c r="F227" s="136">
        <f t="shared" si="55"/>
        <v>23.9256896228185</v>
      </c>
      <c r="G227" s="146">
        <v>0</v>
      </c>
      <c r="H227" s="158">
        <v>44264</v>
      </c>
      <c r="I227" s="158">
        <v>44260</v>
      </c>
      <c r="J227" s="158">
        <v>44268</v>
      </c>
      <c r="L227" s="137">
        <v>1</v>
      </c>
      <c r="M227" s="138">
        <v>8</v>
      </c>
      <c r="N227" s="139" t="s">
        <v>679</v>
      </c>
      <c r="O227" s="114"/>
      <c r="P227" s="114"/>
      <c r="Q227" s="114"/>
      <c r="R227" s="114"/>
      <c r="S227" s="114" t="s">
        <v>680</v>
      </c>
      <c r="T227" s="114">
        <v>0</v>
      </c>
      <c r="U227" s="114">
        <v>0</v>
      </c>
      <c r="V227" s="114">
        <v>0</v>
      </c>
      <c r="W227" s="114">
        <v>0</v>
      </c>
      <c r="X227" s="114">
        <v>0</v>
      </c>
      <c r="Y227" s="114">
        <v>1</v>
      </c>
      <c r="Z227" s="114" t="s">
        <v>58</v>
      </c>
      <c r="AA227" s="114">
        <v>1</v>
      </c>
      <c r="AB227" s="114">
        <v>1</v>
      </c>
      <c r="AC227" s="114">
        <v>2</v>
      </c>
      <c r="AD227" s="114">
        <v>1</v>
      </c>
      <c r="AE227" s="114">
        <f t="shared" si="56"/>
        <v>6</v>
      </c>
      <c r="AF227" s="116" t="s">
        <v>59</v>
      </c>
      <c r="AG227" s="114">
        <f>AT227/17.1</f>
        <v>0.982456140350877</v>
      </c>
      <c r="AH227" s="114">
        <f>AU227/88.4</f>
        <v>0.531674208144796</v>
      </c>
      <c r="AI227" s="114">
        <f>AR227</f>
        <v>1.02</v>
      </c>
      <c r="AJ227" s="159">
        <f t="shared" si="57"/>
        <v>6.62178942571721</v>
      </c>
      <c r="AK227" s="160">
        <f t="shared" si="58"/>
        <v>6.62178942571721</v>
      </c>
      <c r="AL227" s="160">
        <f>AK227+1.59*(135-AM227)</f>
        <v>6.62178942571721</v>
      </c>
      <c r="AM227" s="160">
        <f t="shared" si="59"/>
        <v>135</v>
      </c>
      <c r="AN227" s="114">
        <v>1</v>
      </c>
      <c r="AO227" s="114">
        <v>1</v>
      </c>
      <c r="AP227" s="114">
        <v>3.81</v>
      </c>
      <c r="AQ227" s="114">
        <v>120</v>
      </c>
      <c r="AR227" s="114">
        <v>1.02</v>
      </c>
      <c r="AS227" s="160">
        <v>30</v>
      </c>
      <c r="AT227" s="161">
        <v>16.8</v>
      </c>
      <c r="AU227" s="114">
        <v>47</v>
      </c>
      <c r="AV227" s="114">
        <v>142</v>
      </c>
      <c r="AZ227" s="119" t="s">
        <v>681</v>
      </c>
    </row>
    <row r="228" spans="1:52">
      <c r="A228" s="239" t="s">
        <v>141</v>
      </c>
      <c r="B228" s="234" t="s">
        <v>53</v>
      </c>
      <c r="C228" s="234">
        <v>63</v>
      </c>
      <c r="D228" s="234">
        <v>1.58</v>
      </c>
      <c r="E228" s="234">
        <v>72</v>
      </c>
      <c r="F228" s="136">
        <f t="shared" si="55"/>
        <v>28.8415318058003</v>
      </c>
      <c r="G228" s="146">
        <v>0</v>
      </c>
      <c r="H228" s="158">
        <v>44264</v>
      </c>
      <c r="I228" s="158">
        <v>44264</v>
      </c>
      <c r="J228" s="158">
        <v>44271</v>
      </c>
      <c r="L228" s="137">
        <v>5</v>
      </c>
      <c r="M228" s="138">
        <v>7</v>
      </c>
      <c r="N228" s="139" t="s">
        <v>682</v>
      </c>
      <c r="O228" s="114">
        <v>1</v>
      </c>
      <c r="P228" s="114"/>
      <c r="Q228" s="114"/>
      <c r="R228" s="114"/>
      <c r="S228" s="114"/>
      <c r="T228" s="114">
        <v>0</v>
      </c>
      <c r="U228" s="114">
        <v>0</v>
      </c>
      <c r="V228" s="114">
        <v>1</v>
      </c>
      <c r="W228" s="114">
        <v>0</v>
      </c>
      <c r="X228" s="114">
        <v>1</v>
      </c>
      <c r="Y228" s="114">
        <v>1</v>
      </c>
      <c r="Z228" s="114" t="s">
        <v>58</v>
      </c>
      <c r="AA228" s="114">
        <v>1</v>
      </c>
      <c r="AB228" s="114">
        <v>1</v>
      </c>
      <c r="AC228" s="114">
        <v>2</v>
      </c>
      <c r="AD228" s="114">
        <v>1</v>
      </c>
      <c r="AE228" s="114">
        <f t="shared" si="56"/>
        <v>6</v>
      </c>
      <c r="AF228" s="116" t="s">
        <v>59</v>
      </c>
      <c r="AG228" s="114">
        <f>AT228/17.1</f>
        <v>1.54385964912281</v>
      </c>
      <c r="AH228" s="114">
        <f>AU228/88.4</f>
        <v>0.542986425339366</v>
      </c>
      <c r="AI228" s="114">
        <f>AR228</f>
        <v>1.08</v>
      </c>
      <c r="AJ228" s="159">
        <f t="shared" si="57"/>
        <v>8.91224873797053</v>
      </c>
      <c r="AK228" s="160">
        <f t="shared" si="58"/>
        <v>8.91224873797053</v>
      </c>
      <c r="AL228" s="160">
        <f>AK228+1.59*(135-AM228)</f>
        <v>8.91224873797053</v>
      </c>
      <c r="AM228" s="160">
        <f t="shared" si="59"/>
        <v>135</v>
      </c>
      <c r="AN228" s="114">
        <v>1</v>
      </c>
      <c r="AO228" s="114">
        <v>1</v>
      </c>
      <c r="AP228" s="114">
        <v>3.19</v>
      </c>
      <c r="AQ228" s="114">
        <v>131</v>
      </c>
      <c r="AR228" s="114">
        <v>1.08</v>
      </c>
      <c r="AS228" s="160">
        <v>29</v>
      </c>
      <c r="AT228" s="161">
        <v>26.4</v>
      </c>
      <c r="AU228" s="114">
        <v>48</v>
      </c>
      <c r="AV228" s="114">
        <v>142</v>
      </c>
      <c r="AZ228" s="119" t="s">
        <v>683</v>
      </c>
    </row>
    <row r="229" s="114" customFormat="1" spans="1:52">
      <c r="A229" s="236" t="s">
        <v>684</v>
      </c>
      <c r="B229" s="236" t="s">
        <v>48</v>
      </c>
      <c r="C229" s="236">
        <v>67</v>
      </c>
      <c r="D229" s="236">
        <v>1.72</v>
      </c>
      <c r="E229" s="236">
        <v>72.5</v>
      </c>
      <c r="F229" s="136">
        <f t="shared" si="55"/>
        <v>24.5064899945917</v>
      </c>
      <c r="G229" s="195">
        <v>3</v>
      </c>
      <c r="H229" s="210">
        <v>44264</v>
      </c>
      <c r="I229" s="210">
        <v>44258</v>
      </c>
      <c r="J229" s="210">
        <v>44278</v>
      </c>
      <c r="L229" s="138">
        <v>4</v>
      </c>
      <c r="M229" s="138">
        <v>20</v>
      </c>
      <c r="N229" s="213" t="s">
        <v>685</v>
      </c>
      <c r="P229" s="114">
        <v>1</v>
      </c>
      <c r="S229" s="114" t="s">
        <v>686</v>
      </c>
      <c r="T229" s="114">
        <v>0</v>
      </c>
      <c r="U229" s="114">
        <v>0</v>
      </c>
      <c r="V229" s="114">
        <v>1</v>
      </c>
      <c r="W229" s="114">
        <v>0</v>
      </c>
      <c r="X229" s="114">
        <v>1</v>
      </c>
      <c r="Y229" s="114">
        <v>1</v>
      </c>
      <c r="Z229" s="114" t="s">
        <v>58</v>
      </c>
      <c r="AA229" s="114">
        <v>1</v>
      </c>
      <c r="AB229" s="114">
        <v>1</v>
      </c>
      <c r="AC229" s="114">
        <v>1</v>
      </c>
      <c r="AD229" s="114">
        <v>1</v>
      </c>
      <c r="AE229" s="114">
        <f t="shared" si="56"/>
        <v>5</v>
      </c>
      <c r="AF229" s="116" t="s">
        <v>59</v>
      </c>
      <c r="AG229" s="114">
        <f>AT229/17.1</f>
        <v>1.12865497076023</v>
      </c>
      <c r="AH229" s="114">
        <f>AU229/88.4</f>
        <v>0.667420814479638</v>
      </c>
      <c r="AI229" s="114">
        <f>AR229</f>
        <v>1.1</v>
      </c>
      <c r="AJ229" s="159">
        <f t="shared" si="57"/>
        <v>1.5273752169369</v>
      </c>
      <c r="AK229" s="160">
        <f t="shared" si="58"/>
        <v>1.5273752169369</v>
      </c>
      <c r="AL229" s="160">
        <f>AK229+1.59*(135-AM229)</f>
        <v>1.5273752169369</v>
      </c>
      <c r="AM229" s="160">
        <f t="shared" si="59"/>
        <v>135</v>
      </c>
      <c r="AN229" s="114">
        <v>0</v>
      </c>
      <c r="AO229" s="114">
        <v>1</v>
      </c>
      <c r="AP229" s="114">
        <v>6.04</v>
      </c>
      <c r="AQ229" s="114">
        <v>117</v>
      </c>
      <c r="AR229" s="114">
        <v>1.1</v>
      </c>
      <c r="AS229" s="160">
        <v>36</v>
      </c>
      <c r="AT229" s="161">
        <v>19.3</v>
      </c>
      <c r="AU229" s="114">
        <v>59</v>
      </c>
      <c r="AV229" s="114">
        <v>139</v>
      </c>
      <c r="AZ229" s="116" t="s">
        <v>687</v>
      </c>
    </row>
    <row r="230" s="123" customFormat="1" spans="1:52">
      <c r="A230" s="238" t="s">
        <v>688</v>
      </c>
      <c r="B230" s="238" t="s">
        <v>53</v>
      </c>
      <c r="C230" s="238">
        <v>67</v>
      </c>
      <c r="D230" s="238">
        <v>1.58</v>
      </c>
      <c r="E230" s="238">
        <v>65</v>
      </c>
      <c r="F230" s="189">
        <f t="shared" si="55"/>
        <v>26.0374939913475</v>
      </c>
      <c r="G230" s="123">
        <v>1</v>
      </c>
      <c r="H230" s="177">
        <v>44264</v>
      </c>
      <c r="I230" s="177">
        <v>44258</v>
      </c>
      <c r="J230" s="177">
        <v>44270</v>
      </c>
      <c r="L230" s="178">
        <v>1</v>
      </c>
      <c r="M230" s="178">
        <v>12</v>
      </c>
      <c r="N230" s="179" t="s">
        <v>689</v>
      </c>
      <c r="O230" s="114"/>
      <c r="P230" s="114"/>
      <c r="Q230" s="114"/>
      <c r="R230" s="114">
        <v>1</v>
      </c>
      <c r="S230" s="114"/>
      <c r="T230" s="114">
        <v>1</v>
      </c>
      <c r="U230" s="114">
        <v>0</v>
      </c>
      <c r="V230" s="114">
        <v>1</v>
      </c>
      <c r="W230" s="114">
        <v>0</v>
      </c>
      <c r="X230" s="114">
        <v>1</v>
      </c>
      <c r="Y230" s="114">
        <v>1</v>
      </c>
      <c r="Z230" s="114" t="s">
        <v>321</v>
      </c>
      <c r="AA230" s="114">
        <v>3</v>
      </c>
      <c r="AB230" s="114">
        <v>1</v>
      </c>
      <c r="AC230" s="114">
        <v>3</v>
      </c>
      <c r="AD230" s="114">
        <v>2</v>
      </c>
      <c r="AE230" s="114">
        <f t="shared" si="56"/>
        <v>10</v>
      </c>
      <c r="AF230" s="116" t="s">
        <v>50</v>
      </c>
      <c r="AG230" s="114">
        <f>AT230/17.1</f>
        <v>1.50292397660819</v>
      </c>
      <c r="AH230" s="114">
        <f>AU230/88.4</f>
        <v>0.418552036199095</v>
      </c>
      <c r="AI230" s="114">
        <f>AR230</f>
        <v>1.86</v>
      </c>
      <c r="AJ230" s="159">
        <f t="shared" si="57"/>
        <v>8.49862427041296</v>
      </c>
      <c r="AK230" s="160">
        <f t="shared" si="58"/>
        <v>8.49862427041296</v>
      </c>
      <c r="AL230" s="160">
        <f>AK230+1.59*(135-AM230)</f>
        <v>8.49862427041296</v>
      </c>
      <c r="AM230" s="160">
        <f t="shared" si="59"/>
        <v>135</v>
      </c>
      <c r="AN230" s="114">
        <v>0</v>
      </c>
      <c r="AO230" s="114">
        <v>1</v>
      </c>
      <c r="AP230" s="114">
        <v>2.61</v>
      </c>
      <c r="AQ230" s="114">
        <v>87</v>
      </c>
      <c r="AR230" s="114">
        <v>1.86</v>
      </c>
      <c r="AS230" s="160">
        <v>23</v>
      </c>
      <c r="AT230" s="161">
        <v>25.7</v>
      </c>
      <c r="AU230" s="114">
        <v>37</v>
      </c>
      <c r="AV230" s="114">
        <v>141</v>
      </c>
      <c r="AZ230" s="132" t="s">
        <v>58</v>
      </c>
    </row>
    <row r="231" spans="1:52">
      <c r="A231" s="234" t="s">
        <v>690</v>
      </c>
      <c r="B231" s="234" t="s">
        <v>53</v>
      </c>
      <c r="C231" s="234">
        <v>69</v>
      </c>
      <c r="D231" s="234">
        <v>1.62</v>
      </c>
      <c r="E231" s="234">
        <v>75</v>
      </c>
      <c r="F231" s="136">
        <f t="shared" si="55"/>
        <v>28.5779606767261</v>
      </c>
      <c r="G231" s="146">
        <v>0</v>
      </c>
      <c r="H231" s="158">
        <v>44264</v>
      </c>
      <c r="I231" s="158">
        <v>44259</v>
      </c>
      <c r="J231" s="158">
        <v>44273</v>
      </c>
      <c r="L231" s="137">
        <v>2</v>
      </c>
      <c r="M231" s="138">
        <v>14</v>
      </c>
      <c r="N231" s="139" t="s">
        <v>691</v>
      </c>
      <c r="O231" s="114"/>
      <c r="P231" s="114"/>
      <c r="Q231" s="114"/>
      <c r="R231" s="114"/>
      <c r="S231" s="114">
        <v>1</v>
      </c>
      <c r="T231" s="114">
        <v>0</v>
      </c>
      <c r="U231" s="114">
        <v>0</v>
      </c>
      <c r="V231" s="114">
        <v>1</v>
      </c>
      <c r="W231" s="114">
        <v>0</v>
      </c>
      <c r="X231" s="114">
        <v>1</v>
      </c>
      <c r="Y231" s="114">
        <v>1</v>
      </c>
      <c r="Z231" s="114" t="s">
        <v>58</v>
      </c>
      <c r="AA231" s="114">
        <v>1</v>
      </c>
      <c r="AB231" s="114">
        <v>1</v>
      </c>
      <c r="AC231" s="114">
        <v>2</v>
      </c>
      <c r="AD231" s="114">
        <v>1</v>
      </c>
      <c r="AE231" s="114">
        <f t="shared" si="56"/>
        <v>6</v>
      </c>
      <c r="AF231" s="116" t="s">
        <v>59</v>
      </c>
      <c r="AG231" s="114">
        <f>AT231/17.1</f>
        <v>1.12280701754386</v>
      </c>
      <c r="AH231" s="114">
        <f>AU231/88.4</f>
        <v>0.701357466063348</v>
      </c>
      <c r="AI231" s="114">
        <f>AR231</f>
        <v>1.34</v>
      </c>
      <c r="AJ231" s="159">
        <f t="shared" si="57"/>
        <v>10.118060575379</v>
      </c>
      <c r="AK231" s="160">
        <f t="shared" si="58"/>
        <v>10.118060575379</v>
      </c>
      <c r="AL231" s="160">
        <f>AK231+1.59*(135-AM231)</f>
        <v>10.118060575379</v>
      </c>
      <c r="AM231" s="160">
        <f t="shared" si="59"/>
        <v>135</v>
      </c>
      <c r="AN231" s="114">
        <v>1</v>
      </c>
      <c r="AO231" s="114">
        <v>1</v>
      </c>
      <c r="AP231" s="114">
        <v>1.13</v>
      </c>
      <c r="AQ231" s="114">
        <v>97</v>
      </c>
      <c r="AR231" s="114">
        <v>1.34</v>
      </c>
      <c r="AS231" s="160">
        <v>35</v>
      </c>
      <c r="AT231" s="161">
        <v>19.2</v>
      </c>
      <c r="AU231" s="114">
        <v>62</v>
      </c>
      <c r="AV231" s="114">
        <v>140</v>
      </c>
      <c r="AZ231" s="119" t="s">
        <v>692</v>
      </c>
    </row>
    <row r="232" s="125" customFormat="1" spans="1:52">
      <c r="A232" s="237" t="s">
        <v>693</v>
      </c>
      <c r="B232" s="237" t="s">
        <v>53</v>
      </c>
      <c r="C232" s="237">
        <v>57</v>
      </c>
      <c r="D232" s="237">
        <v>1.6</v>
      </c>
      <c r="E232" s="237">
        <v>52.5</v>
      </c>
      <c r="F232" s="136">
        <f t="shared" si="55"/>
        <v>20.5078125</v>
      </c>
      <c r="G232" s="125">
        <v>1</v>
      </c>
      <c r="H232" s="186">
        <v>44271</v>
      </c>
      <c r="I232" s="186">
        <v>44265</v>
      </c>
      <c r="J232" s="186">
        <v>44272</v>
      </c>
      <c r="K232" s="186">
        <v>44378</v>
      </c>
      <c r="L232" s="187">
        <v>1</v>
      </c>
      <c r="M232" s="138">
        <v>7</v>
      </c>
      <c r="N232" s="188" t="s">
        <v>694</v>
      </c>
      <c r="O232" s="114"/>
      <c r="P232" s="114"/>
      <c r="Q232" s="114"/>
      <c r="R232" s="114">
        <v>1</v>
      </c>
      <c r="S232" s="114"/>
      <c r="T232" s="114">
        <v>0</v>
      </c>
      <c r="U232" s="114">
        <v>0</v>
      </c>
      <c r="V232" s="114">
        <v>1</v>
      </c>
      <c r="W232" s="114">
        <v>0</v>
      </c>
      <c r="X232" s="114">
        <v>1</v>
      </c>
      <c r="Y232" s="114">
        <v>1</v>
      </c>
      <c r="Z232" s="114" t="s">
        <v>58</v>
      </c>
      <c r="AA232" s="114">
        <v>1</v>
      </c>
      <c r="AB232" s="114">
        <v>3</v>
      </c>
      <c r="AC232" s="114">
        <v>3</v>
      </c>
      <c r="AD232" s="114">
        <v>1</v>
      </c>
      <c r="AE232" s="114">
        <f t="shared" si="56"/>
        <v>9</v>
      </c>
      <c r="AF232" s="116" t="s">
        <v>63</v>
      </c>
      <c r="AG232" s="114">
        <f>AT232/17.1</f>
        <v>8.49122807017544</v>
      </c>
      <c r="AH232" s="114">
        <f>AU232/88.4</f>
        <v>0.610859728506787</v>
      </c>
      <c r="AI232" s="114">
        <f>AR232</f>
        <v>1.13</v>
      </c>
      <c r="AJ232" s="159">
        <f t="shared" si="57"/>
        <v>9.4971653142635</v>
      </c>
      <c r="AK232" s="160">
        <f t="shared" si="58"/>
        <v>9.4971653142635</v>
      </c>
      <c r="AL232" s="160">
        <f>AK232+1.59*(135-AM232)</f>
        <v>9.4971653142635</v>
      </c>
      <c r="AM232" s="160">
        <f t="shared" si="59"/>
        <v>135</v>
      </c>
      <c r="AN232" s="114">
        <v>0</v>
      </c>
      <c r="AO232" s="114">
        <v>1</v>
      </c>
      <c r="AP232" s="114">
        <v>4.25</v>
      </c>
      <c r="AQ232" s="114">
        <v>71</v>
      </c>
      <c r="AR232" s="114">
        <v>1.13</v>
      </c>
      <c r="AS232" s="160">
        <v>24</v>
      </c>
      <c r="AT232" s="161">
        <v>145.2</v>
      </c>
      <c r="AU232" s="114">
        <v>54</v>
      </c>
      <c r="AV232" s="114">
        <v>142</v>
      </c>
      <c r="AZ232" s="131" t="s">
        <v>695</v>
      </c>
    </row>
    <row r="233" s="125" customFormat="1" spans="1:52">
      <c r="A233" s="237" t="s">
        <v>696</v>
      </c>
      <c r="B233" s="237" t="s">
        <v>48</v>
      </c>
      <c r="C233" s="237">
        <v>45</v>
      </c>
      <c r="D233" s="237">
        <v>1.76</v>
      </c>
      <c r="E233" s="237">
        <v>120</v>
      </c>
      <c r="F233" s="136">
        <f t="shared" si="55"/>
        <v>38.7396694214876</v>
      </c>
      <c r="G233" s="125">
        <v>6</v>
      </c>
      <c r="H233" s="186">
        <v>44271</v>
      </c>
      <c r="I233" s="186">
        <v>44264</v>
      </c>
      <c r="K233" s="186">
        <v>44330</v>
      </c>
      <c r="L233" s="187">
        <v>1</v>
      </c>
      <c r="M233" s="138"/>
      <c r="N233" s="188"/>
      <c r="O233" s="114"/>
      <c r="P233" s="114">
        <v>1</v>
      </c>
      <c r="Q233" s="114"/>
      <c r="R233" s="114"/>
      <c r="S233" s="114"/>
      <c r="T233" s="114">
        <v>0</v>
      </c>
      <c r="U233" s="114">
        <v>0</v>
      </c>
      <c r="V233" s="114">
        <v>0</v>
      </c>
      <c r="W233" s="114">
        <v>0</v>
      </c>
      <c r="X233" s="114">
        <v>0</v>
      </c>
      <c r="Y233" s="114">
        <v>1</v>
      </c>
      <c r="Z233" s="114" t="s">
        <v>58</v>
      </c>
      <c r="AA233" s="114">
        <v>1</v>
      </c>
      <c r="AB233" s="114">
        <v>3</v>
      </c>
      <c r="AC233" s="114">
        <v>3</v>
      </c>
      <c r="AD233" s="114">
        <v>1</v>
      </c>
      <c r="AE233" s="114">
        <f t="shared" si="56"/>
        <v>9</v>
      </c>
      <c r="AF233" s="116" t="s">
        <v>63</v>
      </c>
      <c r="AG233" s="114">
        <f>AT233/17.1</f>
        <v>18.9649122807018</v>
      </c>
      <c r="AH233" s="114">
        <f>AU233/88.4</f>
        <v>0.622171945701357</v>
      </c>
      <c r="AI233" s="114">
        <f>AR233</f>
        <v>1.65</v>
      </c>
      <c r="AJ233" s="159">
        <f t="shared" si="57"/>
        <v>16.7905273138776</v>
      </c>
      <c r="AK233" s="160">
        <f t="shared" si="58"/>
        <v>16.7905273138776</v>
      </c>
      <c r="AL233" s="160">
        <f>AK233+1.59*(135-AM233)</f>
        <v>16.7905273138776</v>
      </c>
      <c r="AM233" s="160">
        <f t="shared" si="59"/>
        <v>135</v>
      </c>
      <c r="AN233" s="114">
        <v>0</v>
      </c>
      <c r="AO233" s="114">
        <v>2</v>
      </c>
      <c r="AP233" s="114">
        <v>7.22</v>
      </c>
      <c r="AQ233" s="114">
        <v>113</v>
      </c>
      <c r="AR233" s="114">
        <v>1.65</v>
      </c>
      <c r="AS233" s="160">
        <v>25</v>
      </c>
      <c r="AT233" s="161">
        <v>324.3</v>
      </c>
      <c r="AU233" s="114">
        <v>55</v>
      </c>
      <c r="AV233" s="114">
        <v>137</v>
      </c>
      <c r="AZ233" s="131" t="s">
        <v>697</v>
      </c>
    </row>
    <row r="234" spans="1:52">
      <c r="A234" s="234" t="s">
        <v>342</v>
      </c>
      <c r="B234" s="234" t="s">
        <v>48</v>
      </c>
      <c r="C234" s="234">
        <v>59</v>
      </c>
      <c r="D234" s="234">
        <v>1.7</v>
      </c>
      <c r="E234" s="234">
        <v>47</v>
      </c>
      <c r="F234" s="136">
        <f t="shared" si="55"/>
        <v>16.2629757785467</v>
      </c>
      <c r="G234" s="146">
        <v>0</v>
      </c>
      <c r="H234" s="158">
        <v>44271</v>
      </c>
      <c r="I234" s="158">
        <v>44270</v>
      </c>
      <c r="J234" s="158">
        <v>44278</v>
      </c>
      <c r="L234" s="137">
        <v>6</v>
      </c>
      <c r="M234" s="137">
        <v>8</v>
      </c>
      <c r="N234" s="139" t="s">
        <v>698</v>
      </c>
      <c r="O234" s="114">
        <v>1</v>
      </c>
      <c r="P234" s="114"/>
      <c r="Q234" s="114"/>
      <c r="R234" s="114"/>
      <c r="S234" s="114"/>
      <c r="T234" s="114">
        <v>0</v>
      </c>
      <c r="U234" s="114">
        <v>0</v>
      </c>
      <c r="V234" s="114">
        <v>1</v>
      </c>
      <c r="W234" s="114">
        <v>0</v>
      </c>
      <c r="X234" s="114">
        <v>1</v>
      </c>
      <c r="Y234" s="114">
        <v>1</v>
      </c>
      <c r="Z234" s="114" t="s">
        <v>58</v>
      </c>
      <c r="AA234" s="114">
        <v>1</v>
      </c>
      <c r="AB234" s="114">
        <v>1</v>
      </c>
      <c r="AC234" s="114">
        <v>1</v>
      </c>
      <c r="AD234" s="114">
        <v>1</v>
      </c>
      <c r="AE234" s="114">
        <f t="shared" si="56"/>
        <v>5</v>
      </c>
      <c r="AF234" s="116" t="s">
        <v>59</v>
      </c>
      <c r="AG234" s="114">
        <f>AT234/17.1</f>
        <v>0.56140350877193</v>
      </c>
      <c r="AH234" s="114">
        <f>AU234/88.4</f>
        <v>0.83710407239819</v>
      </c>
      <c r="AI234" s="114">
        <f>AR234</f>
        <v>1.38</v>
      </c>
      <c r="AJ234" s="159">
        <f t="shared" si="57"/>
        <v>10.0073351906941</v>
      </c>
      <c r="AK234" s="160">
        <f t="shared" si="58"/>
        <v>10.0073351906941</v>
      </c>
      <c r="AL234" s="160">
        <f>AK234+1.59*(135-AM234)</f>
        <v>10.0073351906941</v>
      </c>
      <c r="AM234" s="160">
        <f t="shared" si="59"/>
        <v>135</v>
      </c>
      <c r="AN234" s="114">
        <v>1</v>
      </c>
      <c r="AO234" s="114">
        <v>1</v>
      </c>
      <c r="AP234" s="114">
        <v>1.81</v>
      </c>
      <c r="AQ234" s="114">
        <v>64</v>
      </c>
      <c r="AR234" s="114">
        <v>1.38</v>
      </c>
      <c r="AS234" s="160">
        <v>36</v>
      </c>
      <c r="AT234" s="161">
        <v>9.6</v>
      </c>
      <c r="AU234" s="114">
        <v>74</v>
      </c>
      <c r="AV234" s="114">
        <v>141</v>
      </c>
      <c r="AZ234" s="119" t="s">
        <v>699</v>
      </c>
    </row>
    <row r="235" spans="1:52">
      <c r="A235" s="234" t="s">
        <v>700</v>
      </c>
      <c r="B235" s="234" t="s">
        <v>53</v>
      </c>
      <c r="C235" s="234">
        <v>72</v>
      </c>
      <c r="D235" s="234">
        <v>1.56</v>
      </c>
      <c r="E235" s="234">
        <v>65</v>
      </c>
      <c r="F235" s="136">
        <f t="shared" si="55"/>
        <v>26.7094017094017</v>
      </c>
      <c r="G235" s="195">
        <v>3</v>
      </c>
      <c r="H235" s="158">
        <v>44271</v>
      </c>
      <c r="I235" s="158">
        <v>44267</v>
      </c>
      <c r="J235" s="158">
        <v>44273</v>
      </c>
      <c r="L235" s="137">
        <v>1</v>
      </c>
      <c r="M235" s="138">
        <v>6</v>
      </c>
      <c r="N235" s="139" t="s">
        <v>701</v>
      </c>
      <c r="O235" s="114"/>
      <c r="P235" s="114"/>
      <c r="Q235" s="114"/>
      <c r="R235" s="114">
        <v>1</v>
      </c>
      <c r="S235" s="114"/>
      <c r="T235" s="114">
        <v>1</v>
      </c>
      <c r="U235" s="114">
        <v>0</v>
      </c>
      <c r="V235" s="114">
        <v>0</v>
      </c>
      <c r="W235" s="114">
        <v>0</v>
      </c>
      <c r="X235" s="114">
        <v>0</v>
      </c>
      <c r="Y235" s="114">
        <v>1</v>
      </c>
      <c r="Z235" s="114" t="s">
        <v>300</v>
      </c>
      <c r="AA235" s="114">
        <v>2</v>
      </c>
      <c r="AB235" s="114">
        <v>1</v>
      </c>
      <c r="AC235" s="114">
        <v>2</v>
      </c>
      <c r="AD235" s="114">
        <v>1</v>
      </c>
      <c r="AE235" s="114">
        <f t="shared" si="56"/>
        <v>7</v>
      </c>
      <c r="AF235" s="116" t="s">
        <v>63</v>
      </c>
      <c r="AG235" s="114">
        <f>AT235/17.1</f>
        <v>1.09941520467836</v>
      </c>
      <c r="AH235" s="114">
        <f>AU235/88.4</f>
        <v>0.418552036199095</v>
      </c>
      <c r="AI235" s="114">
        <f>AR235</f>
        <v>1.04</v>
      </c>
      <c r="AJ235" s="159">
        <f t="shared" si="57"/>
        <v>0.79942993136045</v>
      </c>
      <c r="AK235" s="160">
        <f t="shared" si="58"/>
        <v>0.79942993136045</v>
      </c>
      <c r="AL235" s="160">
        <f>AK235+1.59*(135-AM235)</f>
        <v>0.79942993136045</v>
      </c>
      <c r="AM235" s="160">
        <f t="shared" si="59"/>
        <v>135</v>
      </c>
      <c r="AN235" s="114">
        <v>0</v>
      </c>
      <c r="AO235" s="114">
        <v>1</v>
      </c>
      <c r="AP235" s="114">
        <v>7.14</v>
      </c>
      <c r="AQ235" s="114">
        <v>127</v>
      </c>
      <c r="AR235" s="114">
        <v>1.04</v>
      </c>
      <c r="AS235" s="160">
        <v>34</v>
      </c>
      <c r="AT235" s="161">
        <v>18.8</v>
      </c>
      <c r="AU235" s="114">
        <v>37</v>
      </c>
      <c r="AV235" s="114">
        <v>136</v>
      </c>
      <c r="AZ235" s="119" t="s">
        <v>702</v>
      </c>
    </row>
    <row r="236" spans="1:52">
      <c r="A236" s="234" t="s">
        <v>703</v>
      </c>
      <c r="B236" s="234" t="s">
        <v>53</v>
      </c>
      <c r="C236" s="234">
        <v>68</v>
      </c>
      <c r="D236" s="234">
        <v>1.66</v>
      </c>
      <c r="E236" s="234">
        <v>78</v>
      </c>
      <c r="F236" s="136">
        <f t="shared" si="55"/>
        <v>28.3059950645957</v>
      </c>
      <c r="G236" s="146">
        <v>0</v>
      </c>
      <c r="H236" s="158">
        <v>44271</v>
      </c>
      <c r="I236" s="158">
        <v>44265</v>
      </c>
      <c r="J236" s="158">
        <v>44275</v>
      </c>
      <c r="L236" s="137">
        <v>1</v>
      </c>
      <c r="M236" s="137">
        <v>10</v>
      </c>
      <c r="N236" s="139" t="s">
        <v>704</v>
      </c>
      <c r="O236" s="114">
        <v>1</v>
      </c>
      <c r="P236" s="114"/>
      <c r="Q236" s="114"/>
      <c r="R236" s="114"/>
      <c r="S236" s="114"/>
      <c r="T236" s="114">
        <v>0</v>
      </c>
      <c r="U236" s="114">
        <v>0</v>
      </c>
      <c r="V236" s="114">
        <v>0</v>
      </c>
      <c r="W236" s="114">
        <v>0</v>
      </c>
      <c r="X236" s="114">
        <v>1</v>
      </c>
      <c r="Y236" s="114">
        <v>1</v>
      </c>
      <c r="Z236" s="114" t="s">
        <v>58</v>
      </c>
      <c r="AA236" s="114">
        <v>1</v>
      </c>
      <c r="AB236" s="114">
        <v>1</v>
      </c>
      <c r="AC236" s="114">
        <v>1</v>
      </c>
      <c r="AD236" s="114">
        <v>1</v>
      </c>
      <c r="AE236" s="114">
        <f t="shared" si="56"/>
        <v>5</v>
      </c>
      <c r="AF236" s="116" t="s">
        <v>59</v>
      </c>
      <c r="AG236" s="114">
        <f>AT236/17.1</f>
        <v>1.12865497076023</v>
      </c>
      <c r="AH236" s="114">
        <f>AU236/88.4</f>
        <v>0.565610859728507</v>
      </c>
      <c r="AI236" s="114">
        <f>AR236</f>
        <v>1.15</v>
      </c>
      <c r="AJ236" s="159">
        <f t="shared" si="57"/>
        <v>8.42523495773023</v>
      </c>
      <c r="AK236" s="160">
        <f t="shared" si="58"/>
        <v>8.42523495773023</v>
      </c>
      <c r="AL236" s="160">
        <f>AK236+1.59*(135-AM236)</f>
        <v>8.42523495773023</v>
      </c>
      <c r="AM236" s="160">
        <f t="shared" si="59"/>
        <v>135</v>
      </c>
      <c r="AN236" s="114">
        <v>1</v>
      </c>
      <c r="AO236" s="114">
        <v>1</v>
      </c>
      <c r="AP236" s="114">
        <v>3.53</v>
      </c>
      <c r="AQ236" s="114">
        <v>125</v>
      </c>
      <c r="AR236" s="114">
        <v>1.15</v>
      </c>
      <c r="AS236" s="160">
        <v>36</v>
      </c>
      <c r="AT236" s="161">
        <v>19.3</v>
      </c>
      <c r="AU236" s="114">
        <v>50</v>
      </c>
      <c r="AV236" s="114">
        <v>142</v>
      </c>
      <c r="AZ236" s="119" t="s">
        <v>705</v>
      </c>
    </row>
    <row r="237" spans="1:52">
      <c r="A237" s="234" t="s">
        <v>706</v>
      </c>
      <c r="B237" s="234" t="s">
        <v>53</v>
      </c>
      <c r="C237" s="234">
        <v>48</v>
      </c>
      <c r="D237" s="234">
        <v>1.62</v>
      </c>
      <c r="E237" s="234">
        <v>70</v>
      </c>
      <c r="F237" s="136">
        <f>E237/(D237*D237)</f>
        <v>26.6727632982777</v>
      </c>
      <c r="G237" s="146">
        <v>0</v>
      </c>
      <c r="H237" s="158">
        <v>44280</v>
      </c>
      <c r="I237" s="158">
        <v>44277</v>
      </c>
      <c r="J237" s="158">
        <v>44282</v>
      </c>
      <c r="L237" s="137">
        <v>1</v>
      </c>
      <c r="M237" s="137">
        <v>5</v>
      </c>
      <c r="N237" s="139" t="s">
        <v>707</v>
      </c>
      <c r="O237" s="114"/>
      <c r="P237" s="114"/>
      <c r="Q237" s="114"/>
      <c r="R237" s="114">
        <v>1</v>
      </c>
      <c r="S237" s="114"/>
      <c r="T237" s="114">
        <v>0</v>
      </c>
      <c r="U237" s="114">
        <v>0</v>
      </c>
      <c r="V237" s="114">
        <v>0</v>
      </c>
      <c r="W237" s="114">
        <v>0</v>
      </c>
      <c r="X237" s="114">
        <v>0</v>
      </c>
      <c r="Y237" s="114">
        <v>1</v>
      </c>
      <c r="Z237" s="114" t="s">
        <v>58</v>
      </c>
      <c r="AA237" s="114">
        <v>1</v>
      </c>
      <c r="AB237" s="114">
        <v>1</v>
      </c>
      <c r="AC237" s="114">
        <v>2</v>
      </c>
      <c r="AD237" s="114">
        <v>1</v>
      </c>
      <c r="AE237" s="114">
        <f>Y237+AA237+AB237+AC237+AD237</f>
        <v>6</v>
      </c>
      <c r="AF237" s="116" t="s">
        <v>59</v>
      </c>
      <c r="AG237" s="114">
        <f>AT237/17.1</f>
        <v>0.970760233918129</v>
      </c>
      <c r="AH237" s="114">
        <f>AU237/88.4</f>
        <v>0.486425339366516</v>
      </c>
      <c r="AI237" s="114">
        <f>AR237</f>
        <v>1.15</v>
      </c>
      <c r="AJ237" s="159">
        <f>LN(IF(AG237&gt;=1,AG237,1))*3.8+LN(IF(AH237&gt;=1,AH237,1))*9.6+11.2*LN(IF(AI237&gt;=1,AI237,1))+6.4*AN237</f>
        <v>1.56533375460178</v>
      </c>
      <c r="AK237" s="160">
        <f>IF(AND(AG237&gt;0,AH237&gt;0,AI237&gt;0),AJ237,"")</f>
        <v>1.56533375460178</v>
      </c>
      <c r="AL237" s="160">
        <f>AK237+1.59*(135-AM237)</f>
        <v>1.56533375460178</v>
      </c>
      <c r="AM237" s="160">
        <f>IF(AV237&gt;135,135,IF(AV237&lt;120,120,AV237))</f>
        <v>135</v>
      </c>
      <c r="AN237" s="114">
        <v>0</v>
      </c>
      <c r="AO237" s="114">
        <v>1</v>
      </c>
      <c r="AP237" s="114">
        <v>2.67</v>
      </c>
      <c r="AQ237" s="114">
        <v>97</v>
      </c>
      <c r="AR237" s="114">
        <v>1.15</v>
      </c>
      <c r="AS237" s="160">
        <v>33</v>
      </c>
      <c r="AT237" s="161">
        <v>16.6</v>
      </c>
      <c r="AU237" s="114">
        <v>43</v>
      </c>
      <c r="AV237" s="114">
        <v>139</v>
      </c>
      <c r="AZ237" s="119" t="s">
        <v>708</v>
      </c>
    </row>
    <row r="238" s="125" customFormat="1" spans="1:52">
      <c r="A238" s="237" t="s">
        <v>709</v>
      </c>
      <c r="B238" s="237" t="s">
        <v>48</v>
      </c>
      <c r="C238" s="237">
        <v>68</v>
      </c>
      <c r="D238" s="237">
        <v>1.6</v>
      </c>
      <c r="E238" s="237">
        <v>73</v>
      </c>
      <c r="F238" s="136">
        <f>E238/(D238*D238)</f>
        <v>28.515625</v>
      </c>
      <c r="G238" s="125">
        <v>1</v>
      </c>
      <c r="H238" s="186">
        <v>44280</v>
      </c>
      <c r="I238" s="186">
        <v>44275</v>
      </c>
      <c r="J238" s="186">
        <v>44289</v>
      </c>
      <c r="K238" s="186">
        <v>44450</v>
      </c>
      <c r="L238" s="187">
        <v>1</v>
      </c>
      <c r="M238" s="187">
        <v>14</v>
      </c>
      <c r="N238" s="188" t="s">
        <v>710</v>
      </c>
      <c r="O238" s="114"/>
      <c r="P238" s="114">
        <v>1</v>
      </c>
      <c r="Q238" s="114"/>
      <c r="R238" s="114"/>
      <c r="S238" s="114"/>
      <c r="T238" s="114">
        <v>0</v>
      </c>
      <c r="U238" s="114">
        <v>0</v>
      </c>
      <c r="V238" s="114">
        <v>0</v>
      </c>
      <c r="W238" s="114">
        <v>1</v>
      </c>
      <c r="X238" s="114">
        <v>0</v>
      </c>
      <c r="Y238" s="114">
        <v>1</v>
      </c>
      <c r="Z238" s="114" t="s">
        <v>58</v>
      </c>
      <c r="AA238" s="114">
        <v>1</v>
      </c>
      <c r="AB238" s="114">
        <v>3</v>
      </c>
      <c r="AC238" s="114">
        <v>3</v>
      </c>
      <c r="AD238" s="114">
        <v>1</v>
      </c>
      <c r="AE238" s="114">
        <f>Y238+AA238+AB238+AC238+AD238</f>
        <v>9</v>
      </c>
      <c r="AF238" s="116" t="s">
        <v>63</v>
      </c>
      <c r="AG238" s="114">
        <f>AT238/17.1</f>
        <v>5.46783625730994</v>
      </c>
      <c r="AH238" s="114">
        <f>AU238/88.4</f>
        <v>0.723981900452489</v>
      </c>
      <c r="AI238" s="114">
        <f>AR238</f>
        <v>1.13</v>
      </c>
      <c r="AJ238" s="159">
        <f>LN(IF(AG238&gt;=1,AG238,1))*3.8+LN(IF(AH238&gt;=1,AH238,1))*9.6+11.2*LN(IF(AI238&gt;=1,AI238,1))+6.4*AN238</f>
        <v>7.82459278309849</v>
      </c>
      <c r="AK238" s="160">
        <f>IF(AND(AG238&gt;0,AH238&gt;0,AI238&gt;0),AJ238,"")</f>
        <v>7.82459278309849</v>
      </c>
      <c r="AL238" s="160">
        <f>AK238+1.59*(135-AM238)</f>
        <v>14.1845927830985</v>
      </c>
      <c r="AM238" s="160">
        <f>IF(AV238&gt;135,135,IF(AV238&lt;120,120,AV238))</f>
        <v>131</v>
      </c>
      <c r="AN238" s="114">
        <v>0</v>
      </c>
      <c r="AO238" s="114">
        <v>1</v>
      </c>
      <c r="AP238" s="114">
        <v>11.33</v>
      </c>
      <c r="AQ238" s="114">
        <v>129</v>
      </c>
      <c r="AR238" s="114">
        <v>1.13</v>
      </c>
      <c r="AS238" s="160">
        <v>25</v>
      </c>
      <c r="AT238" s="161">
        <v>93.5</v>
      </c>
      <c r="AU238" s="114">
        <v>64</v>
      </c>
      <c r="AV238" s="114">
        <v>131</v>
      </c>
      <c r="AZ238" s="131" t="s">
        <v>711</v>
      </c>
    </row>
    <row r="239" s="125" customFormat="1" spans="1:52">
      <c r="A239" s="237" t="s">
        <v>712</v>
      </c>
      <c r="B239" s="237" t="s">
        <v>53</v>
      </c>
      <c r="C239" s="237">
        <v>76</v>
      </c>
      <c r="D239" s="185">
        <v>1.6</v>
      </c>
      <c r="E239" s="237">
        <v>46</v>
      </c>
      <c r="F239" s="216">
        <f>E239/(D239*D239)</f>
        <v>17.96875</v>
      </c>
      <c r="G239" s="125">
        <v>2</v>
      </c>
      <c r="H239" s="125"/>
      <c r="I239" s="186">
        <v>44305</v>
      </c>
      <c r="J239" s="186">
        <v>44320</v>
      </c>
      <c r="K239" s="125"/>
      <c r="L239" s="187">
        <v>8</v>
      </c>
      <c r="M239" s="187">
        <v>15</v>
      </c>
      <c r="N239" s="188" t="s">
        <v>713</v>
      </c>
      <c r="O239" s="125"/>
      <c r="P239" s="125"/>
      <c r="Q239" s="125"/>
      <c r="R239" s="125"/>
      <c r="S239" s="125">
        <v>1</v>
      </c>
      <c r="T239" s="125">
        <v>0</v>
      </c>
      <c r="U239" s="125">
        <v>0</v>
      </c>
      <c r="V239" s="125">
        <v>1</v>
      </c>
      <c r="W239" s="125">
        <v>0</v>
      </c>
      <c r="X239" s="125">
        <v>1</v>
      </c>
      <c r="Y239" s="125">
        <v>1</v>
      </c>
      <c r="Z239" s="125" t="s">
        <v>58</v>
      </c>
      <c r="AA239" s="125">
        <v>1</v>
      </c>
      <c r="AB239" s="125">
        <v>1</v>
      </c>
      <c r="AC239" s="125">
        <v>2</v>
      </c>
      <c r="AD239" s="125">
        <v>2</v>
      </c>
      <c r="AE239" s="125">
        <f t="shared" ref="AE239:AE254" si="60">Y239+AA239+AB239+AC239+AD239</f>
        <v>7</v>
      </c>
      <c r="AF239" s="131" t="s">
        <v>63</v>
      </c>
      <c r="AG239" s="125">
        <f t="shared" ref="AG239:AG249" si="61">AT239/17.1</f>
        <v>1.39181286549708</v>
      </c>
      <c r="AH239" s="125">
        <f>AU239/88.4</f>
        <v>0.429864253393665</v>
      </c>
      <c r="AI239" s="125">
        <f>AR239</f>
        <v>1.93</v>
      </c>
      <c r="AJ239" s="240">
        <f>LN(IF(AG239&gt;=1,AG239,1))*3.8+LN(IF(AH239&gt;=1,AH239,1))*9.6+11.2*LN(IF(AI239&gt;=1,AI239,1))+6.4*AN239</f>
        <v>15.0205310779096</v>
      </c>
      <c r="AK239" s="241">
        <f>IF(AND(AG239&gt;0,AH239&gt;0,AI239&gt;0),AJ239,"")</f>
        <v>15.0205310779096</v>
      </c>
      <c r="AL239" s="241">
        <f>AK239+1.59*(135-AM239)</f>
        <v>15.0205310779096</v>
      </c>
      <c r="AM239" s="241">
        <f>IF(AV239&gt;135,135,IF(AV239&lt;120,120,AV239))</f>
        <v>135</v>
      </c>
      <c r="AN239" s="125">
        <v>1</v>
      </c>
      <c r="AO239" s="125">
        <v>2</v>
      </c>
      <c r="AP239" s="125">
        <v>1.98</v>
      </c>
      <c r="AQ239" s="125">
        <v>100</v>
      </c>
      <c r="AR239" s="125">
        <v>1.93</v>
      </c>
      <c r="AS239" s="241">
        <v>30</v>
      </c>
      <c r="AT239" s="242">
        <v>23.8</v>
      </c>
      <c r="AU239" s="125">
        <v>38</v>
      </c>
      <c r="AV239" s="125">
        <v>143</v>
      </c>
      <c r="AW239" s="125"/>
      <c r="AX239" s="125"/>
      <c r="AY239" s="125"/>
      <c r="AZ239" s="131" t="s">
        <v>714</v>
      </c>
    </row>
    <row r="240" s="125" customFormat="1" spans="1:52">
      <c r="A240" s="237" t="s">
        <v>715</v>
      </c>
      <c r="B240" s="237" t="s">
        <v>53</v>
      </c>
      <c r="C240" s="237">
        <v>87</v>
      </c>
      <c r="D240" s="185">
        <v>1.56</v>
      </c>
      <c r="E240" s="237">
        <v>44</v>
      </c>
      <c r="F240" s="136">
        <f>E240/(D240*D240)</f>
        <v>18.0802103879027</v>
      </c>
      <c r="G240" s="125">
        <v>5</v>
      </c>
      <c r="I240" s="186">
        <v>44305</v>
      </c>
      <c r="J240" s="186">
        <v>44317</v>
      </c>
      <c r="K240" s="186">
        <v>44470</v>
      </c>
      <c r="L240" s="187">
        <v>1</v>
      </c>
      <c r="M240" s="138">
        <v>12</v>
      </c>
      <c r="N240" s="188" t="s">
        <v>716</v>
      </c>
      <c r="O240" s="114"/>
      <c r="P240" s="114"/>
      <c r="Q240" s="114">
        <v>1</v>
      </c>
      <c r="R240" s="114"/>
      <c r="S240" s="114"/>
      <c r="T240" s="114">
        <v>1</v>
      </c>
      <c r="U240" s="114">
        <v>1</v>
      </c>
      <c r="V240" s="114">
        <v>0</v>
      </c>
      <c r="W240" s="114">
        <v>0</v>
      </c>
      <c r="X240" s="114">
        <v>0</v>
      </c>
      <c r="Y240" s="114">
        <v>3</v>
      </c>
      <c r="Z240" s="114" t="s">
        <v>321</v>
      </c>
      <c r="AA240" s="114">
        <v>3</v>
      </c>
      <c r="AB240" s="114">
        <v>2</v>
      </c>
      <c r="AC240" s="114">
        <v>3</v>
      </c>
      <c r="AD240" s="114">
        <v>1</v>
      </c>
      <c r="AE240" s="114">
        <f t="shared" si="60"/>
        <v>12</v>
      </c>
      <c r="AF240" s="116" t="s">
        <v>50</v>
      </c>
      <c r="AG240" s="114">
        <f t="shared" si="61"/>
        <v>2.88888888888889</v>
      </c>
      <c r="AH240" s="114">
        <f>AU240/88.4</f>
        <v>0</v>
      </c>
      <c r="AI240" s="114">
        <f>AR240</f>
        <v>1.3</v>
      </c>
      <c r="AJ240" s="159">
        <f>LN(IF(AG240&gt;=1,AG240,1))*3.8+LN(IF(AH240&gt;=1,AH240,1))*9.6+11.2*LN(IF(AI240&gt;=1,AI240,1))+6.4*AN240</f>
        <v>13.3697932126399</v>
      </c>
      <c r="AK240" s="160" t="str">
        <f>IF(AND(AG240&gt;0,AH240&gt;0,AI240&gt;0),AJ240,"")</f>
        <v/>
      </c>
      <c r="AL240" s="160"/>
      <c r="AM240" s="160">
        <f>IF(AV240&gt;135,135,IF(AV240&lt;120,120,AV240))</f>
        <v>132</v>
      </c>
      <c r="AN240" s="114">
        <v>1</v>
      </c>
      <c r="AO240" s="114"/>
      <c r="AP240" s="114">
        <v>11.15</v>
      </c>
      <c r="AQ240" s="114">
        <v>96</v>
      </c>
      <c r="AR240" s="114">
        <v>1.3</v>
      </c>
      <c r="AS240" s="160">
        <v>24</v>
      </c>
      <c r="AT240" s="161">
        <v>49.4</v>
      </c>
      <c r="AU240" s="114"/>
      <c r="AV240" s="114">
        <v>132</v>
      </c>
      <c r="AZ240" s="131" t="s">
        <v>717</v>
      </c>
    </row>
    <row r="241" spans="1:52">
      <c r="A241" s="117" t="s">
        <v>718</v>
      </c>
      <c r="B241" s="234" t="s">
        <v>53</v>
      </c>
      <c r="C241" s="234">
        <v>61</v>
      </c>
      <c r="D241" s="135">
        <v>1.55</v>
      </c>
      <c r="E241" s="234">
        <v>65</v>
      </c>
      <c r="F241" s="136">
        <f>E241/(D241*D241)</f>
        <v>27.0551508844953</v>
      </c>
      <c r="G241" s="117">
        <v>0</v>
      </c>
      <c r="I241" s="158">
        <v>44302</v>
      </c>
      <c r="J241" s="158">
        <v>44316</v>
      </c>
      <c r="L241" s="137">
        <v>1</v>
      </c>
      <c r="M241" s="137">
        <v>14</v>
      </c>
      <c r="N241" s="139" t="s">
        <v>719</v>
      </c>
      <c r="O241" s="114"/>
      <c r="P241" s="114"/>
      <c r="Q241" s="114">
        <v>1</v>
      </c>
      <c r="R241" s="114"/>
      <c r="S241" s="114"/>
      <c r="T241" s="114">
        <v>1</v>
      </c>
      <c r="U241" s="114">
        <v>0</v>
      </c>
      <c r="V241" s="114">
        <v>1</v>
      </c>
      <c r="W241" s="114">
        <v>0</v>
      </c>
      <c r="X241" s="114">
        <v>1</v>
      </c>
      <c r="Y241" s="114">
        <v>1</v>
      </c>
      <c r="Z241" s="114" t="s">
        <v>300</v>
      </c>
      <c r="AA241" s="114">
        <v>2</v>
      </c>
      <c r="AB241" s="114">
        <v>1</v>
      </c>
      <c r="AC241" s="114">
        <v>2</v>
      </c>
      <c r="AD241" s="114">
        <v>1</v>
      </c>
      <c r="AE241" s="114">
        <f t="shared" si="60"/>
        <v>7</v>
      </c>
      <c r="AF241" s="116" t="s">
        <v>63</v>
      </c>
      <c r="AG241" s="114">
        <f t="shared" si="61"/>
        <v>0.935672514619883</v>
      </c>
      <c r="AH241" s="114">
        <f>AU241/88.4</f>
        <v>0.452488687782805</v>
      </c>
      <c r="AI241" s="114">
        <f>AR241</f>
        <v>1.22</v>
      </c>
      <c r="AJ241" s="159">
        <f>LN(IF(AG241&gt;=1,AG241,1))*3.8+LN(IF(AH241&gt;=1,AH241,1))*9.6+11.2*LN(IF(AI241&gt;=1,AI241,1))+6.4*AN241</f>
        <v>8.62712961794585</v>
      </c>
      <c r="AK241" s="160">
        <f>IF(AND(AG241&gt;0,AH241&gt;0,AI241&gt;0),AJ241,"")</f>
        <v>8.62712961794585</v>
      </c>
      <c r="AL241" s="160">
        <f>AK241+1.59*(135-AM241)</f>
        <v>8.62712961794585</v>
      </c>
      <c r="AM241" s="160">
        <f>IF(AV241&gt;135,135,IF(AV241&lt;120,120,AV241))</f>
        <v>135</v>
      </c>
      <c r="AN241" s="114">
        <v>1</v>
      </c>
      <c r="AO241" s="114">
        <v>1</v>
      </c>
      <c r="AP241" s="114">
        <v>2.99</v>
      </c>
      <c r="AQ241" s="114">
        <v>79</v>
      </c>
      <c r="AR241" s="114">
        <v>1.22</v>
      </c>
      <c r="AS241" s="160">
        <v>31</v>
      </c>
      <c r="AT241" s="161">
        <v>16</v>
      </c>
      <c r="AU241" s="114">
        <v>40</v>
      </c>
      <c r="AV241" s="114">
        <v>141</v>
      </c>
      <c r="AZ241" s="119" t="s">
        <v>720</v>
      </c>
    </row>
    <row r="242" spans="1:52">
      <c r="A242" s="117" t="s">
        <v>721</v>
      </c>
      <c r="B242" s="234" t="s">
        <v>53</v>
      </c>
      <c r="C242" s="234">
        <v>40</v>
      </c>
      <c r="D242" s="135">
        <v>1.62</v>
      </c>
      <c r="E242" s="234">
        <v>58</v>
      </c>
      <c r="F242" s="136">
        <f>E242/(D242*D242)</f>
        <v>22.1002895900015</v>
      </c>
      <c r="G242" s="117">
        <v>0</v>
      </c>
      <c r="I242" s="158">
        <v>44299</v>
      </c>
      <c r="J242" s="158">
        <v>44316</v>
      </c>
      <c r="L242" s="137">
        <v>4</v>
      </c>
      <c r="M242" s="137">
        <v>17</v>
      </c>
      <c r="N242" s="139" t="s">
        <v>722</v>
      </c>
      <c r="O242" s="114">
        <v>1</v>
      </c>
      <c r="P242" s="114"/>
      <c r="Q242" s="114"/>
      <c r="R242" s="114"/>
      <c r="S242" s="114"/>
      <c r="T242" s="114">
        <v>1</v>
      </c>
      <c r="U242" s="114">
        <v>0</v>
      </c>
      <c r="V242" s="114">
        <v>1</v>
      </c>
      <c r="W242" s="114">
        <v>1</v>
      </c>
      <c r="X242" s="114">
        <v>1</v>
      </c>
      <c r="Y242" s="114">
        <v>1</v>
      </c>
      <c r="Z242" s="114" t="s">
        <v>300</v>
      </c>
      <c r="AA242" s="114">
        <v>2</v>
      </c>
      <c r="AB242" s="114">
        <v>1</v>
      </c>
      <c r="AC242" s="114">
        <v>2</v>
      </c>
      <c r="AD242" s="114">
        <v>1</v>
      </c>
      <c r="AE242" s="114">
        <f t="shared" si="60"/>
        <v>7</v>
      </c>
      <c r="AF242" s="116" t="s">
        <v>63</v>
      </c>
      <c r="AG242" s="114">
        <f t="shared" si="61"/>
        <v>0.204678362573099</v>
      </c>
      <c r="AH242" s="114">
        <f>AU242/88.4</f>
        <v>0.497737556561086</v>
      </c>
      <c r="AI242" s="114">
        <f>AR242</f>
        <v>1.22</v>
      </c>
      <c r="AJ242" s="159">
        <f>LN(IF(AG242&gt;=1,AG242,1))*3.8+LN(IF(AH242&gt;=1,AH242,1))*9.6+11.2*LN(IF(AI242&gt;=1,AI242,1))+6.4*AN242</f>
        <v>8.62712961794585</v>
      </c>
      <c r="AK242" s="160">
        <f>IF(AND(AG242&gt;0,AH242&gt;0,AI242&gt;0),AJ242,"")</f>
        <v>8.62712961794585</v>
      </c>
      <c r="AL242" s="160">
        <f>AK242+1.59*(135-AM242)</f>
        <v>8.62712961794585</v>
      </c>
      <c r="AM242" s="160">
        <f>IF(AV242&gt;135,135,IF(AV242&lt;120,120,AV242))</f>
        <v>135</v>
      </c>
      <c r="AN242" s="114">
        <v>1</v>
      </c>
      <c r="AO242" s="114">
        <v>1</v>
      </c>
      <c r="AP242" s="114">
        <v>17.36</v>
      </c>
      <c r="AQ242" s="114">
        <v>94</v>
      </c>
      <c r="AR242" s="114">
        <v>1.22</v>
      </c>
      <c r="AS242" s="160">
        <v>30</v>
      </c>
      <c r="AT242" s="161">
        <v>3.5</v>
      </c>
      <c r="AU242" s="114">
        <v>44</v>
      </c>
      <c r="AV242" s="114">
        <v>139</v>
      </c>
      <c r="AZ242" s="119" t="s">
        <v>723</v>
      </c>
    </row>
    <row r="243" spans="1:52">
      <c r="A243" s="117" t="s">
        <v>153</v>
      </c>
      <c r="B243" s="234" t="s">
        <v>48</v>
      </c>
      <c r="C243" s="234">
        <v>64</v>
      </c>
      <c r="D243" s="135">
        <v>1.65</v>
      </c>
      <c r="E243" s="234">
        <v>60</v>
      </c>
      <c r="F243" s="136">
        <f>E243/(D243*D243)</f>
        <v>22.038567493113</v>
      </c>
      <c r="G243" s="117">
        <v>6</v>
      </c>
      <c r="I243" s="158">
        <v>44297</v>
      </c>
      <c r="J243" s="158">
        <v>44310</v>
      </c>
      <c r="L243" s="137">
        <v>5</v>
      </c>
      <c r="M243" s="137">
        <v>13</v>
      </c>
      <c r="N243" s="139" t="s">
        <v>724</v>
      </c>
      <c r="O243" s="114"/>
      <c r="P243" s="114">
        <v>1</v>
      </c>
      <c r="Q243" s="114"/>
      <c r="R243" s="114"/>
      <c r="S243" s="114"/>
      <c r="T243" s="114">
        <v>1</v>
      </c>
      <c r="U243" s="114">
        <v>0</v>
      </c>
      <c r="V243" s="114">
        <v>1</v>
      </c>
      <c r="W243" s="114">
        <v>0</v>
      </c>
      <c r="X243" s="114">
        <v>1</v>
      </c>
      <c r="Y243" s="114">
        <v>1</v>
      </c>
      <c r="Z243" s="114" t="s">
        <v>300</v>
      </c>
      <c r="AA243" s="114">
        <v>2</v>
      </c>
      <c r="AB243" s="114">
        <v>1</v>
      </c>
      <c r="AC243" s="114">
        <v>2</v>
      </c>
      <c r="AD243" s="114">
        <v>1</v>
      </c>
      <c r="AE243" s="114">
        <f t="shared" si="60"/>
        <v>7</v>
      </c>
      <c r="AF243" s="116" t="s">
        <v>63</v>
      </c>
      <c r="AG243" s="114">
        <f t="shared" si="61"/>
        <v>0.83625730994152</v>
      </c>
      <c r="AH243" s="114">
        <f>AU243/88.4</f>
        <v>0.82579185520362</v>
      </c>
      <c r="AI243" s="114">
        <f>AR243</f>
        <v>1.43</v>
      </c>
      <c r="AJ243" s="159">
        <f>LN(IF(AG243&gt;=1,AG243,1))*3.8+LN(IF(AH243&gt;=1,AH243,1))*9.6+11.2*LN(IF(AI243&gt;=1,AI243,1))+6.4*AN243</f>
        <v>4.00595377584434</v>
      </c>
      <c r="AK243" s="160">
        <f>IF(AND(AG243&gt;0,AH243&gt;0,AI243&gt;0),AJ243,"")</f>
        <v>4.00595377584434</v>
      </c>
      <c r="AL243" s="160">
        <f>AK243+1.59*(135-AM243)</f>
        <v>7.18595377584434</v>
      </c>
      <c r="AM243" s="160">
        <f>IF(AV243&gt;135,135,IF(AV243&lt;120,120,AV243))</f>
        <v>133</v>
      </c>
      <c r="AN243" s="114">
        <v>0</v>
      </c>
      <c r="AO243" s="114">
        <v>1</v>
      </c>
      <c r="AP243" s="114">
        <v>1.08</v>
      </c>
      <c r="AQ243" s="114">
        <v>49</v>
      </c>
      <c r="AR243" s="114">
        <v>1.43</v>
      </c>
      <c r="AS243" s="160">
        <v>31</v>
      </c>
      <c r="AT243" s="161">
        <v>14.3</v>
      </c>
      <c r="AU243" s="114">
        <v>73</v>
      </c>
      <c r="AV243" s="114">
        <v>133</v>
      </c>
      <c r="AZ243" s="119" t="s">
        <v>725</v>
      </c>
    </row>
    <row r="244" s="129" customFormat="1" spans="1:52">
      <c r="A244" s="129" t="s">
        <v>726</v>
      </c>
      <c r="B244" s="235" t="s">
        <v>53</v>
      </c>
      <c r="C244" s="235">
        <v>71</v>
      </c>
      <c r="D244" s="217">
        <v>1.51</v>
      </c>
      <c r="E244" s="235">
        <v>47</v>
      </c>
      <c r="F244" s="218">
        <f>E244/(D244*D244)</f>
        <v>20.6131310030262</v>
      </c>
      <c r="G244" s="129">
        <v>1</v>
      </c>
      <c r="I244" s="219">
        <v>44295</v>
      </c>
      <c r="J244" s="219">
        <v>44312</v>
      </c>
      <c r="L244" s="220">
        <v>8</v>
      </c>
      <c r="M244" s="220">
        <v>17</v>
      </c>
      <c r="N244" s="221" t="s">
        <v>727</v>
      </c>
      <c r="O244" s="114"/>
      <c r="P244" s="114"/>
      <c r="Q244" s="114">
        <v>1</v>
      </c>
      <c r="R244" s="114"/>
      <c r="S244" s="114"/>
      <c r="T244" s="114">
        <v>1</v>
      </c>
      <c r="U244" s="114">
        <v>0</v>
      </c>
      <c r="V244" s="114">
        <v>1</v>
      </c>
      <c r="W244" s="114">
        <v>0</v>
      </c>
      <c r="X244" s="114">
        <v>0</v>
      </c>
      <c r="Y244" s="114">
        <v>1</v>
      </c>
      <c r="Z244" s="114" t="s">
        <v>300</v>
      </c>
      <c r="AA244" s="114">
        <v>2</v>
      </c>
      <c r="AB244" s="114">
        <v>2</v>
      </c>
      <c r="AC244" s="114">
        <v>3</v>
      </c>
      <c r="AD244" s="114">
        <v>1</v>
      </c>
      <c r="AE244" s="114">
        <f t="shared" si="60"/>
        <v>9</v>
      </c>
      <c r="AF244" s="116" t="s">
        <v>63</v>
      </c>
      <c r="AG244" s="114">
        <f t="shared" si="61"/>
        <v>2.33918128654971</v>
      </c>
      <c r="AH244" s="114">
        <f>AU244/88.4</f>
        <v>0.610859728506787</v>
      </c>
      <c r="AI244" s="114">
        <f>AR244</f>
        <v>1.35</v>
      </c>
      <c r="AJ244" s="159">
        <f>LN(IF(AG244&gt;=1,AG244,1))*3.8+LN(IF(AH244&gt;=1,AH244,1))*9.6+11.2*LN(IF(AI244&gt;=1,AI244,1))+6.4*AN244</f>
        <v>12.990415199744</v>
      </c>
      <c r="AK244" s="160">
        <f>IF(AND(AG244&gt;0,AH244&gt;0,AI244&gt;0),AJ244,"")</f>
        <v>12.990415199744</v>
      </c>
      <c r="AL244" s="160">
        <f>AK244+1.59*(135-AM244)</f>
        <v>12.990415199744</v>
      </c>
      <c r="AM244" s="160">
        <f>IF(AV244&gt;135,135,IF(AV244&lt;120,120,AV244))</f>
        <v>135</v>
      </c>
      <c r="AN244" s="114">
        <v>1</v>
      </c>
      <c r="AO244" s="114">
        <v>1</v>
      </c>
      <c r="AP244" s="114">
        <v>4.61</v>
      </c>
      <c r="AQ244" s="114">
        <v>1</v>
      </c>
      <c r="AR244" s="114">
        <v>1.35</v>
      </c>
      <c r="AS244" s="160">
        <v>21</v>
      </c>
      <c r="AT244" s="161">
        <v>40</v>
      </c>
      <c r="AU244" s="114">
        <v>54</v>
      </c>
      <c r="AV244" s="114">
        <v>141</v>
      </c>
      <c r="AZ244" s="222" t="s">
        <v>728</v>
      </c>
    </row>
    <row r="245" s="114" customFormat="1" spans="1:52">
      <c r="A245" s="114" t="s">
        <v>729</v>
      </c>
      <c r="B245" s="236" t="s">
        <v>53</v>
      </c>
      <c r="C245" s="236">
        <v>67</v>
      </c>
      <c r="D245" s="211">
        <v>1.6</v>
      </c>
      <c r="E245" s="236">
        <v>70</v>
      </c>
      <c r="F245" s="136">
        <v>27.34375</v>
      </c>
      <c r="G245" s="114">
        <v>0</v>
      </c>
      <c r="I245" s="210">
        <v>44300</v>
      </c>
      <c r="J245" s="210">
        <v>44305</v>
      </c>
      <c r="L245" s="138">
        <v>1</v>
      </c>
      <c r="M245" s="138">
        <v>5</v>
      </c>
      <c r="N245" s="213" t="s">
        <v>730</v>
      </c>
      <c r="Q245" s="114">
        <v>1</v>
      </c>
      <c r="T245" s="114">
        <v>0</v>
      </c>
      <c r="U245" s="114">
        <v>0</v>
      </c>
      <c r="V245" s="114">
        <v>0</v>
      </c>
      <c r="W245" s="114">
        <v>0</v>
      </c>
      <c r="X245" s="114">
        <v>0</v>
      </c>
      <c r="Y245" s="114">
        <v>1</v>
      </c>
      <c r="Z245" s="114" t="s">
        <v>58</v>
      </c>
      <c r="AA245" s="114">
        <v>1</v>
      </c>
      <c r="AB245" s="114">
        <v>1</v>
      </c>
      <c r="AC245" s="114">
        <v>1</v>
      </c>
      <c r="AD245" s="114">
        <v>1</v>
      </c>
      <c r="AE245" s="114">
        <f t="shared" si="60"/>
        <v>5</v>
      </c>
      <c r="AF245" s="116" t="s">
        <v>59</v>
      </c>
      <c r="AG245" s="114">
        <f t="shared" si="61"/>
        <v>1.6374269005848</v>
      </c>
      <c r="AH245" s="114">
        <f>AU245/88.4</f>
        <v>0.599547511312217</v>
      </c>
      <c r="AI245" s="114">
        <f>AR245</f>
        <v>1.22</v>
      </c>
      <c r="AJ245" s="159">
        <f>LN(IF(AG245&gt;=1,AG245,1))*3.8+LN(IF(AH245&gt;=1,AH245,1))*9.6+11.2*LN(IF(AI245&gt;=1,AI245,1))+6.4*AN245</f>
        <v>10.5010085952789</v>
      </c>
      <c r="AK245" s="160">
        <f>IF(AND(AG245&gt;0,AH245&gt;0,AI245&gt;0),AJ245,"")</f>
        <v>10.5010085952789</v>
      </c>
      <c r="AL245" s="160">
        <f>AK245+1.59*(135-AM245)</f>
        <v>10.5010085952789</v>
      </c>
      <c r="AM245" s="160">
        <f>IF(AV245&gt;135,135,IF(AV245&lt;120,120,AV245))</f>
        <v>135</v>
      </c>
      <c r="AN245" s="114">
        <v>1</v>
      </c>
      <c r="AO245" s="114">
        <v>1</v>
      </c>
      <c r="AP245" s="114">
        <v>3.23</v>
      </c>
      <c r="AQ245" s="114">
        <v>98</v>
      </c>
      <c r="AR245" s="114">
        <v>1.22</v>
      </c>
      <c r="AS245" s="160">
        <v>39</v>
      </c>
      <c r="AT245" s="161">
        <v>28</v>
      </c>
      <c r="AU245" s="114">
        <v>53</v>
      </c>
      <c r="AV245" s="114">
        <v>144</v>
      </c>
      <c r="AZ245" s="116" t="s">
        <v>731</v>
      </c>
    </row>
    <row r="246" spans="1:52">
      <c r="A246" s="117" t="s">
        <v>732</v>
      </c>
      <c r="B246" s="234" t="s">
        <v>48</v>
      </c>
      <c r="C246" s="234">
        <v>69</v>
      </c>
      <c r="D246" s="135">
        <v>1.85</v>
      </c>
      <c r="E246" s="234">
        <v>99</v>
      </c>
      <c r="F246" s="136">
        <f>E246/(D246*D246)</f>
        <v>28.9262235208181</v>
      </c>
      <c r="G246" s="117">
        <v>0</v>
      </c>
      <c r="I246" s="158">
        <v>44301</v>
      </c>
      <c r="J246" s="158">
        <v>44309</v>
      </c>
      <c r="L246" s="137">
        <v>1</v>
      </c>
      <c r="M246" s="138">
        <v>8</v>
      </c>
      <c r="N246" s="139" t="s">
        <v>733</v>
      </c>
      <c r="O246" s="114">
        <v>1</v>
      </c>
      <c r="P246" s="114"/>
      <c r="Q246" s="114"/>
      <c r="R246" s="114"/>
      <c r="S246" s="114"/>
      <c r="T246" s="114">
        <v>1</v>
      </c>
      <c r="U246" s="114">
        <v>0</v>
      </c>
      <c r="V246" s="114">
        <v>1</v>
      </c>
      <c r="W246" s="114">
        <v>0</v>
      </c>
      <c r="X246" s="114">
        <v>1</v>
      </c>
      <c r="Y246" s="114">
        <v>1</v>
      </c>
      <c r="Z246" s="114" t="s">
        <v>300</v>
      </c>
      <c r="AA246" s="114">
        <v>2</v>
      </c>
      <c r="AB246" s="114">
        <v>1</v>
      </c>
      <c r="AC246" s="114">
        <v>2</v>
      </c>
      <c r="AD246" s="114">
        <v>1</v>
      </c>
      <c r="AE246" s="114">
        <f t="shared" si="60"/>
        <v>7</v>
      </c>
      <c r="AF246" s="116" t="s">
        <v>63</v>
      </c>
      <c r="AG246" s="114">
        <f t="shared" si="61"/>
        <v>0.614035087719298</v>
      </c>
      <c r="AH246" s="114">
        <f>AU246/88.4</f>
        <v>0.723981900452489</v>
      </c>
      <c r="AI246" s="114">
        <f>AR246</f>
        <v>1.31</v>
      </c>
      <c r="AJ246" s="159">
        <f>LN(IF(AG246&gt;=1,AG246,1))*3.8+LN(IF(AH246&gt;=1,AH246,1))*9.6+11.2*LN(IF(AI246&gt;=1,AI246,1))+6.4*AN246</f>
        <v>9.42430393678627</v>
      </c>
      <c r="AK246" s="160">
        <f>IF(AND(AG246&gt;0,AH246&gt;0,AI246&gt;0),AJ246,"")</f>
        <v>9.42430393678627</v>
      </c>
      <c r="AL246" s="160">
        <f>AK246+1.59*(135-AM246)</f>
        <v>9.42430393678627</v>
      </c>
      <c r="AM246" s="160">
        <f>IF(AV246&gt;135,135,IF(AV246&lt;120,120,AV246))</f>
        <v>135</v>
      </c>
      <c r="AN246" s="114">
        <v>1</v>
      </c>
      <c r="AO246" s="114">
        <v>1</v>
      </c>
      <c r="AP246" s="114">
        <v>1.59</v>
      </c>
      <c r="AQ246" s="114">
        <v>71</v>
      </c>
      <c r="AR246" s="114">
        <v>1.31</v>
      </c>
      <c r="AS246" s="160">
        <v>35</v>
      </c>
      <c r="AT246" s="161">
        <v>10.5</v>
      </c>
      <c r="AU246" s="114">
        <v>64</v>
      </c>
      <c r="AV246" s="114">
        <v>147</v>
      </c>
      <c r="AZ246" s="119" t="s">
        <v>734</v>
      </c>
    </row>
    <row r="247" spans="1:52">
      <c r="A247" s="117" t="s">
        <v>735</v>
      </c>
      <c r="B247" s="234" t="s">
        <v>48</v>
      </c>
      <c r="C247" s="234">
        <v>69</v>
      </c>
      <c r="D247" s="135">
        <v>1.71</v>
      </c>
      <c r="E247" s="234">
        <v>80</v>
      </c>
      <c r="F247" s="136">
        <f>E247/(D247*D247)</f>
        <v>27.3588454567217</v>
      </c>
      <c r="G247" s="117">
        <v>6</v>
      </c>
      <c r="I247" s="158">
        <v>44296</v>
      </c>
      <c r="J247" s="158">
        <v>44305</v>
      </c>
      <c r="L247" s="137">
        <v>1</v>
      </c>
      <c r="M247" s="138">
        <v>9</v>
      </c>
      <c r="N247" s="139" t="s">
        <v>736</v>
      </c>
      <c r="O247" s="114"/>
      <c r="P247" s="114"/>
      <c r="Q247" s="114">
        <v>1</v>
      </c>
      <c r="R247" s="114"/>
      <c r="S247" s="114"/>
      <c r="T247" s="114">
        <v>1</v>
      </c>
      <c r="U247" s="114">
        <v>0</v>
      </c>
      <c r="V247" s="114">
        <v>0</v>
      </c>
      <c r="W247" s="114">
        <v>1</v>
      </c>
      <c r="X247" s="114">
        <v>0</v>
      </c>
      <c r="Y247" s="114">
        <v>1</v>
      </c>
      <c r="Z247" s="114" t="s">
        <v>300</v>
      </c>
      <c r="AA247" s="114">
        <v>2</v>
      </c>
      <c r="AB247" s="114">
        <v>2</v>
      </c>
      <c r="AC247" s="114">
        <v>3</v>
      </c>
      <c r="AD247" s="114">
        <v>1</v>
      </c>
      <c r="AE247" s="114">
        <f t="shared" si="60"/>
        <v>9</v>
      </c>
      <c r="AF247" s="116" t="s">
        <v>63</v>
      </c>
      <c r="AG247" s="114">
        <f t="shared" si="61"/>
        <v>2.78947368421053</v>
      </c>
      <c r="AH247" s="114">
        <f>AU247/88.4</f>
        <v>1.23303167420814</v>
      </c>
      <c r="AI247" s="114">
        <f>AR247</f>
        <v>1.21</v>
      </c>
      <c r="AJ247" s="159">
        <f>LN(IF(AG247&gt;=1,AG247,1))*3.8+LN(IF(AH247&gt;=1,AH247,1))*9.6+11.2*LN(IF(AI247&gt;=1,AI247,1))+6.4*AN247</f>
        <v>14.4441579391037</v>
      </c>
      <c r="AK247" s="160">
        <f>IF(AND(AG247&gt;0,AH247&gt;0,AI247&gt;0),AJ247,"")</f>
        <v>14.4441579391037</v>
      </c>
      <c r="AL247" s="160">
        <f>AK247+1.59*(135-AM247)</f>
        <v>14.4441579391037</v>
      </c>
      <c r="AM247" s="160">
        <f>IF(AV247&gt;135,135,IF(AV247&lt;120,120,AV247))</f>
        <v>135</v>
      </c>
      <c r="AN247" s="114">
        <v>1</v>
      </c>
      <c r="AO247" s="114">
        <v>2</v>
      </c>
      <c r="AP247" s="114">
        <v>4.99</v>
      </c>
      <c r="AQ247" s="114">
        <v>124</v>
      </c>
      <c r="AR247" s="114">
        <v>1.21</v>
      </c>
      <c r="AS247" s="160">
        <v>24</v>
      </c>
      <c r="AT247" s="161">
        <v>47.7</v>
      </c>
      <c r="AU247" s="114">
        <v>109</v>
      </c>
      <c r="AV247" s="114">
        <v>143</v>
      </c>
      <c r="AZ247" s="119" t="s">
        <v>737</v>
      </c>
    </row>
    <row r="248" s="125" customFormat="1" spans="1:52">
      <c r="A248" s="125" t="s">
        <v>738</v>
      </c>
      <c r="B248" s="237" t="s">
        <v>48</v>
      </c>
      <c r="C248" s="237">
        <v>61</v>
      </c>
      <c r="D248" s="185">
        <v>1.8</v>
      </c>
      <c r="E248" s="237">
        <v>95</v>
      </c>
      <c r="F248" s="136">
        <f t="shared" ref="F248:F260" si="62">E248/(D248*D248)</f>
        <v>29.320987654321</v>
      </c>
      <c r="G248" s="125">
        <v>6</v>
      </c>
      <c r="I248" s="186">
        <v>44289</v>
      </c>
      <c r="J248" s="186">
        <v>44295</v>
      </c>
      <c r="K248" s="186">
        <v>44295</v>
      </c>
      <c r="L248" s="187">
        <v>5</v>
      </c>
      <c r="M248" s="187">
        <v>6</v>
      </c>
      <c r="N248" s="188" t="s">
        <v>739</v>
      </c>
      <c r="O248" s="114"/>
      <c r="P248" s="114">
        <v>1</v>
      </c>
      <c r="Q248" s="114"/>
      <c r="R248" s="114"/>
      <c r="S248" s="114"/>
      <c r="T248" s="114">
        <v>0</v>
      </c>
      <c r="U248" s="114">
        <v>0</v>
      </c>
      <c r="V248" s="114">
        <v>1</v>
      </c>
      <c r="W248" s="114">
        <v>0</v>
      </c>
      <c r="X248" s="114">
        <v>1</v>
      </c>
      <c r="Y248" s="114">
        <v>1</v>
      </c>
      <c r="Z248" s="114" t="s">
        <v>58</v>
      </c>
      <c r="AA248" s="114">
        <v>1</v>
      </c>
      <c r="AB248" s="114">
        <v>1</v>
      </c>
      <c r="AC248" s="114">
        <v>2</v>
      </c>
      <c r="AD248" s="114">
        <v>1</v>
      </c>
      <c r="AE248" s="114">
        <f>Y248+AA248+AB248+AC248+AD248</f>
        <v>6</v>
      </c>
      <c r="AF248" s="116" t="s">
        <v>59</v>
      </c>
      <c r="AG248" s="114">
        <f>AT248/17.1</f>
        <v>0.976608187134503</v>
      </c>
      <c r="AH248" s="114">
        <f>AU248/88.4</f>
        <v>0.769230769230769</v>
      </c>
      <c r="AI248" s="114">
        <f>AR248</f>
        <v>1.15</v>
      </c>
      <c r="AJ248" s="159">
        <f>LN(IF(AG248&gt;=1,AG248,1))*3.8+LN(IF(AH248&gt;=1,AH248,1))*9.6+11.2*LN(IF(AI248&gt;=1,AI248,1))+6.4*AN248</f>
        <v>1.56533375460178</v>
      </c>
      <c r="AK248" s="160">
        <f>IF(AND(AG248&gt;0,AH248&gt;0,AI248&gt;0),AJ248,"")</f>
        <v>1.56533375460178</v>
      </c>
      <c r="AL248" s="160">
        <f>AK248+1.59*(135-AM248)</f>
        <v>1.56533375460178</v>
      </c>
      <c r="AM248" s="160">
        <f>IF(AV248&gt;135,135,IF(AV248&lt;120,120,AV248))</f>
        <v>135</v>
      </c>
      <c r="AN248" s="114">
        <v>0</v>
      </c>
      <c r="AO248" s="114">
        <v>1</v>
      </c>
      <c r="AP248" s="114">
        <v>6.99</v>
      </c>
      <c r="AQ248" s="114">
        <v>82</v>
      </c>
      <c r="AR248" s="114">
        <v>1.15</v>
      </c>
      <c r="AS248" s="160">
        <v>32</v>
      </c>
      <c r="AT248" s="161">
        <v>16.7</v>
      </c>
      <c r="AU248" s="114">
        <v>68</v>
      </c>
      <c r="AV248" s="114">
        <v>139</v>
      </c>
      <c r="AZ248" s="131" t="s">
        <v>58</v>
      </c>
    </row>
    <row r="249" spans="1:52">
      <c r="A249" s="117" t="s">
        <v>740</v>
      </c>
      <c r="B249" s="234" t="s">
        <v>48</v>
      </c>
      <c r="C249" s="234">
        <v>26</v>
      </c>
      <c r="D249" s="135">
        <v>1.82</v>
      </c>
      <c r="E249" s="234">
        <v>85</v>
      </c>
      <c r="F249" s="136">
        <f t="shared" si="62"/>
        <v>25.6611520347784</v>
      </c>
      <c r="G249" s="117">
        <v>0</v>
      </c>
      <c r="I249" s="158">
        <v>44289</v>
      </c>
      <c r="J249" s="158">
        <v>44302</v>
      </c>
      <c r="L249" s="137">
        <v>1</v>
      </c>
      <c r="M249" s="138">
        <v>13</v>
      </c>
      <c r="N249" s="139" t="s">
        <v>741</v>
      </c>
      <c r="O249" s="114"/>
      <c r="P249" s="114"/>
      <c r="Q249" s="114"/>
      <c r="R249" s="114"/>
      <c r="S249" s="114">
        <v>1</v>
      </c>
      <c r="T249" s="114">
        <v>0</v>
      </c>
      <c r="U249" s="114">
        <v>0</v>
      </c>
      <c r="V249" s="114">
        <v>0</v>
      </c>
      <c r="W249" s="114">
        <v>0</v>
      </c>
      <c r="X249" s="114">
        <v>0</v>
      </c>
      <c r="Y249" s="114">
        <v>1</v>
      </c>
      <c r="Z249" s="114" t="s">
        <v>58</v>
      </c>
      <c r="AA249" s="114">
        <v>1</v>
      </c>
      <c r="AB249" s="114">
        <v>1</v>
      </c>
      <c r="AC249" s="114">
        <v>1</v>
      </c>
      <c r="AD249" s="114">
        <v>1</v>
      </c>
      <c r="AE249" s="114">
        <f>Y249+AA249+AB249+AC249+AD249</f>
        <v>5</v>
      </c>
      <c r="AF249" s="116" t="s">
        <v>59</v>
      </c>
      <c r="AG249" s="114">
        <f>AT249/17.1</f>
        <v>0.730994152046784</v>
      </c>
      <c r="AH249" s="114">
        <f>AU249/88.4</f>
        <v>0.8710407239819</v>
      </c>
      <c r="AI249" s="114">
        <f>AR249</f>
        <v>1.04</v>
      </c>
      <c r="AJ249" s="159">
        <f>LN(IF(AG249&gt;=1,AG249,1))*3.8+LN(IF(AH249&gt;=1,AH249,1))*9.6+11.2*LN(IF(AI249&gt;=1,AI249,1))+6.4*AN249</f>
        <v>6.83927198731675</v>
      </c>
      <c r="AK249" s="160">
        <f>IF(AND(AG249&gt;0,AH249&gt;0,AI249&gt;0),AJ249,"")</f>
        <v>6.83927198731675</v>
      </c>
      <c r="AL249" s="160">
        <f>AK249+1.59*(135-AM249)</f>
        <v>6.83927198731675</v>
      </c>
      <c r="AM249" s="160">
        <f>IF(AV249&gt;135,135,IF(AV249&lt;120,120,AV249))</f>
        <v>135</v>
      </c>
      <c r="AN249" s="114">
        <v>1</v>
      </c>
      <c r="AO249" s="114">
        <v>1</v>
      </c>
      <c r="AP249" s="114">
        <v>3.53</v>
      </c>
      <c r="AQ249" s="114">
        <v>139</v>
      </c>
      <c r="AR249" s="114">
        <v>1.04</v>
      </c>
      <c r="AS249" s="160">
        <v>39</v>
      </c>
      <c r="AT249" s="161">
        <v>12.5</v>
      </c>
      <c r="AU249" s="114">
        <v>77</v>
      </c>
      <c r="AV249" s="114">
        <v>141</v>
      </c>
      <c r="AZ249" s="119" t="s">
        <v>742</v>
      </c>
    </row>
    <row r="250" spans="1:52">
      <c r="A250" s="117" t="s">
        <v>743</v>
      </c>
      <c r="B250" s="234" t="s">
        <v>48</v>
      </c>
      <c r="C250" s="234">
        <v>66</v>
      </c>
      <c r="D250" s="135">
        <v>1.78</v>
      </c>
      <c r="E250" s="234">
        <v>92.5</v>
      </c>
      <c r="F250" s="136">
        <f t="shared" si="62"/>
        <v>29.1945461431637</v>
      </c>
      <c r="G250" s="117">
        <v>6</v>
      </c>
      <c r="I250" s="158">
        <v>44283</v>
      </c>
      <c r="J250" s="158">
        <v>44296</v>
      </c>
      <c r="L250" s="137">
        <v>7</v>
      </c>
      <c r="M250" s="137">
        <v>13</v>
      </c>
      <c r="N250" s="139" t="s">
        <v>744</v>
      </c>
      <c r="O250" s="114"/>
      <c r="P250" s="114">
        <v>1</v>
      </c>
      <c r="Q250" s="114"/>
      <c r="R250" s="114"/>
      <c r="S250" s="114"/>
      <c r="T250" s="114">
        <v>0</v>
      </c>
      <c r="U250" s="114">
        <v>0</v>
      </c>
      <c r="V250" s="114">
        <v>1</v>
      </c>
      <c r="W250" s="114">
        <v>0</v>
      </c>
      <c r="X250" s="114">
        <v>1</v>
      </c>
      <c r="Y250" s="114">
        <v>1</v>
      </c>
      <c r="Z250" s="114" t="s">
        <v>58</v>
      </c>
      <c r="AA250" s="114">
        <v>1</v>
      </c>
      <c r="AB250" s="114">
        <v>1</v>
      </c>
      <c r="AC250" s="114">
        <v>2</v>
      </c>
      <c r="AD250" s="114">
        <v>1</v>
      </c>
      <c r="AE250" s="114">
        <f>Y250+AA250+AB250+AC250+AD250</f>
        <v>6</v>
      </c>
      <c r="AF250" s="116" t="s">
        <v>59</v>
      </c>
      <c r="AG250" s="114">
        <f>AT250/17.1</f>
        <v>0.614035087719298</v>
      </c>
      <c r="AH250" s="114">
        <f>AU250/88.4</f>
        <v>1.10859728506787</v>
      </c>
      <c r="AI250" s="114">
        <f>AR250</f>
        <v>1.11</v>
      </c>
      <c r="AJ250" s="159">
        <f>LN(IF(AG250&gt;=1,AG250,1))*3.8+LN(IF(AH250&gt;=1,AH250,1))*9.6+11.2*LN(IF(AI250&gt;=1,AI250,1))+6.4*AN250</f>
        <v>2.15854905829047</v>
      </c>
      <c r="AK250" s="160">
        <f>IF(AND(AG250&gt;0,AH250&gt;0,AI250&gt;0),AJ250,"")</f>
        <v>2.15854905829047</v>
      </c>
      <c r="AL250" s="160">
        <f>AK250+1.59*(135-AM250)</f>
        <v>2.15854905829047</v>
      </c>
      <c r="AM250" s="160">
        <f>IF(AV250&gt;135,135,IF(AV250&lt;120,120,AV250))</f>
        <v>135</v>
      </c>
      <c r="AN250" s="114">
        <v>0</v>
      </c>
      <c r="AO250" s="114">
        <v>1</v>
      </c>
      <c r="AP250" s="114">
        <v>4.52</v>
      </c>
      <c r="AQ250" s="114">
        <v>102</v>
      </c>
      <c r="AR250" s="114">
        <v>1.11</v>
      </c>
      <c r="AS250" s="160">
        <v>31</v>
      </c>
      <c r="AT250" s="161">
        <v>10.5</v>
      </c>
      <c r="AU250" s="114">
        <v>98</v>
      </c>
      <c r="AV250" s="114">
        <v>139</v>
      </c>
      <c r="AZ250" s="119" t="s">
        <v>745</v>
      </c>
    </row>
    <row r="251" spans="1:52">
      <c r="A251" s="117" t="s">
        <v>746</v>
      </c>
      <c r="B251" s="234" t="s">
        <v>53</v>
      </c>
      <c r="C251" s="234">
        <v>65</v>
      </c>
      <c r="D251" s="135">
        <v>1.62</v>
      </c>
      <c r="E251" s="234">
        <v>55</v>
      </c>
      <c r="F251" s="136">
        <f t="shared" si="62"/>
        <v>20.9571711629325</v>
      </c>
      <c r="G251" s="117">
        <v>1</v>
      </c>
      <c r="I251" s="158">
        <v>44286</v>
      </c>
      <c r="J251" s="158">
        <v>44298</v>
      </c>
      <c r="L251" s="137">
        <v>4</v>
      </c>
      <c r="M251" s="137">
        <v>12</v>
      </c>
      <c r="N251" s="139" t="s">
        <v>747</v>
      </c>
      <c r="O251" s="114"/>
      <c r="P251" s="114"/>
      <c r="Q251" s="114">
        <v>1</v>
      </c>
      <c r="R251" s="114"/>
      <c r="S251" s="114"/>
      <c r="T251" s="114">
        <v>0</v>
      </c>
      <c r="U251" s="114">
        <v>0</v>
      </c>
      <c r="V251" s="114">
        <v>0</v>
      </c>
      <c r="W251" s="114">
        <v>0</v>
      </c>
      <c r="X251" s="114">
        <v>0</v>
      </c>
      <c r="Y251" s="114">
        <v>1</v>
      </c>
      <c r="Z251" s="114" t="s">
        <v>58</v>
      </c>
      <c r="AA251" s="114">
        <v>1</v>
      </c>
      <c r="AB251" s="114">
        <v>1</v>
      </c>
      <c r="AC251" s="114">
        <v>2</v>
      </c>
      <c r="AD251" s="114">
        <v>1</v>
      </c>
      <c r="AE251" s="114">
        <f>Y251+AA251+AB251+AC251+AD251</f>
        <v>6</v>
      </c>
      <c r="AF251" s="116" t="s">
        <v>59</v>
      </c>
      <c r="AG251" s="114">
        <f>AT251/17.1</f>
        <v>0.748538011695906</v>
      </c>
      <c r="AH251" s="114">
        <f>AU251/88.4</f>
        <v>0.350678733031674</v>
      </c>
      <c r="AI251" s="114">
        <f>AR251</f>
        <v>1.16</v>
      </c>
      <c r="AJ251" s="159">
        <f>LN(IF(AG251&gt;=1,AG251,1))*3.8+LN(IF(AH251&gt;=1,AH251,1))*9.6+11.2*LN(IF(AI251&gt;=1,AI251,1))+6.4*AN251</f>
        <v>8.06230405732466</v>
      </c>
      <c r="AK251" s="160">
        <f>IF(AND(AG251&gt;0,AH251&gt;0,AI251&gt;0),AJ251,"")</f>
        <v>8.06230405732466</v>
      </c>
      <c r="AL251" s="160">
        <f>AK251+1.59*(135-AM251)</f>
        <v>8.06230405732466</v>
      </c>
      <c r="AM251" s="160">
        <f>IF(AV251&gt;135,135,IF(AV251&lt;120,120,AV251))</f>
        <v>135</v>
      </c>
      <c r="AN251" s="114">
        <v>1</v>
      </c>
      <c r="AO251" s="114">
        <v>1</v>
      </c>
      <c r="AP251" s="114">
        <v>4.33</v>
      </c>
      <c r="AQ251" s="114">
        <v>116</v>
      </c>
      <c r="AR251" s="114">
        <v>1.16</v>
      </c>
      <c r="AS251" s="160">
        <v>35</v>
      </c>
      <c r="AT251" s="161">
        <v>12.8</v>
      </c>
      <c r="AU251" s="114">
        <v>31</v>
      </c>
      <c r="AV251" s="114">
        <v>143</v>
      </c>
      <c r="AZ251" s="119" t="s">
        <v>748</v>
      </c>
    </row>
    <row r="252" spans="1:52">
      <c r="A252" s="117" t="s">
        <v>749</v>
      </c>
      <c r="B252" s="234" t="s">
        <v>48</v>
      </c>
      <c r="C252" s="234">
        <v>60</v>
      </c>
      <c r="D252" s="135">
        <v>1.63</v>
      </c>
      <c r="E252" s="234">
        <v>90</v>
      </c>
      <c r="F252" s="136">
        <f t="shared" si="62"/>
        <v>33.8740637585156</v>
      </c>
      <c r="G252" s="117">
        <v>6</v>
      </c>
      <c r="I252" s="158">
        <v>44279</v>
      </c>
      <c r="J252" s="158">
        <v>44301</v>
      </c>
      <c r="L252" s="137">
        <v>4</v>
      </c>
      <c r="M252" s="137">
        <v>22</v>
      </c>
      <c r="N252" s="139" t="s">
        <v>750</v>
      </c>
      <c r="O252" s="114"/>
      <c r="P252" s="114">
        <v>1</v>
      </c>
      <c r="Q252" s="114"/>
      <c r="R252" s="114"/>
      <c r="S252" s="114"/>
      <c r="T252" s="114">
        <v>1</v>
      </c>
      <c r="U252" s="114">
        <v>1</v>
      </c>
      <c r="V252" s="114">
        <v>1</v>
      </c>
      <c r="W252" s="114">
        <v>1</v>
      </c>
      <c r="X252" s="114">
        <v>0</v>
      </c>
      <c r="Y252" s="114">
        <v>2</v>
      </c>
      <c r="Z252" s="114" t="s">
        <v>321</v>
      </c>
      <c r="AA252" s="114">
        <v>3</v>
      </c>
      <c r="AB252" s="114">
        <v>3</v>
      </c>
      <c r="AC252" s="114">
        <v>2</v>
      </c>
      <c r="AD252" s="114">
        <v>1</v>
      </c>
      <c r="AE252" s="114">
        <f>Y252+AA252+AB252+AC252+AD252</f>
        <v>11</v>
      </c>
      <c r="AF252" s="116" t="s">
        <v>50</v>
      </c>
      <c r="AG252" s="114">
        <f>AT252/17.1</f>
        <v>4.76023391812866</v>
      </c>
      <c r="AH252" s="114">
        <f>AU252/88.4</f>
        <v>0.927601809954751</v>
      </c>
      <c r="AI252" s="114">
        <f>AR252</f>
        <v>1.41</v>
      </c>
      <c r="AJ252" s="159">
        <f>LN(IF(AG252&gt;=1,AG252,1))*3.8+LN(IF(AH252&gt;=1,AH252,1))*9.6+11.2*LN(IF(AI252&gt;=1,AI252,1))+6.4*AN252</f>
        <v>9.77733256526841</v>
      </c>
      <c r="AK252" s="160">
        <f>IF(AND(AG252&gt;0,AH252&gt;0,AI252&gt;0),AJ252,"")</f>
        <v>9.77733256526841</v>
      </c>
      <c r="AL252" s="160">
        <f>AK252+1.59*(135-AM252)</f>
        <v>9.77733256526841</v>
      </c>
      <c r="AM252" s="160">
        <f>IF(AV252&gt;135,135,IF(AV252&lt;120,120,AV252))</f>
        <v>135</v>
      </c>
      <c r="AN252" s="114">
        <v>0</v>
      </c>
      <c r="AO252" s="114">
        <v>1</v>
      </c>
      <c r="AP252" s="114">
        <v>8.41</v>
      </c>
      <c r="AQ252" s="114">
        <v>130</v>
      </c>
      <c r="AR252" s="114">
        <v>1.41</v>
      </c>
      <c r="AS252" s="160">
        <v>30</v>
      </c>
      <c r="AT252" s="161">
        <v>81.4</v>
      </c>
      <c r="AU252" s="114">
        <v>82</v>
      </c>
      <c r="AV252" s="114">
        <v>137</v>
      </c>
      <c r="AZ252" s="119" t="s">
        <v>751</v>
      </c>
    </row>
    <row r="253" spans="1:52">
      <c r="A253" s="117" t="s">
        <v>752</v>
      </c>
      <c r="B253" s="234" t="s">
        <v>53</v>
      </c>
      <c r="C253" s="234">
        <v>64</v>
      </c>
      <c r="D253" s="135">
        <v>1.6</v>
      </c>
      <c r="E253" s="234">
        <v>70</v>
      </c>
      <c r="F253" s="136">
        <f t="shared" si="62"/>
        <v>27.34375</v>
      </c>
      <c r="G253" s="117">
        <v>0</v>
      </c>
      <c r="I253" s="158">
        <v>44284</v>
      </c>
      <c r="J253" s="158">
        <v>44289</v>
      </c>
      <c r="L253" s="137">
        <v>1</v>
      </c>
      <c r="M253" s="138">
        <v>5</v>
      </c>
      <c r="N253" s="139" t="s">
        <v>753</v>
      </c>
      <c r="O253" s="114"/>
      <c r="P253" s="114"/>
      <c r="Q253" s="114">
        <v>1</v>
      </c>
      <c r="R253" s="114"/>
      <c r="S253" s="114"/>
      <c r="T253" s="114">
        <v>0</v>
      </c>
      <c r="U253" s="114">
        <v>0</v>
      </c>
      <c r="V253" s="114">
        <v>0</v>
      </c>
      <c r="W253" s="114">
        <v>0</v>
      </c>
      <c r="X253" s="114">
        <v>0</v>
      </c>
      <c r="Y253" s="114">
        <v>1</v>
      </c>
      <c r="Z253" s="114" t="s">
        <v>58</v>
      </c>
      <c r="AA253" s="114">
        <v>1</v>
      </c>
      <c r="AB253" s="114">
        <v>1</v>
      </c>
      <c r="AC253" s="114">
        <v>2</v>
      </c>
      <c r="AD253" s="114">
        <v>1</v>
      </c>
      <c r="AE253" s="114">
        <f>Y253+AA253+AB253+AC253+AD253</f>
        <v>6</v>
      </c>
      <c r="AF253" s="116" t="s">
        <v>59</v>
      </c>
      <c r="AG253" s="114">
        <f>AT253/17.1</f>
        <v>0.678362573099415</v>
      </c>
      <c r="AH253" s="114">
        <f>AU253/88.4</f>
        <v>0.542986425339366</v>
      </c>
      <c r="AI253" s="114">
        <f>AR253</f>
        <v>1.05</v>
      </c>
      <c r="AJ253" s="159">
        <f>LN(IF(AG253&gt;=1,AG253,1))*3.8+LN(IF(AH253&gt;=1,AH253,1))*9.6+11.2*LN(IF(AI253&gt;=1,AI253,1))+6.4*AN253</f>
        <v>6.94644983869764</v>
      </c>
      <c r="AK253" s="160">
        <f>IF(AND(AG253&gt;0,AH253&gt;0,AI253&gt;0),AJ253,"")</f>
        <v>6.94644983869764</v>
      </c>
      <c r="AL253" s="160">
        <f>AK253+1.59*(135-AM253)</f>
        <v>6.94644983869764</v>
      </c>
      <c r="AM253" s="160">
        <f>IF(AV253&gt;135,135,IF(AV253&lt;120,120,AV253))</f>
        <v>135</v>
      </c>
      <c r="AN253" s="114">
        <v>1</v>
      </c>
      <c r="AO253" s="114">
        <v>1</v>
      </c>
      <c r="AP253" s="114">
        <v>5.58</v>
      </c>
      <c r="AQ253" s="114">
        <v>126</v>
      </c>
      <c r="AR253" s="114">
        <v>1.05</v>
      </c>
      <c r="AS253" s="160">
        <v>34</v>
      </c>
      <c r="AT253" s="161">
        <v>11.6</v>
      </c>
      <c r="AU253" s="114">
        <v>48</v>
      </c>
      <c r="AV253" s="114">
        <v>139</v>
      </c>
      <c r="AZ253" s="119" t="s">
        <v>754</v>
      </c>
    </row>
    <row r="254" spans="1:52">
      <c r="A254" s="117" t="s">
        <v>755</v>
      </c>
      <c r="B254" s="234" t="s">
        <v>48</v>
      </c>
      <c r="C254" s="234">
        <v>43</v>
      </c>
      <c r="D254" s="135">
        <v>1.76</v>
      </c>
      <c r="E254" s="234">
        <v>90</v>
      </c>
      <c r="F254" s="136">
        <f>E254/(D254*D254)</f>
        <v>29.0547520661157</v>
      </c>
      <c r="G254" s="117">
        <v>6</v>
      </c>
      <c r="I254" s="158">
        <v>44284</v>
      </c>
      <c r="J254" s="158">
        <v>44298</v>
      </c>
      <c r="L254" s="137">
        <v>4</v>
      </c>
      <c r="M254" s="137">
        <v>14</v>
      </c>
      <c r="N254" s="139" t="s">
        <v>756</v>
      </c>
      <c r="O254" s="114"/>
      <c r="P254" s="114">
        <v>1</v>
      </c>
      <c r="Q254" s="114"/>
      <c r="R254" s="114"/>
      <c r="S254" s="114"/>
      <c r="T254" s="114">
        <v>0</v>
      </c>
      <c r="U254" s="114">
        <v>0</v>
      </c>
      <c r="V254" s="114">
        <v>1</v>
      </c>
      <c r="W254" s="114">
        <v>0</v>
      </c>
      <c r="X254" s="114">
        <v>1</v>
      </c>
      <c r="Y254" s="114">
        <v>1</v>
      </c>
      <c r="Z254" s="114" t="s">
        <v>58</v>
      </c>
      <c r="AA254" s="114">
        <v>1</v>
      </c>
      <c r="AB254" s="114">
        <v>1</v>
      </c>
      <c r="AC254" s="114">
        <v>2</v>
      </c>
      <c r="AD254" s="114">
        <v>1</v>
      </c>
      <c r="AE254" s="114">
        <f>Y254+AA254+AB254+AC254+AD254</f>
        <v>6</v>
      </c>
      <c r="AF254" s="116" t="s">
        <v>59</v>
      </c>
      <c r="AG254" s="114">
        <f>AT254/17.1</f>
        <v>1.11695906432749</v>
      </c>
      <c r="AH254" s="114">
        <f>AU254/88.4</f>
        <v>0.418552036199095</v>
      </c>
      <c r="AI254" s="114">
        <f>AR254</f>
        <v>1.46</v>
      </c>
      <c r="AJ254" s="159">
        <f>LN(IF(AG254&gt;=1,AG254,1))*3.8+LN(IF(AH254&gt;=1,AH254,1))*9.6+11.2*LN(IF(AI254&gt;=1,AI254,1))+6.4*AN254</f>
        <v>4.65880559193383</v>
      </c>
      <c r="AK254" s="160">
        <f>IF(AND(AG254&gt;0,AH254&gt;0,AI254&gt;0),AJ254,"")</f>
        <v>4.65880559193383</v>
      </c>
      <c r="AL254" s="160">
        <f>AK254+1.59*(135-AM254)</f>
        <v>4.65880559193383</v>
      </c>
      <c r="AM254" s="160">
        <f>IF(AV254&gt;135,135,IF(AV254&lt;120,120,AV254))</f>
        <v>135</v>
      </c>
      <c r="AN254" s="114">
        <v>0</v>
      </c>
      <c r="AO254" s="114">
        <v>1</v>
      </c>
      <c r="AP254" s="114">
        <v>2.81</v>
      </c>
      <c r="AQ254" s="114">
        <v>127</v>
      </c>
      <c r="AR254" s="114">
        <v>1.46</v>
      </c>
      <c r="AS254" s="160">
        <v>35</v>
      </c>
      <c r="AT254" s="161">
        <v>19.1</v>
      </c>
      <c r="AU254" s="114">
        <v>37</v>
      </c>
      <c r="AV254" s="114">
        <v>144</v>
      </c>
      <c r="AZ254" s="119" t="s">
        <v>757</v>
      </c>
    </row>
    <row r="255" spans="1:52">
      <c r="A255" s="117" t="s">
        <v>144</v>
      </c>
      <c r="B255" s="234" t="s">
        <v>48</v>
      </c>
      <c r="C255" s="234">
        <v>31</v>
      </c>
      <c r="D255" s="135">
        <v>1.78</v>
      </c>
      <c r="E255" s="234">
        <v>70</v>
      </c>
      <c r="F255" s="136">
        <f>E255/(D255*D255)</f>
        <v>22.0931700542861</v>
      </c>
      <c r="G255" s="117">
        <v>0</v>
      </c>
      <c r="I255" s="158">
        <v>44253</v>
      </c>
      <c r="J255" s="158">
        <v>44260</v>
      </c>
      <c r="L255" s="137">
        <v>3</v>
      </c>
      <c r="M255" s="137">
        <v>7</v>
      </c>
      <c r="N255" s="139" t="s">
        <v>758</v>
      </c>
      <c r="O255" s="114">
        <v>1</v>
      </c>
      <c r="P255" s="114"/>
      <c r="Q255" s="114"/>
      <c r="R255" s="114"/>
      <c r="S255" s="114"/>
      <c r="T255" s="114">
        <v>1</v>
      </c>
      <c r="U255" s="114">
        <v>0</v>
      </c>
      <c r="V255" s="114">
        <v>1</v>
      </c>
      <c r="W255" s="114">
        <v>0</v>
      </c>
      <c r="X255" s="114">
        <v>1</v>
      </c>
      <c r="Y255" s="114">
        <v>1</v>
      </c>
      <c r="Z255" s="114" t="s">
        <v>300</v>
      </c>
      <c r="AA255" s="114">
        <v>2</v>
      </c>
      <c r="AB255" s="114">
        <v>1</v>
      </c>
      <c r="AC255" s="114">
        <v>1</v>
      </c>
      <c r="AD255" s="114">
        <v>1</v>
      </c>
      <c r="AE255" s="114">
        <f>Y255+AA255+AB255+AC255+AD255</f>
        <v>6</v>
      </c>
      <c r="AF255" s="116" t="s">
        <v>59</v>
      </c>
      <c r="AG255" s="114">
        <f>AT255/17.1</f>
        <v>0.60233918128655</v>
      </c>
      <c r="AH255" s="114">
        <f>AU255/88.4</f>
        <v>0.599547511312217</v>
      </c>
      <c r="AI255" s="114">
        <f>AR255</f>
        <v>1.36</v>
      </c>
      <c r="AJ255" s="159">
        <f>LN(IF(AG255&gt;=1,AG255,1))*3.8+LN(IF(AH255&gt;=1,AH255,1))*9.6+11.2*LN(IF(AI255&gt;=1,AI255,1))+6.4*AN255</f>
        <v>9.84382863717716</v>
      </c>
      <c r="AK255" s="160">
        <f>IF(AND(AG255&gt;0,AH255&gt;0,AI255&gt;0),AJ255,"")</f>
        <v>9.84382863717716</v>
      </c>
      <c r="AL255" s="160">
        <f>AK255+1.59*(135-AM255)</f>
        <v>9.84382863717716</v>
      </c>
      <c r="AM255" s="160">
        <f>IF(AV255&gt;135,135,IF(AV255&lt;120,120,AV255))</f>
        <v>135</v>
      </c>
      <c r="AN255" s="114">
        <v>1</v>
      </c>
      <c r="AO255" s="114">
        <v>1</v>
      </c>
      <c r="AP255" s="114">
        <v>2.73</v>
      </c>
      <c r="AQ255" s="114">
        <v>69</v>
      </c>
      <c r="AR255" s="114">
        <v>1.36</v>
      </c>
      <c r="AS255" s="160">
        <v>36</v>
      </c>
      <c r="AT255" s="161">
        <v>10.3</v>
      </c>
      <c r="AU255" s="114">
        <v>53</v>
      </c>
      <c r="AV255" s="114">
        <v>143</v>
      </c>
      <c r="AZ255" s="119" t="s">
        <v>58</v>
      </c>
    </row>
    <row r="256" spans="1:52">
      <c r="A256" s="117" t="s">
        <v>668</v>
      </c>
      <c r="B256" s="234" t="s">
        <v>53</v>
      </c>
      <c r="C256" s="234">
        <v>59</v>
      </c>
      <c r="D256" s="135">
        <v>1.65</v>
      </c>
      <c r="E256" s="234">
        <v>59</v>
      </c>
      <c r="F256" s="136">
        <f>E256/(D256*D256)</f>
        <v>21.6712580348944</v>
      </c>
      <c r="G256" s="117">
        <v>0</v>
      </c>
      <c r="I256" s="158">
        <v>44254</v>
      </c>
      <c r="J256" s="158">
        <v>44264</v>
      </c>
      <c r="L256" s="137">
        <v>2</v>
      </c>
      <c r="M256" s="138">
        <v>10</v>
      </c>
      <c r="N256" s="139" t="s">
        <v>759</v>
      </c>
      <c r="O256" s="114"/>
      <c r="P256" s="114"/>
      <c r="Q256" s="114">
        <v>1</v>
      </c>
      <c r="R256" s="114"/>
      <c r="S256" s="114"/>
      <c r="T256" s="114">
        <v>0</v>
      </c>
      <c r="U256" s="114">
        <v>0</v>
      </c>
      <c r="V256" s="114">
        <v>0</v>
      </c>
      <c r="W256" s="114">
        <v>0</v>
      </c>
      <c r="X256" s="114">
        <v>0</v>
      </c>
      <c r="Y256" s="114">
        <v>1</v>
      </c>
      <c r="Z256" s="114" t="s">
        <v>58</v>
      </c>
      <c r="AA256" s="114">
        <v>1</v>
      </c>
      <c r="AB256" s="114">
        <v>3</v>
      </c>
      <c r="AC256" s="114">
        <v>3</v>
      </c>
      <c r="AD256" s="114">
        <v>1</v>
      </c>
      <c r="AE256" s="114">
        <f>Y256+AA256+AB256+AC256+AD256</f>
        <v>9</v>
      </c>
      <c r="AF256" s="116" t="s">
        <v>63</v>
      </c>
      <c r="AG256" s="114">
        <f>AT256/17.1</f>
        <v>16.5906432748538</v>
      </c>
      <c r="AH256" s="114">
        <f>AU256/88.4</f>
        <v>0.633484162895928</v>
      </c>
      <c r="AI256" s="114">
        <f>AR256</f>
        <v>1.47</v>
      </c>
      <c r="AJ256" s="159">
        <f>LN(IF(AG256&gt;=1,AG256,1))*3.8+LN(IF(AH256&gt;=1,AH256,1))*9.6+11.2*LN(IF(AI256&gt;=1,AI256,1))+6.4*AN256</f>
        <v>21.3885266264188</v>
      </c>
      <c r="AK256" s="160">
        <f>IF(AND(AG256&gt;0,AH256&gt;0,AI256&gt;0),AJ256,"")</f>
        <v>21.3885266264188</v>
      </c>
      <c r="AL256" s="160">
        <f>AK256+1.59*(135-AM256)</f>
        <v>21.3885266264188</v>
      </c>
      <c r="AM256" s="160">
        <f>IF(AV256&gt;135,135,IF(AV256&lt;120,120,AV256))</f>
        <v>135</v>
      </c>
      <c r="AN256" s="114">
        <v>1</v>
      </c>
      <c r="AO256" s="114">
        <v>3</v>
      </c>
      <c r="AP256" s="114">
        <v>6.76</v>
      </c>
      <c r="AQ256" s="114">
        <v>125</v>
      </c>
      <c r="AR256" s="114">
        <v>1.47</v>
      </c>
      <c r="AS256" s="160">
        <v>27</v>
      </c>
      <c r="AT256" s="161">
        <v>283.7</v>
      </c>
      <c r="AU256" s="114">
        <v>56</v>
      </c>
      <c r="AV256" s="114">
        <v>138</v>
      </c>
      <c r="AZ256" s="119" t="s">
        <v>670</v>
      </c>
    </row>
    <row r="257" spans="1:52">
      <c r="A257" s="117" t="s">
        <v>671</v>
      </c>
      <c r="B257" s="234" t="s">
        <v>53</v>
      </c>
      <c r="C257" s="234">
        <v>63</v>
      </c>
      <c r="D257" s="135">
        <v>1.7</v>
      </c>
      <c r="E257" s="234">
        <v>75</v>
      </c>
      <c r="F257" s="136">
        <f>E257/(D257*D257)</f>
        <v>25.9515570934256</v>
      </c>
      <c r="G257" s="117">
        <v>0</v>
      </c>
      <c r="I257" s="158">
        <v>44254</v>
      </c>
      <c r="J257" s="158">
        <v>44268</v>
      </c>
      <c r="L257" s="137">
        <v>1</v>
      </c>
      <c r="M257" s="137">
        <v>14</v>
      </c>
      <c r="N257" s="139" t="s">
        <v>760</v>
      </c>
      <c r="O257" s="114"/>
      <c r="P257" s="114"/>
      <c r="Q257" s="114">
        <v>1</v>
      </c>
      <c r="R257" s="114"/>
      <c r="S257" s="114"/>
      <c r="T257" s="114">
        <v>1</v>
      </c>
      <c r="U257" s="114">
        <v>0</v>
      </c>
      <c r="V257" s="114">
        <v>1</v>
      </c>
      <c r="W257" s="114">
        <v>1</v>
      </c>
      <c r="X257" s="114">
        <v>1</v>
      </c>
      <c r="Y257" s="114">
        <v>1</v>
      </c>
      <c r="Z257" s="114" t="s">
        <v>300</v>
      </c>
      <c r="AA257" s="114">
        <v>2</v>
      </c>
      <c r="AB257" s="114">
        <v>1</v>
      </c>
      <c r="AC257" s="114">
        <v>2</v>
      </c>
      <c r="AD257" s="114">
        <v>1</v>
      </c>
      <c r="AE257" s="114">
        <f>Y257+AA257+AB257+AC257+AD257</f>
        <v>7</v>
      </c>
      <c r="AF257" s="116" t="s">
        <v>63</v>
      </c>
      <c r="AG257" s="114">
        <f>AT257/17.1</f>
        <v>0.894736842105263</v>
      </c>
      <c r="AH257" s="114">
        <f>AU257/88.4</f>
        <v>0.735294117647059</v>
      </c>
      <c r="AI257" s="114">
        <f>AR257</f>
        <v>1.14</v>
      </c>
      <c r="AJ257" s="159">
        <f>LN(IF(AG257&gt;=1,AG257,1))*3.8+LN(IF(AH257&gt;=1,AH257,1))*9.6+11.2*LN(IF(AI257&gt;=1,AI257,1))+6.4*AN257</f>
        <v>7.86751653895173</v>
      </c>
      <c r="AK257" s="160">
        <f>IF(AND(AG257&gt;0,AH257&gt;0,AI257&gt;0),AJ257,"")</f>
        <v>7.86751653895173</v>
      </c>
      <c r="AL257" s="160">
        <f>AK257+1.59*(135-AM257)</f>
        <v>7.86751653895173</v>
      </c>
      <c r="AM257" s="160">
        <f>IF(AV257&gt;135,135,IF(AV257&lt;120,120,AV257))</f>
        <v>135</v>
      </c>
      <c r="AN257" s="114">
        <v>1</v>
      </c>
      <c r="AO257" s="114">
        <v>1</v>
      </c>
      <c r="AP257" s="114">
        <v>8.09</v>
      </c>
      <c r="AQ257" s="114">
        <v>87</v>
      </c>
      <c r="AR257" s="114">
        <v>1.14</v>
      </c>
      <c r="AS257" s="160">
        <v>30</v>
      </c>
      <c r="AT257" s="161">
        <v>15.3</v>
      </c>
      <c r="AU257" s="114">
        <v>65</v>
      </c>
      <c r="AV257" s="114">
        <v>145</v>
      </c>
      <c r="AZ257" s="119" t="s">
        <v>673</v>
      </c>
    </row>
    <row r="258" spans="1:52">
      <c r="A258" s="117" t="s">
        <v>665</v>
      </c>
      <c r="B258" s="234" t="s">
        <v>48</v>
      </c>
      <c r="C258" s="234">
        <v>35</v>
      </c>
      <c r="D258" s="135">
        <v>1.75</v>
      </c>
      <c r="E258" s="234">
        <v>74</v>
      </c>
      <c r="F258" s="136">
        <f>E258/(D258*D258)</f>
        <v>24.1632653061224</v>
      </c>
      <c r="G258" s="117">
        <v>0</v>
      </c>
      <c r="I258" s="158">
        <v>44257</v>
      </c>
      <c r="J258" s="158">
        <v>44272</v>
      </c>
      <c r="L258" s="137">
        <v>1</v>
      </c>
      <c r="M258" s="138">
        <v>15</v>
      </c>
      <c r="N258" s="139" t="s">
        <v>761</v>
      </c>
      <c r="O258" s="114"/>
      <c r="P258" s="114"/>
      <c r="Q258" s="114"/>
      <c r="R258" s="114"/>
      <c r="S258" s="114">
        <v>1</v>
      </c>
      <c r="T258" s="114">
        <v>1</v>
      </c>
      <c r="U258" s="114">
        <v>0</v>
      </c>
      <c r="V258" s="114">
        <v>1</v>
      </c>
      <c r="W258" s="114">
        <v>0</v>
      </c>
      <c r="X258" s="114">
        <v>1</v>
      </c>
      <c r="Y258" s="114">
        <v>1</v>
      </c>
      <c r="Z258" s="114" t="s">
        <v>300</v>
      </c>
      <c r="AA258" s="114">
        <v>2</v>
      </c>
      <c r="AB258" s="114">
        <v>1</v>
      </c>
      <c r="AC258" s="114">
        <v>2</v>
      </c>
      <c r="AD258" s="114">
        <v>1</v>
      </c>
      <c r="AE258" s="114">
        <f>Y258+AA258+AB258+AC258+AD258</f>
        <v>7</v>
      </c>
      <c r="AF258" s="116" t="s">
        <v>63</v>
      </c>
      <c r="AG258" s="114">
        <f>AT258/17.1</f>
        <v>0.976608187134503</v>
      </c>
      <c r="AH258" s="114">
        <f>AU258/88.4</f>
        <v>0.610859728506787</v>
      </c>
      <c r="AI258" s="114">
        <f>AR258</f>
        <v>1.41</v>
      </c>
      <c r="AJ258" s="159">
        <f>LN(IF(AG258&gt;=1,AG258,1))*3.8+LN(IF(AH258&gt;=1,AH258,1))*9.6+11.2*LN(IF(AI258&gt;=1,AI258,1))+6.4*AN258</f>
        <v>10.2482046891689</v>
      </c>
      <c r="AK258" s="160">
        <f>IF(AND(AG258&gt;0,AH258&gt;0,AI258&gt;0),AJ258,"")</f>
        <v>10.2482046891689</v>
      </c>
      <c r="AL258" s="160">
        <f>AK258+1.59*(135-AM258)</f>
        <v>10.2482046891689</v>
      </c>
      <c r="AM258" s="160">
        <f>IF(AV258&gt;135,135,IF(AV258&lt;120,120,AV258))</f>
        <v>135</v>
      </c>
      <c r="AN258" s="114">
        <v>1</v>
      </c>
      <c r="AO258" s="114">
        <v>1</v>
      </c>
      <c r="AP258" s="114">
        <v>3.31</v>
      </c>
      <c r="AQ258" s="114">
        <v>117</v>
      </c>
      <c r="AR258" s="114">
        <v>1.41</v>
      </c>
      <c r="AS258" s="160">
        <v>32</v>
      </c>
      <c r="AT258" s="161">
        <v>16.7</v>
      </c>
      <c r="AU258" s="114">
        <v>54</v>
      </c>
      <c r="AV258" s="114">
        <v>141</v>
      </c>
      <c r="AZ258" s="119" t="s">
        <v>667</v>
      </c>
    </row>
    <row r="259" s="123" customFormat="1" spans="1:52">
      <c r="A259" s="123" t="s">
        <v>659</v>
      </c>
      <c r="B259" s="238" t="s">
        <v>48</v>
      </c>
      <c r="C259" s="238">
        <v>57</v>
      </c>
      <c r="D259" s="176">
        <v>1.6</v>
      </c>
      <c r="E259" s="238">
        <v>63</v>
      </c>
      <c r="F259" s="189">
        <f>E259/(D259*D259)</f>
        <v>24.609375</v>
      </c>
      <c r="G259" s="123">
        <v>6</v>
      </c>
      <c r="I259" s="177">
        <v>44249</v>
      </c>
      <c r="J259" s="177">
        <v>44258</v>
      </c>
      <c r="L259" s="178">
        <v>2</v>
      </c>
      <c r="M259" s="178">
        <v>9</v>
      </c>
      <c r="N259" s="179" t="s">
        <v>762</v>
      </c>
      <c r="O259" s="114"/>
      <c r="P259" s="114">
        <v>1</v>
      </c>
      <c r="Q259" s="114"/>
      <c r="R259" s="114"/>
      <c r="S259" s="114"/>
      <c r="T259" s="114">
        <v>1</v>
      </c>
      <c r="U259" s="114">
        <v>1</v>
      </c>
      <c r="V259" s="114">
        <v>1</v>
      </c>
      <c r="W259" s="114">
        <v>0</v>
      </c>
      <c r="X259" s="114">
        <v>0</v>
      </c>
      <c r="Y259" s="114">
        <v>2</v>
      </c>
      <c r="Z259" s="114" t="s">
        <v>300</v>
      </c>
      <c r="AA259" s="114">
        <v>2</v>
      </c>
      <c r="AB259" s="114">
        <v>3</v>
      </c>
      <c r="AC259" s="114">
        <v>2</v>
      </c>
      <c r="AD259" s="114">
        <v>1</v>
      </c>
      <c r="AE259" s="114">
        <f>Y259+AA259+AB259+AC259+AD259</f>
        <v>10</v>
      </c>
      <c r="AF259" s="116" t="s">
        <v>50</v>
      </c>
      <c r="AG259" s="114">
        <f>AT259/17.1</f>
        <v>8.46783625730994</v>
      </c>
      <c r="AH259" s="114">
        <f>AU259/88.4</f>
        <v>0.712669683257918</v>
      </c>
      <c r="AI259" s="114">
        <f>AR259</f>
        <v>1.5</v>
      </c>
      <c r="AJ259" s="159">
        <f>LN(IF(AG259&gt;=1,AG259,1))*3.8+LN(IF(AH259&gt;=1,AH259,1))*9.6+11.2*LN(IF(AI259&gt;=1,AI259,1))+6.4*AN259</f>
        <v>12.6590542732948</v>
      </c>
      <c r="AK259" s="160">
        <f>IF(AND(AG259&gt;0,AH259&gt;0,AI259&gt;0),AJ259,"")</f>
        <v>12.6590542732948</v>
      </c>
      <c r="AL259" s="160">
        <f>AK259+1.59*(135-AM259)</f>
        <v>12.6590542732948</v>
      </c>
      <c r="AM259" s="160">
        <f>IF(AV259&gt;135,135,IF(AV259&lt;120,120,AV259))</f>
        <v>135</v>
      </c>
      <c r="AN259" s="114">
        <v>0</v>
      </c>
      <c r="AO259" s="114">
        <v>1</v>
      </c>
      <c r="AP259" s="114">
        <v>5.14</v>
      </c>
      <c r="AQ259" s="114">
        <v>131</v>
      </c>
      <c r="AR259" s="114">
        <v>1.5</v>
      </c>
      <c r="AS259" s="160">
        <v>28</v>
      </c>
      <c r="AT259" s="161">
        <v>144.8</v>
      </c>
      <c r="AU259" s="114">
        <v>63</v>
      </c>
      <c r="AV259" s="114">
        <v>142</v>
      </c>
      <c r="AZ259" s="132" t="s">
        <v>661</v>
      </c>
    </row>
    <row r="260" s="125" customFormat="1" spans="1:52">
      <c r="A260" s="125" t="s">
        <v>709</v>
      </c>
      <c r="B260" s="237" t="s">
        <v>48</v>
      </c>
      <c r="C260" s="237">
        <v>68</v>
      </c>
      <c r="D260" s="185">
        <v>1.6</v>
      </c>
      <c r="E260" s="237">
        <v>73</v>
      </c>
      <c r="F260" s="136">
        <f>E260/(D260*D260)</f>
        <v>28.515625</v>
      </c>
      <c r="G260" s="125">
        <v>1</v>
      </c>
      <c r="I260" s="186">
        <v>44275</v>
      </c>
      <c r="J260" s="186">
        <v>44289</v>
      </c>
      <c r="K260" s="186">
        <v>44450</v>
      </c>
      <c r="L260" s="187">
        <v>2</v>
      </c>
      <c r="M260" s="187">
        <v>9</v>
      </c>
      <c r="N260" s="188" t="s">
        <v>762</v>
      </c>
      <c r="O260" s="114"/>
      <c r="P260" s="114">
        <v>1</v>
      </c>
      <c r="Q260" s="114"/>
      <c r="R260" s="114"/>
      <c r="S260" s="114"/>
      <c r="T260" s="114">
        <v>0</v>
      </c>
      <c r="U260" s="114">
        <v>0</v>
      </c>
      <c r="V260" s="114">
        <v>0</v>
      </c>
      <c r="W260" s="114">
        <v>1</v>
      </c>
      <c r="X260" s="114">
        <v>0</v>
      </c>
      <c r="Y260" s="114">
        <v>1</v>
      </c>
      <c r="Z260" s="114" t="s">
        <v>58</v>
      </c>
      <c r="AA260" s="114">
        <v>1</v>
      </c>
      <c r="AB260" s="114">
        <v>3</v>
      </c>
      <c r="AC260" s="114">
        <v>3</v>
      </c>
      <c r="AD260" s="114">
        <v>1</v>
      </c>
      <c r="AE260" s="114">
        <f>Y260+AA260+AB260+AC260+AD260</f>
        <v>9</v>
      </c>
      <c r="AF260" s="116" t="s">
        <v>63</v>
      </c>
      <c r="AG260" s="114">
        <f>AT260/17.1</f>
        <v>5.46783625730994</v>
      </c>
      <c r="AH260" s="114">
        <f>AU260/88.4</f>
        <v>0.723981900452489</v>
      </c>
      <c r="AI260" s="114">
        <f>AR260</f>
        <v>1.13</v>
      </c>
      <c r="AJ260" s="159">
        <f>LN(IF(AG260&gt;=1,AG260,1))*3.8+LN(IF(AH260&gt;=1,AH260,1))*9.6+11.2*LN(IF(AI260&gt;=1,AI260,1))+6.4*AN260</f>
        <v>7.82459278309849</v>
      </c>
      <c r="AK260" s="160">
        <f>IF(AND(AG260&gt;0,AH260&gt;0,AI260&gt;0),AJ260,"")</f>
        <v>7.82459278309849</v>
      </c>
      <c r="AL260" s="160">
        <f>AK260+1.59*(135-AM260)</f>
        <v>7.82459278309849</v>
      </c>
      <c r="AM260" s="160">
        <f>IF(AV260&gt;135,135,IF(AV260&lt;120,120,AV260))</f>
        <v>135</v>
      </c>
      <c r="AN260" s="114">
        <v>0</v>
      </c>
      <c r="AO260" s="114">
        <v>1</v>
      </c>
      <c r="AP260" s="114">
        <v>11.33</v>
      </c>
      <c r="AQ260" s="114">
        <v>129</v>
      </c>
      <c r="AR260" s="114">
        <v>1.13</v>
      </c>
      <c r="AS260" s="160">
        <v>25</v>
      </c>
      <c r="AT260" s="161">
        <v>93.5</v>
      </c>
      <c r="AU260" s="114">
        <v>64</v>
      </c>
      <c r="AV260" s="114">
        <v>137</v>
      </c>
      <c r="AZ260" s="131" t="s">
        <v>763</v>
      </c>
    </row>
    <row r="261" spans="1:52">
      <c r="A261" s="117" t="s">
        <v>675</v>
      </c>
      <c r="B261" s="234" t="s">
        <v>53</v>
      </c>
      <c r="C261" s="234">
        <v>51</v>
      </c>
      <c r="D261" s="135">
        <v>1.65</v>
      </c>
      <c r="E261" s="234">
        <v>65</v>
      </c>
      <c r="F261" s="136">
        <f>E261/(D261*D261)</f>
        <v>23.8751147842057</v>
      </c>
      <c r="G261" s="117">
        <v>0</v>
      </c>
      <c r="I261" s="158">
        <v>44261</v>
      </c>
      <c r="J261" s="158">
        <v>44274</v>
      </c>
      <c r="L261" s="137">
        <v>1</v>
      </c>
      <c r="M261" s="138">
        <v>14</v>
      </c>
      <c r="N261" s="139" t="s">
        <v>764</v>
      </c>
      <c r="O261" s="114"/>
      <c r="P261" s="114"/>
      <c r="Q261" s="114"/>
      <c r="R261" s="114"/>
      <c r="S261" s="114">
        <v>1</v>
      </c>
      <c r="T261" s="114">
        <v>1</v>
      </c>
      <c r="U261" s="114">
        <v>0</v>
      </c>
      <c r="V261" s="114">
        <v>1</v>
      </c>
      <c r="W261" s="114">
        <v>0</v>
      </c>
      <c r="X261" s="114">
        <v>0</v>
      </c>
      <c r="Y261" s="114">
        <v>1</v>
      </c>
      <c r="Z261" s="114" t="s">
        <v>321</v>
      </c>
      <c r="AA261" s="114">
        <v>3</v>
      </c>
      <c r="AB261" s="114">
        <v>2</v>
      </c>
      <c r="AC261" s="114">
        <v>2</v>
      </c>
      <c r="AD261" s="114">
        <v>1</v>
      </c>
      <c r="AE261" s="114">
        <f>Y261+AA261+AB261+AC261+AD261</f>
        <v>9</v>
      </c>
      <c r="AF261" s="116" t="s">
        <v>63</v>
      </c>
      <c r="AG261" s="114">
        <f>AT261/17.1</f>
        <v>2.05263157894737</v>
      </c>
      <c r="AH261" s="114">
        <f>AU261/88.4</f>
        <v>0.531674208144796</v>
      </c>
      <c r="AI261" s="114">
        <f>AR261</f>
        <v>1.27</v>
      </c>
      <c r="AJ261" s="159">
        <f>LN(IF(AG261&gt;=1,AG261,1))*3.8+LN(IF(AH261&gt;=1,AH261,1))*9.6+11.2*LN(IF(AI261&gt;=1,AI261,1))+6.4*AN261</f>
        <v>11.8096554197298</v>
      </c>
      <c r="AK261" s="160">
        <f>IF(AND(AG261&gt;0,AH261&gt;0,AI261&gt;0),AJ261,"")</f>
        <v>11.8096554197298</v>
      </c>
      <c r="AL261" s="160">
        <f>AK261+1.59*(135-AM261)</f>
        <v>11.8096554197298</v>
      </c>
      <c r="AM261" s="160">
        <f>IF(AV261&gt;135,135,IF(AV261&lt;120,120,AV261))</f>
        <v>135</v>
      </c>
      <c r="AN261" s="114">
        <v>1</v>
      </c>
      <c r="AO261" s="114">
        <v>1</v>
      </c>
      <c r="AP261" s="114">
        <v>2.17</v>
      </c>
      <c r="AQ261" s="114">
        <v>67</v>
      </c>
      <c r="AR261" s="114">
        <v>1.27</v>
      </c>
      <c r="AS261" s="160">
        <v>31</v>
      </c>
      <c r="AT261" s="161">
        <v>35.1</v>
      </c>
      <c r="AU261" s="114">
        <v>47</v>
      </c>
      <c r="AV261" s="114">
        <v>137</v>
      </c>
      <c r="AZ261" s="119" t="s">
        <v>677</v>
      </c>
    </row>
    <row r="262" s="123" customFormat="1" spans="1:52">
      <c r="A262" s="123" t="s">
        <v>688</v>
      </c>
      <c r="B262" s="238" t="s">
        <v>53</v>
      </c>
      <c r="C262" s="238">
        <v>67</v>
      </c>
      <c r="D262" s="176">
        <v>1.58</v>
      </c>
      <c r="E262" s="238">
        <v>65</v>
      </c>
      <c r="F262" s="189">
        <f>E262/(D262*D262)</f>
        <v>26.0374939913475</v>
      </c>
      <c r="G262" s="123">
        <v>1</v>
      </c>
      <c r="I262" s="177">
        <v>44264</v>
      </c>
      <c r="J262" s="177">
        <v>44271</v>
      </c>
      <c r="L262" s="178">
        <v>7</v>
      </c>
      <c r="M262" s="178">
        <v>7</v>
      </c>
      <c r="N262" s="179" t="s">
        <v>765</v>
      </c>
      <c r="O262" s="114"/>
      <c r="P262" s="114"/>
      <c r="Q262" s="114"/>
      <c r="R262" s="114"/>
      <c r="S262" s="114">
        <v>1</v>
      </c>
      <c r="T262" s="114">
        <v>1</v>
      </c>
      <c r="U262" s="114">
        <v>0</v>
      </c>
      <c r="V262" s="114">
        <v>1</v>
      </c>
      <c r="W262" s="114">
        <v>0</v>
      </c>
      <c r="X262" s="114">
        <v>1</v>
      </c>
      <c r="Y262" s="114">
        <v>1</v>
      </c>
      <c r="Z262" s="114" t="s">
        <v>300</v>
      </c>
      <c r="AA262" s="114">
        <v>2</v>
      </c>
      <c r="AB262" s="114">
        <v>1</v>
      </c>
      <c r="AC262" s="114">
        <v>3</v>
      </c>
      <c r="AD262" s="114">
        <v>2</v>
      </c>
      <c r="AE262" s="114">
        <f>Y262+AA262+AB262+AC262+AD262</f>
        <v>9</v>
      </c>
      <c r="AF262" s="116" t="s">
        <v>63</v>
      </c>
      <c r="AG262" s="114">
        <f>AT262/17.1</f>
        <v>1.50292397660819</v>
      </c>
      <c r="AH262" s="114">
        <f>AU262/88.4</f>
        <v>0.418552036199095</v>
      </c>
      <c r="AI262" s="114">
        <f>AR262</f>
        <v>1.86</v>
      </c>
      <c r="AJ262" s="159">
        <f>LN(IF(AG262&gt;=1,AG262,1))*3.8+LN(IF(AH262&gt;=1,AH262,1))*9.6+11.2*LN(IF(AI262&gt;=1,AI262,1))+6.4*AN262</f>
        <v>14.898624270413</v>
      </c>
      <c r="AK262" s="160">
        <f>IF(AND(AG262&gt;0,AH262&gt;0,AI262&gt;0),AJ262,"")</f>
        <v>14.898624270413</v>
      </c>
      <c r="AL262" s="160">
        <f>AK262+1.59*(135-AM262)</f>
        <v>14.898624270413</v>
      </c>
      <c r="AM262" s="160">
        <f>IF(AV262&gt;135,135,IF(AV262&lt;120,120,AV262))</f>
        <v>135</v>
      </c>
      <c r="AN262" s="114">
        <v>1</v>
      </c>
      <c r="AO262" s="114">
        <v>2</v>
      </c>
      <c r="AP262" s="114">
        <v>2.61</v>
      </c>
      <c r="AQ262" s="114">
        <v>87</v>
      </c>
      <c r="AR262" s="114">
        <v>1.86</v>
      </c>
      <c r="AS262" s="160">
        <v>23</v>
      </c>
      <c r="AT262" s="161">
        <v>25.7</v>
      </c>
      <c r="AU262" s="114">
        <v>37</v>
      </c>
      <c r="AV262" s="114">
        <v>141</v>
      </c>
      <c r="AZ262" s="132" t="s">
        <v>58</v>
      </c>
    </row>
    <row r="263" spans="1:52">
      <c r="A263" s="117" t="s">
        <v>690</v>
      </c>
      <c r="B263" s="234" t="s">
        <v>53</v>
      </c>
      <c r="C263" s="234">
        <v>69</v>
      </c>
      <c r="D263" s="135">
        <v>1.62</v>
      </c>
      <c r="E263" s="234">
        <v>75</v>
      </c>
      <c r="F263" s="136">
        <f>E263/(D263*D263)</f>
        <v>28.5779606767261</v>
      </c>
      <c r="G263" s="117">
        <v>0</v>
      </c>
      <c r="I263" s="158">
        <v>44258</v>
      </c>
      <c r="J263" s="158">
        <v>44278</v>
      </c>
      <c r="L263" s="137">
        <v>5</v>
      </c>
      <c r="M263" s="138">
        <v>20</v>
      </c>
      <c r="N263" s="139" t="s">
        <v>766</v>
      </c>
      <c r="O263" s="114">
        <v>1</v>
      </c>
      <c r="P263" s="114"/>
      <c r="Q263" s="114"/>
      <c r="R263" s="114"/>
      <c r="S263" s="114"/>
      <c r="T263" s="114">
        <v>0</v>
      </c>
      <c r="U263" s="114">
        <v>0</v>
      </c>
      <c r="V263" s="114">
        <v>1</v>
      </c>
      <c r="W263" s="114">
        <v>0</v>
      </c>
      <c r="X263" s="114">
        <v>0</v>
      </c>
      <c r="Y263" s="114">
        <v>1</v>
      </c>
      <c r="Z263" s="114" t="s">
        <v>58</v>
      </c>
      <c r="AA263" s="114">
        <v>1</v>
      </c>
      <c r="AB263" s="114">
        <v>1</v>
      </c>
      <c r="AC263" s="114">
        <v>2</v>
      </c>
      <c r="AD263" s="114">
        <v>1</v>
      </c>
      <c r="AE263" s="114">
        <f>Y263+AA263+AB263+AC263+AD263</f>
        <v>6</v>
      </c>
      <c r="AF263" s="116" t="s">
        <v>59</v>
      </c>
      <c r="AG263" s="114">
        <f>AT263/17.1</f>
        <v>1.12280701754386</v>
      </c>
      <c r="AH263" s="114">
        <f>AU263/88.4</f>
        <v>0.701357466063348</v>
      </c>
      <c r="AI263" s="114">
        <f>AR263</f>
        <v>1.34</v>
      </c>
      <c r="AJ263" s="159">
        <f>LN(IF(AG263&gt;=1,AG263,1))*3.8+LN(IF(AH263&gt;=1,AH263,1))*9.6+11.2*LN(IF(AI263&gt;=1,AI263,1))+6.4*AN263</f>
        <v>10.118060575379</v>
      </c>
      <c r="AK263" s="160">
        <f>IF(AND(AG263&gt;0,AH263&gt;0,AI263&gt;0),AJ263,"")</f>
        <v>10.118060575379</v>
      </c>
      <c r="AL263" s="160">
        <f>AK263+1.59*(135-AM263)</f>
        <v>10.118060575379</v>
      </c>
      <c r="AM263" s="160">
        <f>IF(AV263&gt;135,135,IF(AV263&lt;120,120,AV263))</f>
        <v>135</v>
      </c>
      <c r="AN263" s="114">
        <v>1</v>
      </c>
      <c r="AO263" s="114">
        <v>1</v>
      </c>
      <c r="AP263" s="114">
        <v>1.13</v>
      </c>
      <c r="AQ263" s="114">
        <v>97</v>
      </c>
      <c r="AR263" s="114">
        <v>1.34</v>
      </c>
      <c r="AS263" s="160">
        <v>35</v>
      </c>
      <c r="AT263" s="161">
        <v>19.2</v>
      </c>
      <c r="AU263" s="114">
        <v>62</v>
      </c>
      <c r="AV263" s="114">
        <v>140</v>
      </c>
      <c r="AZ263" s="119" t="s">
        <v>692</v>
      </c>
    </row>
    <row r="264" s="131" customFormat="1" spans="1:52">
      <c r="A264" s="131" t="s">
        <v>504</v>
      </c>
      <c r="B264" s="243" t="s">
        <v>48</v>
      </c>
      <c r="C264" s="243">
        <v>56</v>
      </c>
      <c r="D264" s="244">
        <v>1.81</v>
      </c>
      <c r="E264" s="243">
        <v>70</v>
      </c>
      <c r="F264" s="245">
        <f>E264/(D264*D264)</f>
        <v>21.3668691431885</v>
      </c>
      <c r="G264" s="131">
        <v>6</v>
      </c>
      <c r="I264" s="246">
        <v>44257</v>
      </c>
      <c r="J264" s="246">
        <v>44267</v>
      </c>
      <c r="L264" s="247">
        <v>5</v>
      </c>
      <c r="M264" s="247">
        <v>10</v>
      </c>
      <c r="N264" s="248" t="s">
        <v>767</v>
      </c>
      <c r="O264" s="116"/>
      <c r="P264" s="116">
        <v>1</v>
      </c>
      <c r="Q264" s="116"/>
      <c r="R264" s="116"/>
      <c r="S264" s="116"/>
      <c r="T264" s="116">
        <v>1</v>
      </c>
      <c r="U264" s="116">
        <v>0</v>
      </c>
      <c r="V264" s="116">
        <v>1</v>
      </c>
      <c r="W264" s="116">
        <v>0</v>
      </c>
      <c r="X264" s="116">
        <v>1</v>
      </c>
      <c r="Y264" s="116">
        <v>1</v>
      </c>
      <c r="Z264" s="116" t="s">
        <v>307</v>
      </c>
      <c r="AA264" s="116">
        <v>3</v>
      </c>
      <c r="AB264" s="116">
        <v>1</v>
      </c>
      <c r="AC264" s="116">
        <v>2</v>
      </c>
      <c r="AD264" s="114">
        <v>1</v>
      </c>
      <c r="AE264" s="116">
        <f>Y264+AA264+AB264+AC264+AD264</f>
        <v>8</v>
      </c>
      <c r="AF264" s="116" t="s">
        <v>63</v>
      </c>
      <c r="AG264" s="114">
        <f>AT264/17.1</f>
        <v>1.39766081871345</v>
      </c>
      <c r="AH264" s="114">
        <f>AU264/88.4</f>
        <v>0.633484162895928</v>
      </c>
      <c r="AI264" s="114">
        <f>AR264</f>
        <v>1.65</v>
      </c>
      <c r="AJ264" s="159">
        <f>LN(IF(AG264&gt;=1,AG264,1))*3.8+LN(IF(AH264&gt;=1,AH264,1))*9.6+11.2*LN(IF(AI264&gt;=1,AI264,1))+6.4*AN264</f>
        <v>6.88092320724951</v>
      </c>
      <c r="AK264" s="160">
        <f>IF(AND(AG264&gt;0,AH264&gt;0,AI264&gt;0),AJ264,"")</f>
        <v>6.88092320724951</v>
      </c>
      <c r="AL264" s="160">
        <f>AK264+1.59*(135-AM264)</f>
        <v>6.88092320724951</v>
      </c>
      <c r="AM264" s="160">
        <f>IF(AV264&gt;135,135,IF(AV264&lt;120,120,AV264))</f>
        <v>135</v>
      </c>
      <c r="AN264" s="116">
        <v>0</v>
      </c>
      <c r="AO264" s="116">
        <v>1</v>
      </c>
      <c r="AP264" s="116">
        <v>2.39</v>
      </c>
      <c r="AQ264" s="116">
        <v>61</v>
      </c>
      <c r="AR264" s="116">
        <v>1.65</v>
      </c>
      <c r="AS264" s="202">
        <v>30</v>
      </c>
      <c r="AT264" s="203">
        <v>23.9</v>
      </c>
      <c r="AU264" s="116">
        <v>56</v>
      </c>
      <c r="AV264" s="116">
        <v>141</v>
      </c>
      <c r="AZ264" s="131" t="s">
        <v>58</v>
      </c>
    </row>
    <row r="265" s="125" customFormat="1" spans="1:52">
      <c r="A265" s="125" t="s">
        <v>693</v>
      </c>
      <c r="B265" s="237" t="s">
        <v>53</v>
      </c>
      <c r="C265" s="237">
        <v>57</v>
      </c>
      <c r="D265" s="185">
        <v>1.6</v>
      </c>
      <c r="E265" s="237">
        <v>52.5</v>
      </c>
      <c r="F265" s="136">
        <f>E265/(D265*D265)</f>
        <v>20.5078125</v>
      </c>
      <c r="G265" s="125">
        <v>1</v>
      </c>
      <c r="I265" s="186">
        <v>44265</v>
      </c>
      <c r="J265" s="186">
        <v>44272</v>
      </c>
      <c r="K265" s="186">
        <v>44378</v>
      </c>
      <c r="L265" s="187">
        <v>1</v>
      </c>
      <c r="M265" s="138">
        <v>7</v>
      </c>
      <c r="N265" s="188" t="s">
        <v>768</v>
      </c>
      <c r="O265" s="114"/>
      <c r="P265" s="114"/>
      <c r="Q265" s="114">
        <v>1</v>
      </c>
      <c r="R265" s="114"/>
      <c r="S265" s="114"/>
      <c r="T265" s="114">
        <v>0</v>
      </c>
      <c r="U265" s="114">
        <v>0</v>
      </c>
      <c r="V265" s="114">
        <v>1</v>
      </c>
      <c r="W265" s="114">
        <v>0</v>
      </c>
      <c r="X265" s="114">
        <v>0</v>
      </c>
      <c r="Y265" s="114">
        <v>1</v>
      </c>
      <c r="Z265" s="114" t="s">
        <v>58</v>
      </c>
      <c r="AA265" s="114">
        <v>1</v>
      </c>
      <c r="AB265" s="114">
        <v>3</v>
      </c>
      <c r="AC265" s="114">
        <v>3</v>
      </c>
      <c r="AD265" s="114">
        <v>1</v>
      </c>
      <c r="AE265" s="114">
        <f>Y265+AA265+AB265+AC265+AD265</f>
        <v>9</v>
      </c>
      <c r="AF265" s="116" t="s">
        <v>63</v>
      </c>
      <c r="AG265" s="114">
        <f>AT265/17.1</f>
        <v>8.49122807017544</v>
      </c>
      <c r="AH265" s="114">
        <f>AU265/88.4</f>
        <v>0.610859728506787</v>
      </c>
      <c r="AI265" s="114">
        <f>AR265</f>
        <v>1.13</v>
      </c>
      <c r="AJ265" s="159">
        <f>LN(IF(AG265&gt;=1,AG265,1))*3.8+LN(IF(AH265&gt;=1,AH265,1))*9.6+11.2*LN(IF(AI265&gt;=1,AI265,1))+6.4*AN265</f>
        <v>15.8971653142635</v>
      </c>
      <c r="AK265" s="160">
        <f>IF(AND(AG265&gt;0,AH265&gt;0,AI265&gt;0),AJ265,"")</f>
        <v>15.8971653142635</v>
      </c>
      <c r="AL265" s="160">
        <f>AK265+1.59*(135-AM265)</f>
        <v>15.8971653142635</v>
      </c>
      <c r="AM265" s="160">
        <f>IF(AV265&gt;135,135,IF(AV265&lt;120,120,AV265))</f>
        <v>135</v>
      </c>
      <c r="AN265" s="114">
        <v>1</v>
      </c>
      <c r="AO265" s="114">
        <v>2</v>
      </c>
      <c r="AP265" s="114">
        <v>4.25</v>
      </c>
      <c r="AQ265" s="114">
        <v>71</v>
      </c>
      <c r="AR265" s="114">
        <v>1.13</v>
      </c>
      <c r="AS265" s="160">
        <v>24</v>
      </c>
      <c r="AT265" s="161">
        <v>145.2</v>
      </c>
      <c r="AU265" s="114">
        <v>54</v>
      </c>
      <c r="AV265" s="114">
        <v>142</v>
      </c>
      <c r="AZ265" s="131" t="s">
        <v>769</v>
      </c>
    </row>
    <row r="266" spans="1:52">
      <c r="A266" s="117" t="s">
        <v>700</v>
      </c>
      <c r="B266" s="234" t="s">
        <v>53</v>
      </c>
      <c r="C266" s="234">
        <v>72</v>
      </c>
      <c r="D266" s="135">
        <v>1.56</v>
      </c>
      <c r="E266" s="234">
        <v>65</v>
      </c>
      <c r="F266" s="136">
        <f>E266/(D266*D266)</f>
        <v>26.7094017094017</v>
      </c>
      <c r="G266" s="117">
        <v>3</v>
      </c>
      <c r="I266" s="158">
        <v>44267</v>
      </c>
      <c r="J266" s="158">
        <v>44273</v>
      </c>
      <c r="L266" s="137">
        <v>1</v>
      </c>
      <c r="M266" s="138">
        <v>6</v>
      </c>
      <c r="N266" s="139" t="s">
        <v>770</v>
      </c>
      <c r="O266" s="114"/>
      <c r="P266" s="114"/>
      <c r="Q266" s="114">
        <v>1</v>
      </c>
      <c r="R266" s="114">
        <v>1</v>
      </c>
      <c r="S266" s="114"/>
      <c r="T266" s="114">
        <v>0</v>
      </c>
      <c r="U266" s="114">
        <v>0</v>
      </c>
      <c r="V266" s="114">
        <v>0</v>
      </c>
      <c r="W266" s="114">
        <v>0</v>
      </c>
      <c r="X266" s="114">
        <v>0</v>
      </c>
      <c r="Y266" s="114">
        <v>1</v>
      </c>
      <c r="Z266" s="114" t="s">
        <v>58</v>
      </c>
      <c r="AA266" s="114">
        <v>1</v>
      </c>
      <c r="AB266" s="114">
        <v>1</v>
      </c>
      <c r="AC266" s="114">
        <v>2</v>
      </c>
      <c r="AD266" s="114">
        <v>1</v>
      </c>
      <c r="AE266" s="114">
        <f>Y266+AA266+AB266+AC266+AD266</f>
        <v>6</v>
      </c>
      <c r="AF266" s="116" t="s">
        <v>59</v>
      </c>
      <c r="AG266" s="114">
        <f>AT266/17.1</f>
        <v>1.09941520467836</v>
      </c>
      <c r="AH266" s="114">
        <f>AU266/88.4</f>
        <v>0.418552036199095</v>
      </c>
      <c r="AI266" s="114">
        <f>AR266</f>
        <v>1.04</v>
      </c>
      <c r="AJ266" s="159">
        <f>LN(IF(AG266&gt;=1,AG266,1))*3.8+LN(IF(AH266&gt;=1,AH266,1))*9.6+11.2*LN(IF(AI266&gt;=1,AI266,1))+6.4*AN266</f>
        <v>0.79942993136045</v>
      </c>
      <c r="AK266" s="160">
        <f>IF(AND(AG266&gt;0,AH266&gt;0,AI266&gt;0),AJ266,"")</f>
        <v>0.79942993136045</v>
      </c>
      <c r="AL266" s="160">
        <f>AK266+1.59*(135-AM266)</f>
        <v>0.79942993136045</v>
      </c>
      <c r="AM266" s="160">
        <f>IF(AV266&gt;135,135,IF(AV266&lt;120,120,AV266))</f>
        <v>135</v>
      </c>
      <c r="AN266" s="114">
        <v>0</v>
      </c>
      <c r="AO266" s="114">
        <v>1</v>
      </c>
      <c r="AP266" s="114">
        <v>7.14</v>
      </c>
      <c r="AQ266" s="114">
        <v>127</v>
      </c>
      <c r="AR266" s="114">
        <v>1.04</v>
      </c>
      <c r="AS266" s="160">
        <v>34</v>
      </c>
      <c r="AT266" s="161">
        <v>18.8</v>
      </c>
      <c r="AU266" s="114">
        <v>37</v>
      </c>
      <c r="AV266" s="114">
        <v>136</v>
      </c>
      <c r="AZ266" s="119" t="s">
        <v>771</v>
      </c>
    </row>
    <row r="267" spans="1:52">
      <c r="A267" s="117" t="s">
        <v>703</v>
      </c>
      <c r="B267" s="234" t="s">
        <v>53</v>
      </c>
      <c r="C267" s="234">
        <v>68</v>
      </c>
      <c r="D267" s="135">
        <v>1.66</v>
      </c>
      <c r="E267" s="234">
        <v>78</v>
      </c>
      <c r="F267" s="136">
        <f>E267/(D267*D267)</f>
        <v>28.3059950645957</v>
      </c>
      <c r="G267" s="117">
        <v>0</v>
      </c>
      <c r="I267" s="158">
        <v>44265</v>
      </c>
      <c r="J267" s="158">
        <v>44275</v>
      </c>
      <c r="L267" s="137">
        <v>1</v>
      </c>
      <c r="M267" s="137">
        <v>10</v>
      </c>
      <c r="N267" s="139" t="s">
        <v>704</v>
      </c>
      <c r="O267" s="114">
        <v>1</v>
      </c>
      <c r="P267" s="114"/>
      <c r="Q267" s="114"/>
      <c r="R267" s="114"/>
      <c r="S267" s="114"/>
      <c r="T267" s="114">
        <v>0</v>
      </c>
      <c r="U267" s="114">
        <v>0</v>
      </c>
      <c r="V267" s="114">
        <v>1</v>
      </c>
      <c r="W267" s="114">
        <v>0</v>
      </c>
      <c r="X267" s="114">
        <v>0</v>
      </c>
      <c r="Y267" s="114">
        <v>1</v>
      </c>
      <c r="Z267" s="114" t="s">
        <v>58</v>
      </c>
      <c r="AA267" s="114">
        <v>1</v>
      </c>
      <c r="AB267" s="114">
        <v>1</v>
      </c>
      <c r="AC267" s="114">
        <v>1</v>
      </c>
      <c r="AD267" s="230">
        <v>1</v>
      </c>
      <c r="AE267" s="114">
        <f>Y267+AA267+AB267+AC267+AD267</f>
        <v>5</v>
      </c>
      <c r="AF267" s="116" t="s">
        <v>59</v>
      </c>
      <c r="AG267" s="114">
        <f>AT267/17.1</f>
        <v>1.12865497076023</v>
      </c>
      <c r="AH267" s="114">
        <f>AU267/88.4</f>
        <v>0.565610859728507</v>
      </c>
      <c r="AI267" s="114">
        <f>AR267</f>
        <v>1.15</v>
      </c>
      <c r="AJ267" s="159">
        <f>LN(IF(AG267&gt;=1,AG267,1))*3.8+LN(IF(AH267&gt;=1,AH267,1))*9.6+11.2*LN(IF(AI267&gt;=1,AI267,1))+6.4*AN267</f>
        <v>8.42523495773023</v>
      </c>
      <c r="AK267" s="160">
        <f>IF(AND(AG267&gt;0,AH267&gt;0,AI267&gt;0),AJ267,"")</f>
        <v>8.42523495773023</v>
      </c>
      <c r="AL267" s="160">
        <f>AK267+1.59*(135-AM267)</f>
        <v>8.42523495773023</v>
      </c>
      <c r="AM267" s="160">
        <f>IF(AV267&gt;135,135,IF(AV267&lt;120,120,AV267))</f>
        <v>135</v>
      </c>
      <c r="AN267" s="114">
        <v>1</v>
      </c>
      <c r="AO267" s="114">
        <v>1</v>
      </c>
      <c r="AP267" s="114">
        <v>3.53</v>
      </c>
      <c r="AQ267" s="114">
        <v>125</v>
      </c>
      <c r="AR267" s="114">
        <v>1.15</v>
      </c>
      <c r="AS267" s="160">
        <v>36</v>
      </c>
      <c r="AT267" s="161">
        <v>19.3</v>
      </c>
      <c r="AU267" s="138">
        <v>50</v>
      </c>
      <c r="AV267" s="114">
        <v>142</v>
      </c>
      <c r="AZ267" s="119" t="s">
        <v>705</v>
      </c>
    </row>
    <row r="268" s="125" customFormat="1" spans="1:52">
      <c r="A268" s="125" t="s">
        <v>726</v>
      </c>
      <c r="B268" s="125" t="s">
        <v>53</v>
      </c>
      <c r="C268" s="125" t="s">
        <v>772</v>
      </c>
      <c r="D268" s="185">
        <v>1.58</v>
      </c>
      <c r="E268" s="125">
        <v>47</v>
      </c>
      <c r="F268" s="216">
        <f>E268/(D268*D268)</f>
        <v>18.8271110398974</v>
      </c>
      <c r="G268" s="125">
        <v>1</v>
      </c>
      <c r="I268" s="186">
        <v>44323</v>
      </c>
      <c r="J268" s="186">
        <v>44354</v>
      </c>
      <c r="L268" s="187">
        <v>9</v>
      </c>
      <c r="M268" s="187">
        <v>31</v>
      </c>
      <c r="N268" s="188" t="s">
        <v>773</v>
      </c>
      <c r="O268" s="114"/>
      <c r="P268" s="114"/>
      <c r="Q268" s="114">
        <v>1</v>
      </c>
      <c r="R268" s="114">
        <v>1</v>
      </c>
      <c r="S268" s="114"/>
      <c r="T268" s="114">
        <v>0</v>
      </c>
      <c r="U268" s="114">
        <v>0</v>
      </c>
      <c r="V268" s="114">
        <v>1</v>
      </c>
      <c r="W268" s="114">
        <v>1</v>
      </c>
      <c r="X268" s="114">
        <v>0</v>
      </c>
      <c r="Y268" s="114">
        <v>1</v>
      </c>
      <c r="Z268" s="114" t="s">
        <v>58</v>
      </c>
      <c r="AA268" s="114">
        <v>1</v>
      </c>
      <c r="AB268" s="114">
        <v>1</v>
      </c>
      <c r="AC268" s="114">
        <v>3</v>
      </c>
      <c r="AD268" s="114">
        <v>1</v>
      </c>
      <c r="AE268" s="114">
        <f>Y268+AA268+AB268+AC268+AD268</f>
        <v>7</v>
      </c>
      <c r="AF268" s="116" t="s">
        <v>63</v>
      </c>
      <c r="AG268" s="114">
        <f>AT268/17.1</f>
        <v>3.45029239766082</v>
      </c>
      <c r="AH268" s="114">
        <f>AU268/88.4</f>
        <v>0.656108597285068</v>
      </c>
      <c r="AI268" s="114">
        <f>AR268</f>
        <v>1.46</v>
      </c>
      <c r="AJ268" s="159">
        <f>LN(IF(AG268&gt;=1,AG268,1))*3.8+LN(IF(AH268&gt;=1,AH268,1))*9.6+11.2*LN(IF(AI268&gt;=1,AI268,1))+6.4*AN268</f>
        <v>8.94463220557574</v>
      </c>
      <c r="AK268" s="160">
        <f>IF(AND(AG268&gt;0,AH268&gt;0,AI268&gt;0),AJ268,"")</f>
        <v>8.94463220557574</v>
      </c>
      <c r="AL268" s="160">
        <f>AK268+1.59*(135-AM268)</f>
        <v>8.94463220557574</v>
      </c>
      <c r="AM268" s="160">
        <f>IF(AV268&gt;135,135,IF(AV268&lt;120,120,AV268))</f>
        <v>135</v>
      </c>
      <c r="AN268" s="114">
        <v>0</v>
      </c>
      <c r="AO268" s="114">
        <v>1</v>
      </c>
      <c r="AP268" s="114">
        <v>4.4</v>
      </c>
      <c r="AQ268" s="114">
        <v>109</v>
      </c>
      <c r="AR268" s="114">
        <v>1.46</v>
      </c>
      <c r="AS268" s="160">
        <v>26</v>
      </c>
      <c r="AT268" s="114">
        <v>59</v>
      </c>
      <c r="AU268" s="114">
        <v>58</v>
      </c>
      <c r="AV268" s="114">
        <v>140</v>
      </c>
      <c r="AZ268" s="131" t="s">
        <v>774</v>
      </c>
    </row>
    <row r="269" s="123" customFormat="1" spans="1:52">
      <c r="A269" s="123" t="s">
        <v>775</v>
      </c>
      <c r="B269" s="123" t="s">
        <v>53</v>
      </c>
      <c r="C269" s="123">
        <v>81</v>
      </c>
      <c r="D269" s="176">
        <v>1.6</v>
      </c>
      <c r="E269" s="123">
        <v>55</v>
      </c>
      <c r="F269" s="189">
        <f>E269/(D269*D269)</f>
        <v>21.484375</v>
      </c>
      <c r="G269" s="123">
        <v>1</v>
      </c>
      <c r="I269" s="177">
        <v>44322</v>
      </c>
      <c r="J269" s="177">
        <v>44331</v>
      </c>
      <c r="L269" s="178">
        <v>1</v>
      </c>
      <c r="M269" s="178">
        <v>9</v>
      </c>
      <c r="N269" s="179" t="s">
        <v>776</v>
      </c>
      <c r="O269" s="114"/>
      <c r="P269" s="114"/>
      <c r="Q269" s="114"/>
      <c r="R269" s="114"/>
      <c r="S269" s="114">
        <v>1</v>
      </c>
      <c r="T269" s="114">
        <v>1</v>
      </c>
      <c r="U269" s="114">
        <v>0</v>
      </c>
      <c r="V269" s="114">
        <v>1</v>
      </c>
      <c r="W269" s="114">
        <v>0</v>
      </c>
      <c r="X269" s="114">
        <v>0</v>
      </c>
      <c r="Y269" s="114">
        <v>1</v>
      </c>
      <c r="Z269" s="114" t="s">
        <v>321</v>
      </c>
      <c r="AA269" s="114">
        <v>3</v>
      </c>
      <c r="AB269" s="114">
        <v>2</v>
      </c>
      <c r="AC269" s="114">
        <v>3</v>
      </c>
      <c r="AD269" s="114">
        <v>1</v>
      </c>
      <c r="AE269" s="114">
        <f>Y269+AA269+AB269+AC269+AD269</f>
        <v>10</v>
      </c>
      <c r="AF269" s="116" t="s">
        <v>50</v>
      </c>
      <c r="AG269" s="114">
        <f>AT269/17.1</f>
        <v>2.71929824561403</v>
      </c>
      <c r="AH269" s="114">
        <f>AU269/88.4</f>
        <v>0.644796380090498</v>
      </c>
      <c r="AI269" s="114">
        <f>AR269</f>
        <v>1.39</v>
      </c>
      <c r="AJ269" s="159">
        <f>LN(IF(AG269&gt;=1,AG269,1))*3.8+LN(IF(AH269&gt;=1,AH269,1))*9.6+11.2*LN(IF(AI269&gt;=1,AI269,1))+6.4*AN269</f>
        <v>13.889622594519</v>
      </c>
      <c r="AK269" s="160">
        <f>IF(AND(AG269&gt;0,AH269&gt;0,AI269&gt;0),AJ269,"")</f>
        <v>13.889622594519</v>
      </c>
      <c r="AL269" s="160">
        <f>AK269+1.59*(135-AM269)</f>
        <v>17.069622594519</v>
      </c>
      <c r="AM269" s="160">
        <f>IF(AV269&gt;135,135,IF(AV269&lt;120,120,AV269))</f>
        <v>133</v>
      </c>
      <c r="AN269" s="114">
        <v>1</v>
      </c>
      <c r="AO269" s="114">
        <v>1</v>
      </c>
      <c r="AP269" s="114">
        <v>2.09</v>
      </c>
      <c r="AQ269" s="114">
        <v>72</v>
      </c>
      <c r="AR269" s="114">
        <v>1.39</v>
      </c>
      <c r="AS269" s="160">
        <v>20</v>
      </c>
      <c r="AT269" s="114">
        <v>46.5</v>
      </c>
      <c r="AU269" s="114">
        <v>57</v>
      </c>
      <c r="AV269" s="114">
        <v>133</v>
      </c>
      <c r="AZ269" s="132" t="s">
        <v>777</v>
      </c>
    </row>
    <row r="270" spans="1:52">
      <c r="A270" s="117" t="s">
        <v>778</v>
      </c>
      <c r="B270" s="117" t="s">
        <v>53</v>
      </c>
      <c r="C270" s="117">
        <v>55</v>
      </c>
      <c r="D270" s="135">
        <v>1.6</v>
      </c>
      <c r="E270" s="117">
        <v>55</v>
      </c>
      <c r="F270" s="136">
        <f>E270/(D270*D270)</f>
        <v>21.484375</v>
      </c>
      <c r="G270" s="117">
        <v>1</v>
      </c>
      <c r="I270" s="158">
        <v>44324</v>
      </c>
      <c r="J270" s="158">
        <v>44335</v>
      </c>
      <c r="L270" s="137">
        <v>4</v>
      </c>
      <c r="M270" s="137">
        <v>11</v>
      </c>
      <c r="N270" s="139" t="s">
        <v>779</v>
      </c>
      <c r="O270" s="114"/>
      <c r="P270" s="114"/>
      <c r="Q270" s="114"/>
      <c r="R270" s="114"/>
      <c r="S270" s="114">
        <v>1</v>
      </c>
      <c r="T270" s="114">
        <v>1</v>
      </c>
      <c r="U270" s="114">
        <v>0</v>
      </c>
      <c r="V270" s="114">
        <v>1</v>
      </c>
      <c r="W270" s="114">
        <v>0</v>
      </c>
      <c r="X270" s="114">
        <v>1</v>
      </c>
      <c r="Y270" s="114">
        <v>1</v>
      </c>
      <c r="Z270" s="114" t="s">
        <v>307</v>
      </c>
      <c r="AA270" s="114">
        <v>3</v>
      </c>
      <c r="AB270" s="114">
        <v>1</v>
      </c>
      <c r="AC270" s="114">
        <v>2</v>
      </c>
      <c r="AD270" s="114">
        <v>1</v>
      </c>
      <c r="AE270" s="114">
        <f>Y270+AA270+AB270+AC270+AD270</f>
        <v>8</v>
      </c>
      <c r="AF270" s="116" t="s">
        <v>63</v>
      </c>
      <c r="AG270" s="114">
        <f>AT270/17.1</f>
        <v>1.3859649122807</v>
      </c>
      <c r="AH270" s="114">
        <f>AU270/88.4</f>
        <v>0.520361990950226</v>
      </c>
      <c r="AI270" s="114">
        <f>AR270</f>
        <v>1.34</v>
      </c>
      <c r="AJ270" s="159">
        <f>LN(IF(AG270&gt;=1,AG270,1))*3.8+LN(IF(AH270&gt;=1,AH270,1))*9.6+11.2*LN(IF(AI270&gt;=1,AI270,1))+6.4*AN270</f>
        <v>10.918206697987</v>
      </c>
      <c r="AK270" s="160">
        <f>IF(AND(AG270&gt;0,AH270&gt;0,AI270&gt;0),AJ270,"")</f>
        <v>10.918206697987</v>
      </c>
      <c r="AL270" s="160">
        <f>AK270+1.59*(135-AM270)</f>
        <v>10.918206697987</v>
      </c>
      <c r="AM270" s="160">
        <f>IF(AV270&gt;135,135,IF(AV270&lt;120,120,AV270))</f>
        <v>135</v>
      </c>
      <c r="AN270" s="114">
        <v>1</v>
      </c>
      <c r="AO270" s="114">
        <v>1</v>
      </c>
      <c r="AP270" s="114">
        <v>16.17</v>
      </c>
      <c r="AQ270" s="114">
        <v>76</v>
      </c>
      <c r="AR270" s="114">
        <v>1.34</v>
      </c>
      <c r="AS270" s="160">
        <v>28</v>
      </c>
      <c r="AT270" s="114">
        <v>23.7</v>
      </c>
      <c r="AU270" s="114">
        <v>46</v>
      </c>
      <c r="AV270" s="114">
        <v>144</v>
      </c>
      <c r="AZ270" s="119" t="s">
        <v>780</v>
      </c>
    </row>
    <row r="271" s="129" customFormat="1" spans="1:52">
      <c r="A271" s="129" t="s">
        <v>504</v>
      </c>
      <c r="B271" s="129" t="s">
        <v>48</v>
      </c>
      <c r="D271" s="217"/>
      <c r="F271" s="218"/>
      <c r="G271" s="129">
        <v>6</v>
      </c>
      <c r="I271" s="219">
        <v>44316</v>
      </c>
      <c r="J271" s="219">
        <v>44325</v>
      </c>
      <c r="L271" s="220">
        <v>7</v>
      </c>
      <c r="M271" s="220">
        <v>9</v>
      </c>
      <c r="N271" s="221" t="s">
        <v>781</v>
      </c>
      <c r="O271" s="114"/>
      <c r="P271" s="114">
        <v>1</v>
      </c>
      <c r="Q271" s="114"/>
      <c r="R271" s="114"/>
      <c r="S271" s="114"/>
      <c r="T271" s="114">
        <v>1</v>
      </c>
      <c r="U271" s="114">
        <v>0</v>
      </c>
      <c r="V271" s="114">
        <v>1</v>
      </c>
      <c r="W271" s="114">
        <v>0</v>
      </c>
      <c r="X271" s="114">
        <v>1</v>
      </c>
      <c r="Y271" s="114">
        <v>1</v>
      </c>
      <c r="Z271" s="114" t="s">
        <v>321</v>
      </c>
      <c r="AA271" s="114">
        <v>3</v>
      </c>
      <c r="AB271" s="114">
        <v>1</v>
      </c>
      <c r="AC271" s="114">
        <v>2</v>
      </c>
      <c r="AD271" s="114">
        <v>2</v>
      </c>
      <c r="AE271" s="114">
        <f>Y271+AA271+AB271+AC271+AD271</f>
        <v>9</v>
      </c>
      <c r="AF271" s="116" t="s">
        <v>63</v>
      </c>
      <c r="AG271" s="114">
        <f>AT271/17.1</f>
        <v>1.60818713450292</v>
      </c>
      <c r="AH271" s="114">
        <f>AU271/88.4</f>
        <v>0.576923076923077</v>
      </c>
      <c r="AI271" s="114">
        <f>AR271</f>
        <v>1.75</v>
      </c>
      <c r="AJ271" s="159">
        <f>LN(IF(AG271&gt;=1,AG271,1))*3.8+LN(IF(AH271&gt;=1,AH271,1))*9.6+11.2*LN(IF(AI271&gt;=1,AI271,1))+6.4*AN271</f>
        <v>8.0731054812996</v>
      </c>
      <c r="AK271" s="160">
        <f>IF(AND(AG271&gt;0,AH271&gt;0,AI271&gt;0),AJ271,"")</f>
        <v>8.0731054812996</v>
      </c>
      <c r="AL271" s="160">
        <f>AK271+1.59*(135-AM271)</f>
        <v>8.0731054812996</v>
      </c>
      <c r="AM271" s="160">
        <f>IF(AV271&gt;135,135,IF(AV271&lt;120,120,AV271))</f>
        <v>135</v>
      </c>
      <c r="AN271" s="114">
        <v>0</v>
      </c>
      <c r="AO271" s="114">
        <v>1</v>
      </c>
      <c r="AP271" s="114">
        <v>1.18</v>
      </c>
      <c r="AQ271" s="114">
        <v>46</v>
      </c>
      <c r="AR271" s="114">
        <v>1.75</v>
      </c>
      <c r="AS271" s="160">
        <v>31</v>
      </c>
      <c r="AT271" s="114">
        <v>27.5</v>
      </c>
      <c r="AU271" s="114">
        <v>51</v>
      </c>
      <c r="AV271" s="114">
        <v>140</v>
      </c>
      <c r="AZ271" s="222" t="s">
        <v>782</v>
      </c>
    </row>
    <row r="272" spans="1:52">
      <c r="A272" s="117" t="s">
        <v>783</v>
      </c>
      <c r="B272" s="117" t="s">
        <v>53</v>
      </c>
      <c r="C272" s="117">
        <v>38</v>
      </c>
      <c r="D272" s="135">
        <v>1.7</v>
      </c>
      <c r="E272" s="117">
        <v>64</v>
      </c>
      <c r="F272" s="136">
        <f>E272/(D272*D272)</f>
        <v>22.1453287197232</v>
      </c>
      <c r="G272" s="117">
        <v>6</v>
      </c>
      <c r="I272" s="158">
        <v>44316</v>
      </c>
      <c r="J272" s="158">
        <v>44337</v>
      </c>
      <c r="L272" s="137">
        <v>1</v>
      </c>
      <c r="M272" s="138">
        <v>21</v>
      </c>
      <c r="N272" s="139" t="s">
        <v>784</v>
      </c>
      <c r="O272" s="114"/>
      <c r="P272" s="114">
        <v>1</v>
      </c>
      <c r="Q272" s="114"/>
      <c r="R272" s="114"/>
      <c r="S272" s="114"/>
      <c r="T272" s="114">
        <v>1</v>
      </c>
      <c r="U272" s="114">
        <v>0</v>
      </c>
      <c r="V272" s="114">
        <v>0</v>
      </c>
      <c r="W272" s="114">
        <v>1</v>
      </c>
      <c r="X272" s="114">
        <v>0</v>
      </c>
      <c r="Y272" s="114">
        <v>1</v>
      </c>
      <c r="Z272" s="114" t="s">
        <v>321</v>
      </c>
      <c r="AA272" s="114">
        <v>3</v>
      </c>
      <c r="AB272" s="114">
        <v>2</v>
      </c>
      <c r="AC272" s="114">
        <v>2</v>
      </c>
      <c r="AD272" s="114">
        <v>1</v>
      </c>
      <c r="AE272" s="114">
        <f>Y272+AA272+AB272+AC272+AD272</f>
        <v>9</v>
      </c>
      <c r="AF272" s="116" t="s">
        <v>63</v>
      </c>
      <c r="AG272" s="114">
        <f>AT272/17.1</f>
        <v>2.26315789473684</v>
      </c>
      <c r="AH272" s="114">
        <f>AU272/88.4</f>
        <v>0.361990950226244</v>
      </c>
      <c r="AI272" s="114">
        <f>AR272</f>
        <v>1.54</v>
      </c>
      <c r="AJ272" s="159">
        <f>LN(IF(AG272&gt;=1,AG272,1))*3.8+LN(IF(AH272&gt;=1,AH272,1))*9.6+11.2*LN(IF(AI272&gt;=1,AI272,1))+6.4*AN272</f>
        <v>7.93965538276909</v>
      </c>
      <c r="AK272" s="160">
        <f>IF(AND(AG272&gt;0,AH272&gt;0,AI272&gt;0),AJ272,"")</f>
        <v>7.93965538276909</v>
      </c>
      <c r="AL272" s="160">
        <f>AK272+1.59*(135-AM272)</f>
        <v>7.93965538276909</v>
      </c>
      <c r="AM272" s="160">
        <f>IF(AV272&gt;135,135,IF(AV272&lt;120,120,AV272))</f>
        <v>135</v>
      </c>
      <c r="AN272" s="114">
        <v>0</v>
      </c>
      <c r="AO272" s="114">
        <v>1</v>
      </c>
      <c r="AP272" s="114">
        <v>12.1</v>
      </c>
      <c r="AQ272" s="114">
        <v>89</v>
      </c>
      <c r="AR272" s="114">
        <v>1.54</v>
      </c>
      <c r="AS272" s="160">
        <v>29</v>
      </c>
      <c r="AT272" s="114">
        <v>38.7</v>
      </c>
      <c r="AU272" s="114">
        <v>32</v>
      </c>
      <c r="AV272" s="114">
        <v>141</v>
      </c>
      <c r="AZ272" s="119" t="s">
        <v>785</v>
      </c>
    </row>
    <row r="273" spans="1:52">
      <c r="A273" s="117" t="s">
        <v>786</v>
      </c>
      <c r="B273" s="117" t="s">
        <v>48</v>
      </c>
      <c r="C273" s="117">
        <v>69</v>
      </c>
      <c r="D273" s="135">
        <v>1.73</v>
      </c>
      <c r="E273" s="117">
        <v>98</v>
      </c>
      <c r="F273" s="136">
        <f>E273/(D273*D273)</f>
        <v>32.7441611814628</v>
      </c>
      <c r="G273" s="117">
        <v>0</v>
      </c>
      <c r="I273" s="158">
        <v>44326</v>
      </c>
      <c r="J273" s="158">
        <v>44338</v>
      </c>
      <c r="L273" s="137">
        <v>1</v>
      </c>
      <c r="M273" s="137">
        <v>12</v>
      </c>
      <c r="N273" s="139" t="s">
        <v>787</v>
      </c>
      <c r="O273" s="114"/>
      <c r="P273" s="114"/>
      <c r="Q273" s="114"/>
      <c r="R273" s="114"/>
      <c r="S273" s="114">
        <v>1</v>
      </c>
      <c r="T273" s="114">
        <v>0</v>
      </c>
      <c r="U273" s="114">
        <v>0</v>
      </c>
      <c r="V273" s="114">
        <v>1</v>
      </c>
      <c r="W273" s="114">
        <v>0</v>
      </c>
      <c r="X273" s="114">
        <v>0</v>
      </c>
      <c r="Y273" s="114">
        <v>1</v>
      </c>
      <c r="Z273" s="114" t="s">
        <v>58</v>
      </c>
      <c r="AA273" s="114">
        <v>1</v>
      </c>
      <c r="AB273" s="114">
        <v>1</v>
      </c>
      <c r="AC273" s="114">
        <v>3</v>
      </c>
      <c r="AD273" s="114">
        <v>1</v>
      </c>
      <c r="AE273" s="114">
        <f>Y273+AA273+AB273+AC273+AD273</f>
        <v>7</v>
      </c>
      <c r="AF273" s="116" t="s">
        <v>63</v>
      </c>
      <c r="AG273" s="114">
        <f>AT273/17.1</f>
        <v>0.801169590643275</v>
      </c>
      <c r="AH273" s="114">
        <f>AU273/88.4</f>
        <v>0.723981900452489</v>
      </c>
      <c r="AI273" s="114">
        <f>AR273</f>
        <v>1.28</v>
      </c>
      <c r="AJ273" s="159">
        <f>LN(IF(AG273&gt;=1,AG273,1))*3.8+LN(IF(AH273&gt;=1,AH273,1))*9.6+11.2*LN(IF(AI273&gt;=1,AI273,1))+6.4*AN273</f>
        <v>9.16483287283309</v>
      </c>
      <c r="AK273" s="160">
        <f>IF(AND(AG273&gt;0,AH273&gt;0,AI273&gt;0),AJ273,"")</f>
        <v>9.16483287283309</v>
      </c>
      <c r="AL273" s="160">
        <f>AK273+1.59*(135-AM273)</f>
        <v>9.16483287283309</v>
      </c>
      <c r="AM273" s="160">
        <f>IF(AV273&gt;135,135,IF(AV273&lt;120,120,AV273))</f>
        <v>135</v>
      </c>
      <c r="AN273" s="114">
        <v>1</v>
      </c>
      <c r="AO273" s="114">
        <v>1</v>
      </c>
      <c r="AP273" s="114">
        <v>4</v>
      </c>
      <c r="AQ273" s="114">
        <v>70</v>
      </c>
      <c r="AR273" s="114">
        <v>1.28</v>
      </c>
      <c r="AS273" s="160">
        <v>27</v>
      </c>
      <c r="AT273" s="114">
        <v>13.7</v>
      </c>
      <c r="AU273" s="114">
        <v>64</v>
      </c>
      <c r="AV273" s="114">
        <v>141</v>
      </c>
      <c r="AZ273" s="119" t="s">
        <v>788</v>
      </c>
    </row>
    <row r="274" spans="1:52">
      <c r="A274" s="117" t="s">
        <v>789</v>
      </c>
      <c r="B274" s="117" t="s">
        <v>53</v>
      </c>
      <c r="C274" s="117">
        <v>72</v>
      </c>
      <c r="D274" s="135">
        <v>1.6</v>
      </c>
      <c r="E274" s="117">
        <v>60</v>
      </c>
      <c r="F274" s="136">
        <f>E274/(D274*D274)</f>
        <v>23.4375</v>
      </c>
      <c r="G274" s="117">
        <v>0</v>
      </c>
      <c r="I274" s="158">
        <v>44335</v>
      </c>
      <c r="J274" s="158">
        <v>44343</v>
      </c>
      <c r="L274" s="137">
        <v>3</v>
      </c>
      <c r="M274" s="138">
        <v>8</v>
      </c>
      <c r="N274" s="139" t="s">
        <v>790</v>
      </c>
      <c r="O274" s="114">
        <v>1</v>
      </c>
      <c r="P274" s="114"/>
      <c r="Q274" s="114"/>
      <c r="R274" s="114"/>
      <c r="S274" s="114"/>
      <c r="T274" s="114">
        <v>0</v>
      </c>
      <c r="U274" s="114">
        <v>0</v>
      </c>
      <c r="V274" s="114">
        <v>0</v>
      </c>
      <c r="W274" s="114">
        <v>0</v>
      </c>
      <c r="X274" s="114">
        <v>0</v>
      </c>
      <c r="Y274" s="114">
        <v>1</v>
      </c>
      <c r="Z274" s="114" t="s">
        <v>58</v>
      </c>
      <c r="AA274" s="114">
        <v>1</v>
      </c>
      <c r="AB274" s="114">
        <v>1</v>
      </c>
      <c r="AC274" s="114">
        <v>2</v>
      </c>
      <c r="AD274" s="114">
        <v>1</v>
      </c>
      <c r="AE274" s="114">
        <f>Y274+AA274+AB274+AC274+AD274</f>
        <v>6</v>
      </c>
      <c r="AF274" s="116" t="s">
        <v>59</v>
      </c>
      <c r="AG274" s="114">
        <f>AT274/17.1</f>
        <v>0.543859649122807</v>
      </c>
      <c r="AH274" s="114">
        <f>AU274/88.4</f>
        <v>0.497737556561086</v>
      </c>
      <c r="AI274" s="114">
        <f>AR274</f>
        <v>1.27</v>
      </c>
      <c r="AJ274" s="159">
        <f>LN(IF(AG274&gt;=1,AG274,1))*3.8+LN(IF(AH274&gt;=1,AH274,1))*9.6+11.2*LN(IF(AI274&gt;=1,AI274,1))+6.4*AN274</f>
        <v>9.0769892852696</v>
      </c>
      <c r="AK274" s="160">
        <f>IF(AND(AG274&gt;0,AH274&gt;0,AI274&gt;0),AJ274,"")</f>
        <v>9.0769892852696</v>
      </c>
      <c r="AL274" s="160">
        <f>AK274+1.59*(135-AM274)</f>
        <v>9.0769892852696</v>
      </c>
      <c r="AM274" s="160">
        <f>IF(AV274&gt;135,135,IF(AV274&lt;120,120,AV274))</f>
        <v>135</v>
      </c>
      <c r="AN274" s="114">
        <v>1</v>
      </c>
      <c r="AO274" s="114">
        <v>1</v>
      </c>
      <c r="AP274" s="114">
        <v>2.02</v>
      </c>
      <c r="AQ274" s="114">
        <v>120</v>
      </c>
      <c r="AR274" s="114">
        <v>1.27</v>
      </c>
      <c r="AS274" s="160">
        <v>34</v>
      </c>
      <c r="AT274" s="114">
        <v>9.3</v>
      </c>
      <c r="AU274" s="114">
        <v>44</v>
      </c>
      <c r="AV274" s="114">
        <v>144</v>
      </c>
      <c r="AZ274" s="119" t="s">
        <v>791</v>
      </c>
    </row>
    <row r="275" s="125" customFormat="1" spans="1:52">
      <c r="A275" s="125" t="s">
        <v>792</v>
      </c>
      <c r="B275" s="125" t="s">
        <v>48</v>
      </c>
      <c r="C275" s="125">
        <v>63</v>
      </c>
      <c r="D275" s="185">
        <v>1.62</v>
      </c>
      <c r="E275" s="125">
        <v>58</v>
      </c>
      <c r="F275" s="216">
        <f>E275/(D275*D275)</f>
        <v>22.1002895900015</v>
      </c>
      <c r="G275" s="125">
        <v>6</v>
      </c>
      <c r="I275" s="186">
        <v>44333</v>
      </c>
      <c r="J275" s="186">
        <v>44347</v>
      </c>
      <c r="L275" s="187">
        <v>4</v>
      </c>
      <c r="M275" s="187">
        <v>14</v>
      </c>
      <c r="N275" s="188" t="s">
        <v>793</v>
      </c>
      <c r="O275" s="114"/>
      <c r="P275" s="114">
        <v>1</v>
      </c>
      <c r="Q275" s="114"/>
      <c r="R275" s="114"/>
      <c r="S275" s="114"/>
      <c r="T275" s="114">
        <v>1</v>
      </c>
      <c r="U275" s="114">
        <v>1</v>
      </c>
      <c r="V275" s="114">
        <v>1</v>
      </c>
      <c r="W275" s="114">
        <v>0</v>
      </c>
      <c r="X275" s="114">
        <v>0</v>
      </c>
      <c r="Y275" s="114">
        <v>2</v>
      </c>
      <c r="Z275" s="114" t="s">
        <v>307</v>
      </c>
      <c r="AA275" s="114">
        <v>3</v>
      </c>
      <c r="AB275" s="114">
        <v>2</v>
      </c>
      <c r="AC275" s="114">
        <v>2</v>
      </c>
      <c r="AD275" s="114">
        <v>1</v>
      </c>
      <c r="AE275" s="114">
        <f>Y275+AA275+AB275+AC275+AD275</f>
        <v>10</v>
      </c>
      <c r="AF275" s="116" t="s">
        <v>50</v>
      </c>
      <c r="AG275" s="114">
        <f>AT275/17.1</f>
        <v>2.71345029239766</v>
      </c>
      <c r="AH275" s="114">
        <f>AU275/88.4</f>
        <v>1.13122171945701</v>
      </c>
      <c r="AI275" s="114">
        <f>AR275</f>
        <v>1.23</v>
      </c>
      <c r="AJ275" s="159">
        <f>LN(IF(AG275&gt;=1,AG275,1))*3.8+LN(IF(AH275&gt;=1,AH275,1))*9.6+11.2*LN(IF(AI275&gt;=1,AI275,1))+6.4*AN275</f>
        <v>7.29546135776125</v>
      </c>
      <c r="AK275" s="160">
        <f>IF(AND(AG275&gt;0,AH275&gt;0,AI275&gt;0),AJ275,"")</f>
        <v>7.29546135776125</v>
      </c>
      <c r="AL275" s="160">
        <f>AK275+1.59*(135-AM275)</f>
        <v>7.29546135776125</v>
      </c>
      <c r="AM275" s="160">
        <f>IF(AV275&gt;135,135,IF(AV275&lt;120,120,AV275))</f>
        <v>135</v>
      </c>
      <c r="AN275" s="114">
        <v>0</v>
      </c>
      <c r="AO275" s="114">
        <v>1</v>
      </c>
      <c r="AP275" s="114">
        <v>5.03</v>
      </c>
      <c r="AQ275" s="114">
        <v>97</v>
      </c>
      <c r="AR275" s="114">
        <v>1.23</v>
      </c>
      <c r="AS275" s="160">
        <v>29</v>
      </c>
      <c r="AT275" s="114">
        <v>46.4</v>
      </c>
      <c r="AU275" s="114">
        <v>100</v>
      </c>
      <c r="AV275" s="114">
        <v>140</v>
      </c>
      <c r="AZ275" s="131" t="s">
        <v>794</v>
      </c>
    </row>
    <row r="276" spans="1:52">
      <c r="A276" s="117" t="s">
        <v>795</v>
      </c>
      <c r="B276" s="117" t="s">
        <v>53</v>
      </c>
      <c r="D276" s="135">
        <v>1.52</v>
      </c>
      <c r="E276" s="117">
        <v>60</v>
      </c>
      <c r="F276" s="136">
        <f>E276/(D276*D276)</f>
        <v>25.9695290858726</v>
      </c>
      <c r="G276" s="117">
        <v>0</v>
      </c>
      <c r="I276" s="158">
        <v>44334</v>
      </c>
      <c r="J276" s="158">
        <v>44276</v>
      </c>
      <c r="L276" s="137">
        <v>2</v>
      </c>
      <c r="M276" s="138">
        <v>6</v>
      </c>
      <c r="N276" s="139" t="s">
        <v>796</v>
      </c>
      <c r="O276" s="114"/>
      <c r="P276" s="114"/>
      <c r="Q276" s="114">
        <v>1</v>
      </c>
      <c r="R276" s="114"/>
      <c r="S276" s="114"/>
      <c r="T276" s="114">
        <v>0</v>
      </c>
      <c r="U276" s="114">
        <v>0</v>
      </c>
      <c r="V276" s="114">
        <v>1</v>
      </c>
      <c r="W276" s="114">
        <v>0</v>
      </c>
      <c r="X276" s="114">
        <v>0</v>
      </c>
      <c r="Y276" s="114">
        <v>1</v>
      </c>
      <c r="Z276" s="114" t="s">
        <v>58</v>
      </c>
      <c r="AA276" s="114">
        <v>1</v>
      </c>
      <c r="AB276" s="114">
        <v>1</v>
      </c>
      <c r="AC276" s="114">
        <v>3</v>
      </c>
      <c r="AD276" s="114">
        <v>1</v>
      </c>
      <c r="AE276" s="114">
        <f>Y276+AA276+AB276+AC276+AD276</f>
        <v>7</v>
      </c>
      <c r="AF276" s="116" t="s">
        <v>63</v>
      </c>
      <c r="AG276" s="114">
        <f>AT276/17.1</f>
        <v>0.672514619883041</v>
      </c>
      <c r="AH276" s="114">
        <f>AU276/88.4</f>
        <v>0.622171945701357</v>
      </c>
      <c r="AI276" s="114">
        <f>AR276</f>
        <v>1.25</v>
      </c>
      <c r="AJ276" s="159">
        <f>LN(IF(AG276&gt;=1,AG276,1))*3.8+LN(IF(AH276&gt;=1,AH276,1))*9.6+11.2*LN(IF(AI276&gt;=1,AI276,1))+6.4*AN276</f>
        <v>8.89920777471915</v>
      </c>
      <c r="AK276" s="160">
        <f>IF(AND(AG276&gt;0,AH276&gt;0,AI276&gt;0),AJ276,"")</f>
        <v>8.89920777471915</v>
      </c>
      <c r="AL276" s="160">
        <f>AK276+1.59*(135-AM276)</f>
        <v>8.89920777471915</v>
      </c>
      <c r="AM276" s="160">
        <f>IF(AV276&gt;135,135,IF(AV276&lt;120,120,AV276))</f>
        <v>135</v>
      </c>
      <c r="AN276" s="114">
        <v>1</v>
      </c>
      <c r="AO276" s="114">
        <v>1</v>
      </c>
      <c r="AP276" s="114">
        <v>0.87</v>
      </c>
      <c r="AQ276" s="114">
        <v>77</v>
      </c>
      <c r="AR276" s="114">
        <v>1.25</v>
      </c>
      <c r="AS276" s="160">
        <v>27</v>
      </c>
      <c r="AT276" s="114">
        <v>11.5</v>
      </c>
      <c r="AU276" s="114">
        <v>55</v>
      </c>
      <c r="AV276" s="114">
        <v>145</v>
      </c>
      <c r="AZ276" s="119" t="s">
        <v>797</v>
      </c>
    </row>
    <row r="277" s="125" customFormat="1" spans="1:52">
      <c r="A277" s="125" t="s">
        <v>798</v>
      </c>
      <c r="B277" s="125" t="s">
        <v>48</v>
      </c>
      <c r="C277" s="125">
        <v>67</v>
      </c>
      <c r="D277" s="185">
        <v>1.7</v>
      </c>
      <c r="E277" s="125">
        <v>80</v>
      </c>
      <c r="F277" s="136">
        <f>E277/(D277*D277)</f>
        <v>27.681660899654</v>
      </c>
      <c r="G277" s="125">
        <v>2</v>
      </c>
      <c r="I277" s="186">
        <v>44337</v>
      </c>
      <c r="J277" s="186">
        <v>44355</v>
      </c>
      <c r="K277" s="186">
        <v>44396</v>
      </c>
      <c r="L277" s="187">
        <v>1</v>
      </c>
      <c r="M277" s="187">
        <v>18</v>
      </c>
      <c r="N277" s="188" t="s">
        <v>799</v>
      </c>
      <c r="O277" s="114">
        <v>1</v>
      </c>
      <c r="P277" s="114"/>
      <c r="Q277" s="114"/>
      <c r="R277" s="114"/>
      <c r="S277" s="114"/>
      <c r="T277" s="114">
        <v>0</v>
      </c>
      <c r="U277" s="114">
        <v>0</v>
      </c>
      <c r="V277" s="114">
        <v>1</v>
      </c>
      <c r="W277" s="114">
        <v>0</v>
      </c>
      <c r="X277" s="114">
        <v>0</v>
      </c>
      <c r="Y277" s="114">
        <v>1</v>
      </c>
      <c r="Z277" s="114" t="s">
        <v>58</v>
      </c>
      <c r="AA277" s="114">
        <v>1</v>
      </c>
      <c r="AB277" s="114">
        <v>1</v>
      </c>
      <c r="AC277" s="114">
        <v>3</v>
      </c>
      <c r="AD277" s="114">
        <v>1</v>
      </c>
      <c r="AE277" s="114">
        <f>Y277+AA277+AB277+AC277+AD277</f>
        <v>7</v>
      </c>
      <c r="AF277" s="116" t="s">
        <v>63</v>
      </c>
      <c r="AG277" s="114">
        <f>AT277/17.1</f>
        <v>1.11695906432749</v>
      </c>
      <c r="AH277" s="114">
        <f>AU277/88.4</f>
        <v>0.80316742081448</v>
      </c>
      <c r="AI277" s="114">
        <f>AR277</f>
        <v>1.49</v>
      </c>
      <c r="AJ277" s="159">
        <f>LN(IF(AG277&gt;=1,AG277,1))*3.8+LN(IF(AH277&gt;=1,AH277,1))*9.6+11.2*LN(IF(AI277&gt;=1,AI277,1))+6.4*AN277</f>
        <v>11.2866100553896</v>
      </c>
      <c r="AK277" s="160">
        <f>IF(AND(AG277&gt;0,AH277&gt;0,AI277&gt;0),AJ277,"")</f>
        <v>11.2866100553896</v>
      </c>
      <c r="AL277" s="160">
        <f>AK277+1.59*(135-AM277)</f>
        <v>11.2866100553896</v>
      </c>
      <c r="AM277" s="160">
        <f>IF(AV277&gt;135,135,IF(AV277&lt;120,120,AV277))</f>
        <v>135</v>
      </c>
      <c r="AN277" s="114">
        <v>1</v>
      </c>
      <c r="AO277" s="114">
        <v>1</v>
      </c>
      <c r="AP277" s="114">
        <v>4.78</v>
      </c>
      <c r="AQ277" s="114">
        <v>86</v>
      </c>
      <c r="AR277" s="114">
        <v>1.49</v>
      </c>
      <c r="AS277" s="160">
        <v>27</v>
      </c>
      <c r="AT277" s="114">
        <v>19.1</v>
      </c>
      <c r="AU277" s="114">
        <v>71</v>
      </c>
      <c r="AV277" s="114">
        <v>136</v>
      </c>
      <c r="AZ277" s="131" t="s">
        <v>800</v>
      </c>
    </row>
    <row r="278" spans="1:52">
      <c r="A278" s="117" t="s">
        <v>564</v>
      </c>
      <c r="B278" s="117" t="s">
        <v>53</v>
      </c>
      <c r="C278" s="117">
        <v>64</v>
      </c>
      <c r="D278" s="135">
        <v>1.5</v>
      </c>
      <c r="E278" s="117">
        <v>65</v>
      </c>
      <c r="F278" s="136">
        <f>E278/(D278*D278)</f>
        <v>28.8888888888889</v>
      </c>
      <c r="G278" s="117">
        <v>0</v>
      </c>
      <c r="I278" s="158">
        <v>44338</v>
      </c>
      <c r="J278" s="158">
        <v>44343</v>
      </c>
      <c r="L278" s="137">
        <v>2</v>
      </c>
      <c r="M278" s="138">
        <v>5</v>
      </c>
      <c r="N278" s="139" t="s">
        <v>801</v>
      </c>
      <c r="O278" s="114">
        <v>1</v>
      </c>
      <c r="P278" s="114"/>
      <c r="Q278" s="114"/>
      <c r="R278" s="114"/>
      <c r="S278" s="114"/>
      <c r="T278" s="114">
        <v>0</v>
      </c>
      <c r="U278" s="114">
        <v>0</v>
      </c>
      <c r="V278" s="114">
        <v>0</v>
      </c>
      <c r="W278" s="114">
        <v>0</v>
      </c>
      <c r="X278" s="114">
        <v>1</v>
      </c>
      <c r="Y278" s="114">
        <v>1</v>
      </c>
      <c r="Z278" s="114" t="s">
        <v>58</v>
      </c>
      <c r="AA278" s="114">
        <v>1</v>
      </c>
      <c r="AB278" s="114">
        <v>1</v>
      </c>
      <c r="AC278" s="114">
        <v>2</v>
      </c>
      <c r="AD278" s="114">
        <v>1</v>
      </c>
      <c r="AE278" s="114">
        <f>Y278+AA278+AB278+AC278+AD278</f>
        <v>6</v>
      </c>
      <c r="AF278" s="116" t="s">
        <v>59</v>
      </c>
      <c r="AG278" s="114">
        <f>AT278/17.1</f>
        <v>0.672514619883041</v>
      </c>
      <c r="AH278" s="114">
        <f>AU278/88.4</f>
        <v>0.384615384615385</v>
      </c>
      <c r="AI278" s="114">
        <f>AR278</f>
        <v>1.18</v>
      </c>
      <c r="AJ278" s="159">
        <f>LN(IF(AG278&gt;=1,AG278,1))*3.8+LN(IF(AH278&gt;=1,AH278,1))*9.6+11.2*LN(IF(AI278&gt;=1,AI278,1))+6.4*AN278</f>
        <v>8.25376171094882</v>
      </c>
      <c r="AK278" s="160">
        <f>IF(AND(AG278&gt;0,AH278&gt;0,AI278&gt;0),AJ278,"")</f>
        <v>8.25376171094882</v>
      </c>
      <c r="AL278" s="160">
        <f>AK278+1.59*(135-AM278)</f>
        <v>8.25376171094882</v>
      </c>
      <c r="AM278" s="160">
        <f>IF(AV278&gt;135,135,IF(AV278&lt;120,120,AV278))</f>
        <v>135</v>
      </c>
      <c r="AN278" s="114">
        <v>1</v>
      </c>
      <c r="AO278" s="114">
        <v>1</v>
      </c>
      <c r="AP278" s="114">
        <v>4.02</v>
      </c>
      <c r="AQ278" s="114">
        <v>100</v>
      </c>
      <c r="AR278" s="114">
        <v>1.18</v>
      </c>
      <c r="AS278" s="160">
        <v>34</v>
      </c>
      <c r="AT278" s="114">
        <v>11.5</v>
      </c>
      <c r="AU278" s="114">
        <v>34</v>
      </c>
      <c r="AV278" s="114">
        <v>143</v>
      </c>
      <c r="AZ278" s="119" t="s">
        <v>802</v>
      </c>
    </row>
    <row r="279" s="123" customFormat="1" spans="1:52">
      <c r="A279" s="123" t="s">
        <v>662</v>
      </c>
      <c r="B279" s="123" t="s">
        <v>53</v>
      </c>
      <c r="C279" s="123">
        <v>63</v>
      </c>
      <c r="D279" s="176">
        <v>1.5</v>
      </c>
      <c r="E279" s="123">
        <v>60</v>
      </c>
      <c r="F279" s="189">
        <f>E279/(D279*D279)</f>
        <v>26.6666666666667</v>
      </c>
      <c r="G279" s="123">
        <v>1</v>
      </c>
      <c r="I279" s="177">
        <v>44338</v>
      </c>
      <c r="J279" s="177">
        <v>44357</v>
      </c>
      <c r="L279" s="178">
        <v>3</v>
      </c>
      <c r="M279" s="178">
        <v>19</v>
      </c>
      <c r="N279" s="179" t="s">
        <v>803</v>
      </c>
      <c r="O279" s="114"/>
      <c r="P279" s="114"/>
      <c r="Q279" s="114"/>
      <c r="R279" s="114"/>
      <c r="S279" s="114">
        <v>1</v>
      </c>
      <c r="T279" s="114">
        <v>1</v>
      </c>
      <c r="U279" s="114">
        <v>0</v>
      </c>
      <c r="V279" s="114">
        <v>1</v>
      </c>
      <c r="W279" s="114">
        <v>0</v>
      </c>
      <c r="X279" s="114">
        <v>1</v>
      </c>
      <c r="Y279" s="114">
        <v>1</v>
      </c>
      <c r="Z279" s="114" t="s">
        <v>321</v>
      </c>
      <c r="AA279" s="114">
        <v>3</v>
      </c>
      <c r="AB279" s="114">
        <v>1</v>
      </c>
      <c r="AC279" s="114">
        <v>3</v>
      </c>
      <c r="AD279" s="114">
        <v>2</v>
      </c>
      <c r="AE279" s="114">
        <f>Y279+AA279+AB279+AC279+AD279</f>
        <v>10</v>
      </c>
      <c r="AF279" s="116" t="s">
        <v>50</v>
      </c>
      <c r="AG279" s="114">
        <f>AT279/17.1</f>
        <v>0.894736842105263</v>
      </c>
      <c r="AH279" s="114">
        <f>AU279/88.4</f>
        <v>0.520361990950226</v>
      </c>
      <c r="AI279" s="114">
        <f>AR279</f>
        <v>1.74</v>
      </c>
      <c r="AJ279" s="159">
        <f>LN(IF(AG279&gt;=1,AG279,1))*3.8+LN(IF(AH279&gt;=1,AH279,1))*9.6+11.2*LN(IF(AI279&gt;=1,AI279,1))+6.4*AN279</f>
        <v>12.6035132681361</v>
      </c>
      <c r="AK279" s="160">
        <f>IF(AND(AG279&gt;0,AH279&gt;0,AI279&gt;0),AJ279,"")</f>
        <v>12.6035132681361</v>
      </c>
      <c r="AL279" s="160">
        <f>AK279+1.59*(135-AM279)</f>
        <v>12.6035132681361</v>
      </c>
      <c r="AM279" s="160">
        <f>IF(AV279&gt;135,135,IF(AV279&lt;120,120,AV279))</f>
        <v>135</v>
      </c>
      <c r="AN279" s="114">
        <v>1</v>
      </c>
      <c r="AO279" s="114">
        <v>1</v>
      </c>
      <c r="AP279" s="114">
        <v>5</v>
      </c>
      <c r="AQ279" s="114">
        <v>77</v>
      </c>
      <c r="AR279" s="114">
        <v>1.74</v>
      </c>
      <c r="AS279" s="160">
        <v>24</v>
      </c>
      <c r="AT279" s="114">
        <v>15.3</v>
      </c>
      <c r="AU279" s="114">
        <v>46</v>
      </c>
      <c r="AV279" s="114">
        <v>140</v>
      </c>
      <c r="AZ279" s="132" t="s">
        <v>804</v>
      </c>
    </row>
    <row r="280" spans="1:52">
      <c r="A280" s="117" t="s">
        <v>805</v>
      </c>
      <c r="B280" s="117" t="s">
        <v>48</v>
      </c>
      <c r="C280" s="117">
        <v>70</v>
      </c>
      <c r="D280" s="135">
        <v>1.7</v>
      </c>
      <c r="E280" s="117">
        <v>60</v>
      </c>
      <c r="F280" s="136">
        <f>E280/(D280*D280)</f>
        <v>20.7612456747405</v>
      </c>
      <c r="G280" s="117">
        <v>1</v>
      </c>
      <c r="I280" s="158">
        <v>44343</v>
      </c>
      <c r="J280" s="158">
        <v>44363</v>
      </c>
      <c r="L280" s="137">
        <v>1</v>
      </c>
      <c r="M280" s="137">
        <v>20</v>
      </c>
      <c r="N280" s="139" t="s">
        <v>806</v>
      </c>
      <c r="O280" s="114">
        <v>1</v>
      </c>
      <c r="P280" s="114"/>
      <c r="Q280" s="114"/>
      <c r="R280" s="114"/>
      <c r="S280" s="114"/>
      <c r="T280" s="114">
        <v>1</v>
      </c>
      <c r="U280" s="114">
        <v>0</v>
      </c>
      <c r="V280" s="114">
        <v>1</v>
      </c>
      <c r="W280" s="114">
        <v>0</v>
      </c>
      <c r="X280" s="114">
        <v>0</v>
      </c>
      <c r="Y280" s="114">
        <v>1</v>
      </c>
      <c r="Z280" s="114" t="s">
        <v>300</v>
      </c>
      <c r="AA280" s="114">
        <v>2</v>
      </c>
      <c r="AB280" s="114">
        <v>1</v>
      </c>
      <c r="AC280" s="114">
        <v>3</v>
      </c>
      <c r="AD280" s="114">
        <v>1</v>
      </c>
      <c r="AE280" s="114">
        <f>Y280+AA280+AB280+AC280+AD280</f>
        <v>8</v>
      </c>
      <c r="AF280" s="116" t="s">
        <v>63</v>
      </c>
      <c r="AG280" s="114">
        <f>AT280/17.1</f>
        <v>1.19883040935673</v>
      </c>
      <c r="AH280" s="114">
        <f>AU280/88.4</f>
        <v>1.17647058823529</v>
      </c>
      <c r="AI280" s="114">
        <f>AR280</f>
        <v>1.32</v>
      </c>
      <c r="AJ280" s="159">
        <f>LN(IF(AG280&gt;=1,AG280,1))*3.8+LN(IF(AH280&gt;=1,AH280,1))*9.6+11.2*LN(IF(AI280&gt;=1,AI280,1))+6.4*AN280</f>
        <v>11.7587735790952</v>
      </c>
      <c r="AK280" s="160">
        <f>IF(AND(AG280&gt;0,AH280&gt;0,AI280&gt;0),AJ280,"")</f>
        <v>11.7587735790952</v>
      </c>
      <c r="AL280" s="160">
        <f>AK280+1.59*(135-AM280)</f>
        <v>11.7587735790952</v>
      </c>
      <c r="AM280" s="160">
        <f>IF(AV280&gt;135,135,IF(AV280&lt;120,120,AV280))</f>
        <v>135</v>
      </c>
      <c r="AN280" s="114">
        <v>1</v>
      </c>
      <c r="AO280" s="114">
        <v>1</v>
      </c>
      <c r="AP280" s="114">
        <v>8.83</v>
      </c>
      <c r="AQ280" s="114">
        <v>71</v>
      </c>
      <c r="AR280" s="114">
        <v>1.32</v>
      </c>
      <c r="AS280" s="160">
        <v>25</v>
      </c>
      <c r="AT280" s="114">
        <v>20.5</v>
      </c>
      <c r="AU280" s="114">
        <v>104</v>
      </c>
      <c r="AV280" s="114">
        <v>136</v>
      </c>
      <c r="AZ280" s="119" t="s">
        <v>807</v>
      </c>
    </row>
    <row r="281" spans="1:52">
      <c r="A281" s="117" t="s">
        <v>808</v>
      </c>
      <c r="B281" s="117" t="s">
        <v>53</v>
      </c>
      <c r="C281" s="117">
        <v>69</v>
      </c>
      <c r="D281" s="135">
        <v>1.56</v>
      </c>
      <c r="E281" s="117">
        <v>74</v>
      </c>
      <c r="F281" s="136">
        <f>E281/(D281*D281)</f>
        <v>30.4076265614727</v>
      </c>
      <c r="G281" s="117">
        <v>1</v>
      </c>
      <c r="I281" s="158">
        <v>44341</v>
      </c>
      <c r="J281" s="158">
        <v>44357</v>
      </c>
      <c r="L281" s="137">
        <v>2</v>
      </c>
      <c r="M281" s="138">
        <v>16</v>
      </c>
      <c r="N281" s="139" t="s">
        <v>809</v>
      </c>
      <c r="O281" s="114"/>
      <c r="P281" s="114"/>
      <c r="Q281" s="114"/>
      <c r="R281" s="114"/>
      <c r="S281" s="114">
        <v>1</v>
      </c>
      <c r="T281" s="114">
        <v>1</v>
      </c>
      <c r="U281" s="114">
        <v>0</v>
      </c>
      <c r="V281" s="114">
        <v>1</v>
      </c>
      <c r="W281" s="114">
        <v>0</v>
      </c>
      <c r="X281" s="114">
        <v>1</v>
      </c>
      <c r="Y281" s="114">
        <v>1</v>
      </c>
      <c r="Z281" s="114" t="s">
        <v>300</v>
      </c>
      <c r="AA281" s="114">
        <v>2</v>
      </c>
      <c r="AB281" s="114">
        <v>1</v>
      </c>
      <c r="AC281" s="114">
        <v>2</v>
      </c>
      <c r="AD281" s="114">
        <v>1</v>
      </c>
      <c r="AE281" s="114">
        <f>Y281+AA281+AB281+AC281+AD281</f>
        <v>7</v>
      </c>
      <c r="AF281" s="116" t="s">
        <v>63</v>
      </c>
      <c r="AG281" s="114">
        <f>AT281/17.1</f>
        <v>0.777777777777778</v>
      </c>
      <c r="AH281" s="114">
        <f>AU281/88.4</f>
        <v>0.486425339366516</v>
      </c>
      <c r="AI281" s="114">
        <f>AR281</f>
        <v>1.4</v>
      </c>
      <c r="AJ281" s="159">
        <f>LN(IF(AG281&gt;=1,AG281,1))*3.8+LN(IF(AH281&gt;=1,AH281,1))*9.6+11.2*LN(IF(AI281&gt;=1,AI281,1))+6.4*AN281</f>
        <v>10.1684890501576</v>
      </c>
      <c r="AK281" s="160">
        <f>IF(AND(AG281&gt;0,AH281&gt;0,AI281&gt;0),AJ281,"")</f>
        <v>10.1684890501576</v>
      </c>
      <c r="AL281" s="160">
        <f>AK281+1.59*(135-AM281)</f>
        <v>10.1684890501576</v>
      </c>
      <c r="AM281" s="160">
        <f>IF(AV281&gt;135,135,IF(AV281&lt;120,120,AV281))</f>
        <v>135</v>
      </c>
      <c r="AN281" s="114">
        <v>1</v>
      </c>
      <c r="AO281" s="114">
        <v>1</v>
      </c>
      <c r="AP281" s="114">
        <v>2.3</v>
      </c>
      <c r="AQ281" s="114">
        <v>72</v>
      </c>
      <c r="AR281" s="114">
        <v>1.4</v>
      </c>
      <c r="AS281" s="160">
        <v>32</v>
      </c>
      <c r="AT281" s="114">
        <v>13.3</v>
      </c>
      <c r="AU281" s="114">
        <v>43</v>
      </c>
      <c r="AV281" s="114">
        <v>141</v>
      </c>
      <c r="AZ281" s="119" t="s">
        <v>810</v>
      </c>
    </row>
    <row r="282" spans="1:52">
      <c r="A282" s="224" t="s">
        <v>498</v>
      </c>
      <c r="B282" s="117" t="s">
        <v>53</v>
      </c>
      <c r="C282" s="117">
        <v>68</v>
      </c>
      <c r="D282" s="135">
        <v>1.5</v>
      </c>
      <c r="E282" s="117">
        <v>48</v>
      </c>
      <c r="F282" s="136">
        <f>E282/(D282*D282)</f>
        <v>21.3333333333333</v>
      </c>
      <c r="G282" s="117">
        <v>0</v>
      </c>
      <c r="I282" s="158">
        <v>44342</v>
      </c>
      <c r="J282" s="158">
        <v>44352</v>
      </c>
      <c r="L282" s="137">
        <v>4</v>
      </c>
      <c r="M282" s="138">
        <v>10</v>
      </c>
      <c r="N282" s="139" t="s">
        <v>811</v>
      </c>
      <c r="O282" s="114"/>
      <c r="P282" s="114"/>
      <c r="Q282" s="114">
        <v>1</v>
      </c>
      <c r="R282" s="114">
        <v>1</v>
      </c>
      <c r="S282" s="114"/>
      <c r="T282" s="114">
        <v>0</v>
      </c>
      <c r="U282" s="114">
        <v>0</v>
      </c>
      <c r="V282" s="114">
        <v>1</v>
      </c>
      <c r="W282" s="114">
        <v>0</v>
      </c>
      <c r="X282" s="114">
        <v>0</v>
      </c>
      <c r="Y282" s="114">
        <v>1</v>
      </c>
      <c r="Z282" s="114" t="s">
        <v>58</v>
      </c>
      <c r="AA282" s="114">
        <v>1</v>
      </c>
      <c r="AB282" s="114">
        <v>1</v>
      </c>
      <c r="AC282" s="114">
        <v>3</v>
      </c>
      <c r="AD282" s="114">
        <v>1</v>
      </c>
      <c r="AE282" s="114">
        <f>Y282+AA282+AB282+AC282+AD282</f>
        <v>7</v>
      </c>
      <c r="AF282" s="116" t="s">
        <v>63</v>
      </c>
      <c r="AG282" s="114">
        <f>AT282/17.1</f>
        <v>1.5906432748538</v>
      </c>
      <c r="AH282" s="114">
        <f>AU282/88.4</f>
        <v>0.463800904977376</v>
      </c>
      <c r="AI282" s="114">
        <f>AR282</f>
        <v>1.1</v>
      </c>
      <c r="AJ282" s="159">
        <f>LN(IF(AG282&gt;=1,AG282,1))*3.8+LN(IF(AH282&gt;=1,AH282,1))*9.6+11.2*LN(IF(AI282&gt;=1,AI282,1))+6.4*AN282</f>
        <v>2.83120035102312</v>
      </c>
      <c r="AK282" s="160">
        <f>IF(AND(AG282&gt;0,AH282&gt;0,AI282&gt;0),AJ282,"")</f>
        <v>2.83120035102312</v>
      </c>
      <c r="AL282" s="160">
        <f>AK282+1.59*(135-AM282)</f>
        <v>2.83120035102312</v>
      </c>
      <c r="AM282" s="160">
        <f>IF(AV282&gt;135,135,IF(AV282&lt;120,120,AV282))</f>
        <v>135</v>
      </c>
      <c r="AN282" s="114">
        <v>0</v>
      </c>
      <c r="AO282" s="114">
        <v>1</v>
      </c>
      <c r="AP282" s="114">
        <v>1.39</v>
      </c>
      <c r="AQ282" s="114">
        <v>80</v>
      </c>
      <c r="AR282" s="114">
        <v>1.1</v>
      </c>
      <c r="AS282" s="160">
        <v>25</v>
      </c>
      <c r="AT282" s="114">
        <v>27.2</v>
      </c>
      <c r="AU282" s="114">
        <v>41</v>
      </c>
      <c r="AV282" s="114">
        <v>137</v>
      </c>
      <c r="AZ282" s="119" t="s">
        <v>812</v>
      </c>
    </row>
    <row r="283" s="114" customFormat="1" spans="1:52">
      <c r="A283" s="114" t="s">
        <v>813</v>
      </c>
      <c r="B283" s="114" t="s">
        <v>53</v>
      </c>
      <c r="C283" s="114">
        <v>51</v>
      </c>
      <c r="D283" s="211">
        <v>1.55</v>
      </c>
      <c r="E283" s="114">
        <v>64</v>
      </c>
      <c r="F283" s="136">
        <f>E283/(D283*D283)</f>
        <v>26.6389177939646</v>
      </c>
      <c r="G283" s="114">
        <v>1</v>
      </c>
      <c r="I283" s="210">
        <v>44344</v>
      </c>
      <c r="J283" s="210">
        <v>44362</v>
      </c>
      <c r="L283" s="138">
        <v>1</v>
      </c>
      <c r="M283" s="138">
        <v>18</v>
      </c>
      <c r="N283" s="213" t="s">
        <v>814</v>
      </c>
      <c r="O283" s="114">
        <v>1</v>
      </c>
      <c r="T283" s="114">
        <v>0</v>
      </c>
      <c r="U283" s="114">
        <v>0</v>
      </c>
      <c r="V283" s="114">
        <v>1</v>
      </c>
      <c r="W283" s="114">
        <v>0</v>
      </c>
      <c r="X283" s="114">
        <v>0</v>
      </c>
      <c r="Y283" s="114">
        <v>1</v>
      </c>
      <c r="Z283" s="114" t="s">
        <v>58</v>
      </c>
      <c r="AA283" s="114">
        <v>1</v>
      </c>
      <c r="AB283" s="114">
        <v>1</v>
      </c>
      <c r="AC283" s="114">
        <v>2</v>
      </c>
      <c r="AD283" s="114">
        <v>1</v>
      </c>
      <c r="AE283" s="114">
        <f>Y283+AA283+AB283+AC283+AD283</f>
        <v>6</v>
      </c>
      <c r="AF283" s="116" t="s">
        <v>59</v>
      </c>
      <c r="AG283" s="114">
        <f>AT283/17.1</f>
        <v>1.4327485380117</v>
      </c>
      <c r="AH283" s="114">
        <f>AU283/88.4</f>
        <v>0.723981900452489</v>
      </c>
      <c r="AI283" s="114">
        <f>AR283</f>
        <v>1.34</v>
      </c>
      <c r="AJ283" s="159">
        <f>LN(IF(AG283&gt;=1,AG283,1))*3.8+LN(IF(AH283&gt;=1,AH283,1))*9.6+11.2*LN(IF(AI283&gt;=1,AI283,1))+6.4*AN283</f>
        <v>11.0443593617434</v>
      </c>
      <c r="AK283" s="160">
        <f>IF(AND(AG283&gt;0,AH283&gt;0,AI283&gt;0),AJ283,"")</f>
        <v>11.0443593617434</v>
      </c>
      <c r="AL283" s="160">
        <f>AK283+1.59*(135-AM283)</f>
        <v>11.0443593617434</v>
      </c>
      <c r="AM283" s="160">
        <f>IF(AV283&gt;135,135,IF(AV283&lt;120,120,AV283))</f>
        <v>135</v>
      </c>
      <c r="AN283" s="114">
        <v>1</v>
      </c>
      <c r="AO283" s="114">
        <v>1</v>
      </c>
      <c r="AP283" s="114">
        <v>2.03</v>
      </c>
      <c r="AQ283" s="114">
        <v>63</v>
      </c>
      <c r="AR283" s="114">
        <v>1.34</v>
      </c>
      <c r="AS283" s="160">
        <v>28</v>
      </c>
      <c r="AT283" s="161">
        <v>24.5</v>
      </c>
      <c r="AU283" s="114">
        <v>64</v>
      </c>
      <c r="AV283" s="114">
        <v>145</v>
      </c>
      <c r="AZ283" s="116" t="s">
        <v>815</v>
      </c>
    </row>
    <row r="284" s="125" customFormat="1" spans="1:52">
      <c r="A284" s="125" t="s">
        <v>816</v>
      </c>
      <c r="B284" s="125" t="s">
        <v>48</v>
      </c>
      <c r="C284" s="125">
        <v>71</v>
      </c>
      <c r="D284" s="185">
        <v>1.78</v>
      </c>
      <c r="E284" s="125">
        <v>70</v>
      </c>
      <c r="F284" s="136">
        <f>E284/(D284*D284)</f>
        <v>22.0931700542861</v>
      </c>
      <c r="G284" s="125">
        <v>6</v>
      </c>
      <c r="I284" s="186">
        <v>44349</v>
      </c>
      <c r="J284" s="186">
        <v>44368</v>
      </c>
      <c r="L284" s="187">
        <v>1</v>
      </c>
      <c r="M284" s="187">
        <v>19</v>
      </c>
      <c r="N284" s="188" t="s">
        <v>817</v>
      </c>
      <c r="O284" s="114"/>
      <c r="P284" s="114"/>
      <c r="Q284" s="114"/>
      <c r="R284" s="114"/>
      <c r="S284" s="114">
        <v>1</v>
      </c>
      <c r="T284" s="114">
        <v>1</v>
      </c>
      <c r="U284" s="114">
        <v>0</v>
      </c>
      <c r="V284" s="114">
        <v>0</v>
      </c>
      <c r="W284" s="114">
        <v>0</v>
      </c>
      <c r="X284" s="114">
        <v>0</v>
      </c>
      <c r="Y284" s="114">
        <v>1</v>
      </c>
      <c r="Z284" s="114" t="s">
        <v>321</v>
      </c>
      <c r="AA284" s="114">
        <v>3</v>
      </c>
      <c r="AB284" s="114">
        <v>1</v>
      </c>
      <c r="AC284" s="114">
        <v>3</v>
      </c>
      <c r="AD284" s="114">
        <v>1</v>
      </c>
      <c r="AE284" s="114">
        <f>Y284+AA284+AB284+AC284+AD284</f>
        <v>9</v>
      </c>
      <c r="AF284" s="116" t="s">
        <v>63</v>
      </c>
      <c r="AG284" s="114">
        <f>AT284/17.1</f>
        <v>1.41520467836257</v>
      </c>
      <c r="AH284" s="114">
        <f>AU284/88.4</f>
        <v>1.5158371040724</v>
      </c>
      <c r="AI284" s="114">
        <f>AR284</f>
        <v>1.06</v>
      </c>
      <c r="AJ284" s="159">
        <f>LN(IF(AG284&gt;=1,AG284,1))*3.8+LN(IF(AH284&gt;=1,AH284,1))*9.6+11.2*LN(IF(AI284&gt;=1,AI284,1))+6.4*AN284</f>
        <v>12.365544786624</v>
      </c>
      <c r="AK284" s="160">
        <f>IF(AND(AG284&gt;0,AH284&gt;0,AI284&gt;0),AJ284,"")</f>
        <v>12.365544786624</v>
      </c>
      <c r="AL284" s="160">
        <f>AK284+1.59*(135-AM284)</f>
        <v>12.365544786624</v>
      </c>
      <c r="AM284" s="160">
        <f>IF(AV284&gt;135,135,IF(AV284&lt;120,120,AV284))</f>
        <v>135</v>
      </c>
      <c r="AN284" s="114">
        <v>1</v>
      </c>
      <c r="AO284" s="114">
        <v>1</v>
      </c>
      <c r="AP284" s="114">
        <v>5.1</v>
      </c>
      <c r="AQ284" s="114">
        <v>108</v>
      </c>
      <c r="AR284" s="114">
        <v>1.06</v>
      </c>
      <c r="AS284" s="160">
        <v>21</v>
      </c>
      <c r="AT284" s="161">
        <v>24.2</v>
      </c>
      <c r="AU284" s="114">
        <v>134</v>
      </c>
      <c r="AV284" s="114">
        <v>135</v>
      </c>
      <c r="AZ284" s="131" t="s">
        <v>818</v>
      </c>
    </row>
    <row r="285" s="125" customFormat="1" spans="1:52">
      <c r="A285" s="125" t="s">
        <v>366</v>
      </c>
      <c r="B285" s="125" t="s">
        <v>48</v>
      </c>
      <c r="C285" s="125">
        <v>75</v>
      </c>
      <c r="D285" s="185">
        <v>1.65</v>
      </c>
      <c r="E285" s="125">
        <v>67.5</v>
      </c>
      <c r="F285" s="136">
        <f>E285/(D285*D285)</f>
        <v>24.7933884297521</v>
      </c>
      <c r="G285" s="125">
        <v>7</v>
      </c>
      <c r="I285" s="186">
        <v>44356</v>
      </c>
      <c r="J285" s="186">
        <v>44365</v>
      </c>
      <c r="K285" s="186">
        <v>44470</v>
      </c>
      <c r="L285" s="187">
        <v>4</v>
      </c>
      <c r="M285" s="187">
        <v>9</v>
      </c>
      <c r="N285" s="188" t="s">
        <v>819</v>
      </c>
      <c r="O285" s="114"/>
      <c r="P285" s="114">
        <v>1</v>
      </c>
      <c r="Q285" s="114">
        <v>1</v>
      </c>
      <c r="R285" s="114"/>
      <c r="S285" s="114"/>
      <c r="T285" s="114">
        <v>1</v>
      </c>
      <c r="U285" s="114">
        <v>0</v>
      </c>
      <c r="V285" s="114">
        <v>1</v>
      </c>
      <c r="W285" s="114">
        <v>0</v>
      </c>
      <c r="X285" s="114">
        <v>1</v>
      </c>
      <c r="Y285" s="114">
        <v>1</v>
      </c>
      <c r="Z285" s="114" t="s">
        <v>307</v>
      </c>
      <c r="AA285" s="114">
        <v>2</v>
      </c>
      <c r="AB285" s="114">
        <v>2</v>
      </c>
      <c r="AC285" s="114">
        <v>3</v>
      </c>
      <c r="AD285" s="114">
        <v>2</v>
      </c>
      <c r="AE285" s="114">
        <f>Y285+AA285+AB285+AC285+AD285</f>
        <v>10</v>
      </c>
      <c r="AF285" s="116" t="s">
        <v>50</v>
      </c>
      <c r="AG285" s="114">
        <f>AT285/17.1</f>
        <v>2.71345029239766</v>
      </c>
      <c r="AH285" s="114">
        <f>AU285/88.4</f>
        <v>0.542986425339366</v>
      </c>
      <c r="AI285" s="114">
        <f>AR285</f>
        <v>2.16</v>
      </c>
      <c r="AJ285" s="159">
        <f>LN(IF(AG285&gt;=1,AG285,1))*3.8+LN(IF(AH285&gt;=1,AH285,1))*9.6+11.2*LN(IF(AI285&gt;=1,AI285,1))+6.4*AN285</f>
        <v>12.4184518667457</v>
      </c>
      <c r="AK285" s="160">
        <f>IF(AND(AG285&gt;0,AH285&gt;0,AI285&gt;0),AJ285,"")</f>
        <v>12.4184518667457</v>
      </c>
      <c r="AL285" s="160">
        <f>AK285+1.59*(135-AM285)</f>
        <v>12.4184518667457</v>
      </c>
      <c r="AM285" s="160">
        <f>IF(AV285&gt;135,135,IF(AV285&lt;120,120,AV285))</f>
        <v>135</v>
      </c>
      <c r="AN285" s="114">
        <v>0</v>
      </c>
      <c r="AO285" s="114">
        <v>1</v>
      </c>
      <c r="AP285" s="114">
        <v>3.88</v>
      </c>
      <c r="AQ285" s="114">
        <v>60</v>
      </c>
      <c r="AR285" s="114">
        <v>2.16</v>
      </c>
      <c r="AS285" s="160">
        <v>23</v>
      </c>
      <c r="AT285" s="161">
        <v>46.4</v>
      </c>
      <c r="AU285" s="114">
        <v>48</v>
      </c>
      <c r="AV285" s="114">
        <v>141</v>
      </c>
      <c r="AZ285" s="131" t="s">
        <v>820</v>
      </c>
    </row>
    <row r="286" spans="1:52">
      <c r="A286" s="117" t="s">
        <v>821</v>
      </c>
      <c r="B286" s="117" t="s">
        <v>48</v>
      </c>
      <c r="C286" s="117">
        <v>58</v>
      </c>
      <c r="D286" s="135">
        <v>1.75</v>
      </c>
      <c r="E286" s="117">
        <v>70</v>
      </c>
      <c r="F286" s="136">
        <f>E286/(D286*D286)</f>
        <v>22.8571428571429</v>
      </c>
      <c r="G286" s="117">
        <v>0</v>
      </c>
      <c r="I286" s="158">
        <v>44354</v>
      </c>
      <c r="J286" s="158">
        <v>44373</v>
      </c>
      <c r="L286" s="137">
        <v>4</v>
      </c>
      <c r="M286" s="137">
        <v>19</v>
      </c>
      <c r="N286" s="139" t="s">
        <v>822</v>
      </c>
      <c r="O286" s="114"/>
      <c r="P286" s="114"/>
      <c r="Q286" s="114">
        <v>1</v>
      </c>
      <c r="R286" s="114"/>
      <c r="S286" s="114"/>
      <c r="T286" s="114">
        <v>0</v>
      </c>
      <c r="U286" s="114">
        <v>0</v>
      </c>
      <c r="V286" s="114">
        <v>1</v>
      </c>
      <c r="W286" s="114">
        <v>0</v>
      </c>
      <c r="X286" s="114">
        <v>1</v>
      </c>
      <c r="Y286" s="114">
        <v>1</v>
      </c>
      <c r="Z286" s="114" t="s">
        <v>58</v>
      </c>
      <c r="AA286" s="114">
        <v>1</v>
      </c>
      <c r="AB286" s="114">
        <v>1</v>
      </c>
      <c r="AC286" s="114">
        <v>2</v>
      </c>
      <c r="AD286" s="114">
        <v>1</v>
      </c>
      <c r="AE286" s="114">
        <f>Y286+AA286+AB286+AC286+AD286</f>
        <v>6</v>
      </c>
      <c r="AF286" s="116" t="s">
        <v>59</v>
      </c>
      <c r="AG286" s="114">
        <f>AT286/17.1</f>
        <v>0.859649122807017</v>
      </c>
      <c r="AH286" s="114">
        <f>AU286/88.4</f>
        <v>1.04072398190045</v>
      </c>
      <c r="AI286" s="114">
        <f>AR286</f>
        <v>1.26</v>
      </c>
      <c r="AJ286" s="159">
        <f>LN(IF(AG286&gt;=1,AG286,1))*3.8+LN(IF(AH286&gt;=1,AH286,1))*9.6+11.2*LN(IF(AI286&gt;=1,AI286,1))+6.4*AN286</f>
        <v>9.37165070588218</v>
      </c>
      <c r="AK286" s="160">
        <f>IF(AND(AG286&gt;0,AH286&gt;0,AI286&gt;0),AJ286,"")</f>
        <v>9.37165070588218</v>
      </c>
      <c r="AL286" s="160">
        <f>AK286+1.59*(135-AM286)</f>
        <v>9.37165070588218</v>
      </c>
      <c r="AM286" s="160">
        <f>IF(AV286&gt;135,135,IF(AV286&lt;120,120,AV286))</f>
        <v>135</v>
      </c>
      <c r="AN286" s="114">
        <v>1</v>
      </c>
      <c r="AO286" s="114">
        <v>1</v>
      </c>
      <c r="AP286" s="114">
        <v>2.49</v>
      </c>
      <c r="AQ286" s="114">
        <v>57</v>
      </c>
      <c r="AR286" s="114">
        <v>1.26</v>
      </c>
      <c r="AS286" s="160">
        <v>31</v>
      </c>
      <c r="AT286" s="161">
        <v>14.7</v>
      </c>
      <c r="AU286" s="114">
        <v>92</v>
      </c>
      <c r="AV286" s="114">
        <v>142</v>
      </c>
      <c r="AZ286" s="119" t="s">
        <v>823</v>
      </c>
    </row>
    <row r="287" s="123" customFormat="1" spans="1:52">
      <c r="A287" s="123" t="s">
        <v>824</v>
      </c>
      <c r="B287" s="123" t="s">
        <v>53</v>
      </c>
      <c r="C287" s="123">
        <v>71</v>
      </c>
      <c r="D287" s="176">
        <v>1.6</v>
      </c>
      <c r="E287" s="123">
        <v>59</v>
      </c>
      <c r="F287" s="189">
        <f>E287/(D287*D287)</f>
        <v>23.046875</v>
      </c>
      <c r="G287" s="123">
        <v>0</v>
      </c>
      <c r="I287" s="177">
        <v>44357</v>
      </c>
      <c r="J287" s="177">
        <v>44373</v>
      </c>
      <c r="L287" s="178">
        <v>1</v>
      </c>
      <c r="M287" s="178">
        <v>16</v>
      </c>
      <c r="N287" s="179" t="s">
        <v>825</v>
      </c>
      <c r="O287" s="114">
        <v>1</v>
      </c>
      <c r="P287" s="114"/>
      <c r="Q287" s="114"/>
      <c r="R287" s="114"/>
      <c r="S287" s="114"/>
      <c r="T287" s="114">
        <v>0</v>
      </c>
      <c r="U287" s="114">
        <v>0</v>
      </c>
      <c r="V287" s="114">
        <v>0</v>
      </c>
      <c r="W287" s="114">
        <v>0</v>
      </c>
      <c r="X287" s="114">
        <v>0</v>
      </c>
      <c r="Y287" s="114">
        <v>1</v>
      </c>
      <c r="Z287" s="114" t="s">
        <v>58</v>
      </c>
      <c r="AA287" s="114">
        <v>1</v>
      </c>
      <c r="AB287" s="114">
        <v>1</v>
      </c>
      <c r="AC287" s="114">
        <v>1</v>
      </c>
      <c r="AD287" s="114">
        <v>1</v>
      </c>
      <c r="AE287" s="114">
        <f>Y287+AA287+AB287+AC287+AD287</f>
        <v>5</v>
      </c>
      <c r="AF287" s="116" t="s">
        <v>59</v>
      </c>
      <c r="AG287" s="114">
        <f>AT287/17.1</f>
        <v>0.859649122807017</v>
      </c>
      <c r="AH287" s="114">
        <f>AU287/88.4</f>
        <v>0.588235294117647</v>
      </c>
      <c r="AI287" s="114">
        <f>AR287</f>
        <v>1.4</v>
      </c>
      <c r="AJ287" s="159">
        <f>LN(IF(AG287&gt;=1,AG287,1))*3.8+LN(IF(AH287&gt;=1,AH287,1))*9.6+11.2*LN(IF(AI287&gt;=1,AI287,1))+6.4*AN287</f>
        <v>10.1684890501576</v>
      </c>
      <c r="AK287" s="160">
        <f>IF(AND(AG287&gt;0,AH287&gt;0,AI287&gt;0),AJ287,"")</f>
        <v>10.1684890501576</v>
      </c>
      <c r="AL287" s="160">
        <f>AK287+1.59*(135-AM287)</f>
        <v>10.1684890501576</v>
      </c>
      <c r="AM287" s="160">
        <f>IF(AV287&gt;135,135,IF(AV287&lt;120,120,AV287))</f>
        <v>135</v>
      </c>
      <c r="AN287" s="114">
        <v>1</v>
      </c>
      <c r="AO287" s="114">
        <v>1</v>
      </c>
      <c r="AP287" s="114">
        <v>1.77</v>
      </c>
      <c r="AQ287" s="114">
        <v>90</v>
      </c>
      <c r="AR287" s="114">
        <v>1.4</v>
      </c>
      <c r="AS287" s="160">
        <v>37</v>
      </c>
      <c r="AT287" s="161">
        <v>14.7</v>
      </c>
      <c r="AU287" s="114">
        <v>52</v>
      </c>
      <c r="AV287" s="114">
        <v>143</v>
      </c>
      <c r="AZ287" s="132" t="s">
        <v>826</v>
      </c>
    </row>
    <row r="288" spans="1:52">
      <c r="A288" s="117" t="s">
        <v>827</v>
      </c>
      <c r="B288" s="117" t="s">
        <v>53</v>
      </c>
      <c r="C288" s="117">
        <v>71</v>
      </c>
      <c r="D288" s="135">
        <v>1.6</v>
      </c>
      <c r="E288" s="117">
        <v>53</v>
      </c>
      <c r="F288" s="136">
        <f>E288/(D288*D288)</f>
        <v>20.703125</v>
      </c>
      <c r="G288" s="117">
        <v>1</v>
      </c>
      <c r="I288" s="158">
        <v>44359</v>
      </c>
      <c r="J288" s="158">
        <v>44376</v>
      </c>
      <c r="L288" s="137">
        <v>1</v>
      </c>
      <c r="M288" s="137">
        <v>17</v>
      </c>
      <c r="N288" s="139" t="s">
        <v>828</v>
      </c>
      <c r="O288" s="114">
        <v>1</v>
      </c>
      <c r="P288" s="114"/>
      <c r="Q288" s="114"/>
      <c r="R288" s="114"/>
      <c r="S288" s="114"/>
      <c r="T288" s="114">
        <v>1</v>
      </c>
      <c r="U288" s="114">
        <v>0</v>
      </c>
      <c r="V288" s="114">
        <v>1</v>
      </c>
      <c r="W288" s="114">
        <v>0</v>
      </c>
      <c r="X288" s="114">
        <v>0</v>
      </c>
      <c r="Y288" s="114">
        <v>1</v>
      </c>
      <c r="Z288" s="114" t="s">
        <v>307</v>
      </c>
      <c r="AA288" s="114">
        <v>3</v>
      </c>
      <c r="AB288" s="114">
        <v>1</v>
      </c>
      <c r="AC288" s="114">
        <v>1</v>
      </c>
      <c r="AD288" s="114">
        <v>1</v>
      </c>
      <c r="AE288" s="114">
        <f>Y288+AA288+AB288+AC288+AD288</f>
        <v>7</v>
      </c>
      <c r="AF288" s="116" t="s">
        <v>63</v>
      </c>
      <c r="AG288" s="114">
        <f>AT288/17.1</f>
        <v>0.777777777777778</v>
      </c>
      <c r="AH288" s="114">
        <f>AU288/88.4</f>
        <v>0.565610859728507</v>
      </c>
      <c r="AI288" s="114">
        <f>AR288</f>
        <v>1.29</v>
      </c>
      <c r="AJ288" s="159">
        <f>LN(IF(AG288&gt;=1,AG288,1))*3.8+LN(IF(AH288&gt;=1,AH288,1))*9.6+11.2*LN(IF(AI288&gt;=1,AI288,1))+6.4*AN288</f>
        <v>9.25199284578411</v>
      </c>
      <c r="AK288" s="160">
        <f>IF(AND(AG288&gt;0,AH288&gt;0,AI288&gt;0),AJ288,"")</f>
        <v>9.25199284578411</v>
      </c>
      <c r="AL288" s="160">
        <f>AK288+1.59*(135-AM288)</f>
        <v>9.25199284578411</v>
      </c>
      <c r="AM288" s="160">
        <f>IF(AV288&gt;135,135,IF(AV288&lt;120,120,AV288))</f>
        <v>135</v>
      </c>
      <c r="AN288" s="114">
        <v>1</v>
      </c>
      <c r="AO288" s="114">
        <v>1</v>
      </c>
      <c r="AP288" s="114">
        <v>2.81</v>
      </c>
      <c r="AQ288" s="114">
        <v>90</v>
      </c>
      <c r="AR288" s="114">
        <v>1.29</v>
      </c>
      <c r="AS288" s="160">
        <v>41</v>
      </c>
      <c r="AT288" s="161">
        <v>13.3</v>
      </c>
      <c r="AU288" s="114">
        <v>50</v>
      </c>
      <c r="AV288" s="114">
        <v>140</v>
      </c>
      <c r="AZ288" s="119" t="s">
        <v>829</v>
      </c>
    </row>
    <row r="289" spans="1:52">
      <c r="A289" s="117" t="s">
        <v>501</v>
      </c>
      <c r="B289" s="117" t="s">
        <v>53</v>
      </c>
      <c r="C289" s="117">
        <v>60</v>
      </c>
      <c r="D289" s="135">
        <v>1.63</v>
      </c>
      <c r="E289" s="117">
        <v>50</v>
      </c>
      <c r="F289" s="136">
        <f>E289/(D289*D289)</f>
        <v>18.8189243102864</v>
      </c>
      <c r="G289" s="117">
        <v>2</v>
      </c>
      <c r="I289" s="158">
        <v>44363</v>
      </c>
      <c r="J289" s="158">
        <v>44378</v>
      </c>
      <c r="L289" s="137">
        <v>2</v>
      </c>
      <c r="M289" s="138">
        <v>15</v>
      </c>
      <c r="N289" s="139" t="s">
        <v>830</v>
      </c>
      <c r="O289" s="114"/>
      <c r="P289" s="114"/>
      <c r="Q289" s="114"/>
      <c r="R289" s="114"/>
      <c r="S289" s="114">
        <v>1</v>
      </c>
      <c r="T289" s="114">
        <v>0</v>
      </c>
      <c r="U289" s="114">
        <v>0</v>
      </c>
      <c r="V289" s="114">
        <v>1</v>
      </c>
      <c r="W289" s="114">
        <v>0</v>
      </c>
      <c r="X289" s="114">
        <v>0</v>
      </c>
      <c r="Y289" s="114">
        <v>1</v>
      </c>
      <c r="Z289" s="114" t="s">
        <v>58</v>
      </c>
      <c r="AA289" s="114">
        <v>1</v>
      </c>
      <c r="AB289" s="114">
        <v>1</v>
      </c>
      <c r="AC289" s="114">
        <v>2</v>
      </c>
      <c r="AD289" s="114">
        <v>1</v>
      </c>
      <c r="AE289" s="114">
        <f>Y289+AA289+AB289+AC289+AD289</f>
        <v>6</v>
      </c>
      <c r="AF289" s="116" t="s">
        <v>59</v>
      </c>
      <c r="AG289" s="114">
        <f>AT289/17.1</f>
        <v>0.818713450292398</v>
      </c>
      <c r="AH289" s="114">
        <f>AU289/88.4</f>
        <v>0.475113122171946</v>
      </c>
      <c r="AI289" s="114">
        <f>AR289</f>
        <v>1.44</v>
      </c>
      <c r="AJ289" s="159">
        <f>LN(IF(AG289&gt;=1,AG289,1))*3.8+LN(IF(AH289&gt;=1,AH289,1))*9.6+11.2*LN(IF(AI289&gt;=1,AI289,1))+6.4*AN289</f>
        <v>10.4840028721846</v>
      </c>
      <c r="AK289" s="160">
        <f>IF(AND(AG289&gt;0,AH289&gt;0,AI289&gt;0),AJ289,"")</f>
        <v>10.4840028721846</v>
      </c>
      <c r="AL289" s="160">
        <f>AK289+1.59*(135-AM289)</f>
        <v>10.4840028721846</v>
      </c>
      <c r="AM289" s="160">
        <f>IF(AV289&gt;135,135,IF(AV289&lt;120,120,AV289))</f>
        <v>135</v>
      </c>
      <c r="AN289" s="114">
        <v>1</v>
      </c>
      <c r="AO289" s="114">
        <v>1</v>
      </c>
      <c r="AP289" s="114">
        <v>1.6</v>
      </c>
      <c r="AQ289" s="114">
        <v>70</v>
      </c>
      <c r="AR289" s="114">
        <v>1.44</v>
      </c>
      <c r="AS289" s="160">
        <v>28</v>
      </c>
      <c r="AT289" s="161">
        <v>14</v>
      </c>
      <c r="AU289" s="114">
        <v>42</v>
      </c>
      <c r="AV289" s="114">
        <v>149</v>
      </c>
      <c r="AZ289" s="119" t="s">
        <v>831</v>
      </c>
    </row>
    <row r="290" s="123" customFormat="1" spans="1:52">
      <c r="A290" s="123" t="s">
        <v>832</v>
      </c>
      <c r="B290" s="123" t="s">
        <v>48</v>
      </c>
      <c r="C290" s="123">
        <v>49</v>
      </c>
      <c r="D290" s="176">
        <v>1.8</v>
      </c>
      <c r="E290" s="123">
        <v>80</v>
      </c>
      <c r="F290" s="189">
        <f>E290/(D290*D290)</f>
        <v>24.6913580246914</v>
      </c>
      <c r="G290" s="123">
        <v>7</v>
      </c>
      <c r="I290" s="177">
        <v>44370</v>
      </c>
      <c r="J290" s="177">
        <v>44377</v>
      </c>
      <c r="L290" s="178">
        <v>1</v>
      </c>
      <c r="M290" s="178">
        <v>7</v>
      </c>
      <c r="N290" s="179" t="s">
        <v>833</v>
      </c>
      <c r="O290" s="114"/>
      <c r="P290" s="114">
        <v>1</v>
      </c>
      <c r="Q290" s="114"/>
      <c r="R290" s="114"/>
      <c r="S290" s="114"/>
      <c r="T290" s="114">
        <v>0</v>
      </c>
      <c r="U290" s="114">
        <v>0</v>
      </c>
      <c r="V290" s="114">
        <v>1</v>
      </c>
      <c r="W290" s="114">
        <v>0</v>
      </c>
      <c r="X290" s="114">
        <v>1</v>
      </c>
      <c r="Y290" s="114">
        <v>1</v>
      </c>
      <c r="Z290" s="114" t="s">
        <v>58</v>
      </c>
      <c r="AA290" s="114">
        <v>1</v>
      </c>
      <c r="AB290" s="114">
        <v>1</v>
      </c>
      <c r="AC290" s="114">
        <v>2</v>
      </c>
      <c r="AD290" s="114">
        <v>1</v>
      </c>
      <c r="AE290" s="114">
        <f>Y290+AA290+AB290+AC290+AD290</f>
        <v>6</v>
      </c>
      <c r="AF290" s="116" t="s">
        <v>59</v>
      </c>
      <c r="AG290" s="114">
        <f>AT290/17.1</f>
        <v>1.59649122807018</v>
      </c>
      <c r="AH290" s="114">
        <f>AU290/88.4</f>
        <v>0.667420814479638</v>
      </c>
      <c r="AI290" s="114">
        <f>AR290</f>
        <v>1.3</v>
      </c>
      <c r="AJ290" s="159">
        <f>LN(IF(AG290&gt;=1,AG290,1))*3.8+LN(IF(AH290&gt;=1,AH290,1))*9.6+11.2*LN(IF(AI290&gt;=1,AI290,1))+6.4*AN290</f>
        <v>4.71615106902864</v>
      </c>
      <c r="AK290" s="160">
        <f>IF(AND(AG290&gt;0,AH290&gt;0,AI290&gt;0),AJ290,"")</f>
        <v>4.71615106902864</v>
      </c>
      <c r="AL290" s="160">
        <f>AK290+1.59*(135-AM290)</f>
        <v>4.71615106902864</v>
      </c>
      <c r="AM290" s="160">
        <f>IF(AV290&gt;135,135,IF(AV290&lt;120,120,AV290))</f>
        <v>135</v>
      </c>
      <c r="AN290" s="114">
        <v>0</v>
      </c>
      <c r="AO290" s="114">
        <v>1</v>
      </c>
      <c r="AP290" s="114">
        <v>5.92</v>
      </c>
      <c r="AQ290" s="114">
        <v>85</v>
      </c>
      <c r="AR290" s="114">
        <v>1.3</v>
      </c>
      <c r="AS290" s="160">
        <v>31</v>
      </c>
      <c r="AT290" s="161">
        <v>27.3</v>
      </c>
      <c r="AU290" s="114">
        <v>59</v>
      </c>
      <c r="AV290" s="114">
        <v>137</v>
      </c>
      <c r="AZ290" s="132" t="s">
        <v>834</v>
      </c>
    </row>
    <row r="291" spans="1:52">
      <c r="A291" s="117" t="s">
        <v>413</v>
      </c>
      <c r="B291" s="117" t="s">
        <v>48</v>
      </c>
      <c r="C291" s="117">
        <v>42</v>
      </c>
      <c r="D291" s="135">
        <v>1.65</v>
      </c>
      <c r="E291" s="117">
        <v>78</v>
      </c>
      <c r="F291" s="136">
        <f>E291/(D291*D291)</f>
        <v>28.6501377410468</v>
      </c>
      <c r="G291" s="117">
        <v>1</v>
      </c>
      <c r="I291" s="158">
        <v>44369</v>
      </c>
      <c r="J291" s="158">
        <v>44377</v>
      </c>
      <c r="L291" s="137">
        <v>2</v>
      </c>
      <c r="M291" s="137">
        <v>8</v>
      </c>
      <c r="N291" s="139" t="s">
        <v>835</v>
      </c>
      <c r="O291" s="114">
        <v>1</v>
      </c>
      <c r="P291" s="114"/>
      <c r="Q291" s="114"/>
      <c r="R291" s="114"/>
      <c r="S291" s="114"/>
      <c r="T291" s="114">
        <v>1</v>
      </c>
      <c r="U291" s="114">
        <v>0</v>
      </c>
      <c r="V291" s="114">
        <v>1</v>
      </c>
      <c r="W291" s="114">
        <v>0</v>
      </c>
      <c r="X291" s="114">
        <v>1</v>
      </c>
      <c r="Y291" s="114">
        <v>1</v>
      </c>
      <c r="Z291" s="114" t="s">
        <v>321</v>
      </c>
      <c r="AA291" s="114">
        <v>3</v>
      </c>
      <c r="AB291" s="114">
        <v>1</v>
      </c>
      <c r="AC291" s="114">
        <v>3</v>
      </c>
      <c r="AD291" s="114">
        <v>2</v>
      </c>
      <c r="AE291" s="114">
        <f>Y291+AA291+AB291+AC291+AD291</f>
        <v>10</v>
      </c>
      <c r="AF291" s="116" t="s">
        <v>50</v>
      </c>
      <c r="AG291" s="114">
        <f>AT291/17.1</f>
        <v>0.859649122807017</v>
      </c>
      <c r="AH291" s="114">
        <f>AU291/88.4</f>
        <v>0.791855203619909</v>
      </c>
      <c r="AI291" s="114">
        <f>AR291</f>
        <v>1.8</v>
      </c>
      <c r="AJ291" s="159">
        <f>LN(IF(AG291&gt;=1,AG291,1))*3.8+LN(IF(AH291&gt;=1,AH291,1))*9.6+11.2*LN(IF(AI291&gt;=1,AI291,1))+6.4*AN291</f>
        <v>12.9832106469037</v>
      </c>
      <c r="AK291" s="160">
        <f>IF(AND(AG291&gt;0,AH291&gt;0,AI291&gt;0),AJ291,"")</f>
        <v>12.9832106469037</v>
      </c>
      <c r="AL291" s="160">
        <f>AK291+1.59*(135-AM291)</f>
        <v>12.9832106469037</v>
      </c>
      <c r="AM291" s="160">
        <f>IF(AV291&gt;135,135,IF(AV291&lt;120,120,AV291))</f>
        <v>135</v>
      </c>
      <c r="AN291" s="114">
        <v>1</v>
      </c>
      <c r="AO291" s="114">
        <v>1</v>
      </c>
      <c r="AP291" s="114">
        <v>1.64</v>
      </c>
      <c r="AQ291" s="114">
        <v>69</v>
      </c>
      <c r="AR291" s="114">
        <v>1.8</v>
      </c>
      <c r="AS291" s="160">
        <v>26</v>
      </c>
      <c r="AT291" s="161">
        <v>14.7</v>
      </c>
      <c r="AU291" s="114">
        <v>70</v>
      </c>
      <c r="AV291" s="114">
        <v>138</v>
      </c>
      <c r="AZ291" s="119" t="s">
        <v>836</v>
      </c>
    </row>
    <row r="292" s="123" customFormat="1" spans="1:52">
      <c r="A292" s="123" t="s">
        <v>837</v>
      </c>
      <c r="B292" s="123" t="s">
        <v>48</v>
      </c>
      <c r="C292" s="123">
        <v>55</v>
      </c>
      <c r="D292" s="176">
        <v>1.72</v>
      </c>
      <c r="E292" s="123">
        <v>67</v>
      </c>
      <c r="F292" s="189">
        <f>E292/(D292*D292)</f>
        <v>22.6473769605192</v>
      </c>
      <c r="G292" s="123">
        <v>6</v>
      </c>
      <c r="I292" s="177">
        <v>44369</v>
      </c>
      <c r="J292" s="177">
        <v>44384</v>
      </c>
      <c r="L292" s="178">
        <v>1</v>
      </c>
      <c r="M292" s="178">
        <v>15</v>
      </c>
      <c r="N292" s="179" t="s">
        <v>838</v>
      </c>
      <c r="O292" s="114"/>
      <c r="P292" s="114">
        <v>1</v>
      </c>
      <c r="Q292" s="114"/>
      <c r="R292" s="114"/>
      <c r="S292" s="114"/>
      <c r="T292" s="114">
        <v>0</v>
      </c>
      <c r="U292" s="114">
        <v>0</v>
      </c>
      <c r="V292" s="114">
        <v>1</v>
      </c>
      <c r="W292" s="114">
        <v>0</v>
      </c>
      <c r="X292" s="114">
        <v>1</v>
      </c>
      <c r="Y292" s="114">
        <v>1</v>
      </c>
      <c r="Z292" s="114" t="s">
        <v>58</v>
      </c>
      <c r="AA292" s="114">
        <v>1</v>
      </c>
      <c r="AB292" s="114">
        <v>1</v>
      </c>
      <c r="AC292" s="114">
        <v>2</v>
      </c>
      <c r="AD292" s="114">
        <v>1</v>
      </c>
      <c r="AE292" s="114">
        <f>Y292+AA292+AB292+AC292+AD292</f>
        <v>6</v>
      </c>
      <c r="AF292" s="116" t="s">
        <v>59</v>
      </c>
      <c r="AG292" s="114">
        <f>AT292/17.1</f>
        <v>1.35087719298246</v>
      </c>
      <c r="AH292" s="114">
        <f>AU292/88.4</f>
        <v>0.701357466063348</v>
      </c>
      <c r="AI292" s="114">
        <f>AR292</f>
        <v>1.66</v>
      </c>
      <c r="AJ292" s="159">
        <f>LN(IF(AG292&gt;=1,AG292,1))*3.8+LN(IF(AH292&gt;=1,AH292,1))*9.6+11.2*LN(IF(AI292&gt;=1,AI292,1))+6.4*AN292</f>
        <v>6.81922293179937</v>
      </c>
      <c r="AK292" s="160">
        <f>IF(AND(AG292&gt;0,AH292&gt;0,AI292&gt;0),AJ292,"")</f>
        <v>6.81922293179937</v>
      </c>
      <c r="AL292" s="160">
        <f>AK292+1.59*(135-AM292)</f>
        <v>6.81922293179937</v>
      </c>
      <c r="AM292" s="160">
        <f>IF(AV292&gt;135,135,IF(AV292&lt;120,120,AV292))</f>
        <v>135</v>
      </c>
      <c r="AN292" s="114">
        <v>0</v>
      </c>
      <c r="AO292" s="114">
        <v>1</v>
      </c>
      <c r="AP292" s="114">
        <v>1.96</v>
      </c>
      <c r="AQ292" s="114">
        <v>80</v>
      </c>
      <c r="AR292" s="114">
        <v>1.66</v>
      </c>
      <c r="AS292" s="160">
        <v>28</v>
      </c>
      <c r="AT292" s="161">
        <v>23.1</v>
      </c>
      <c r="AU292" s="114">
        <v>62</v>
      </c>
      <c r="AV292" s="114">
        <v>143</v>
      </c>
      <c r="AZ292" s="132" t="s">
        <v>839</v>
      </c>
    </row>
    <row r="293" spans="1:52">
      <c r="A293" s="117" t="s">
        <v>342</v>
      </c>
      <c r="B293" s="117" t="s">
        <v>48</v>
      </c>
      <c r="C293" s="117">
        <v>59</v>
      </c>
      <c r="D293" s="135">
        <v>1.7</v>
      </c>
      <c r="E293" s="117">
        <v>47</v>
      </c>
      <c r="F293" s="136">
        <f>E293/(D293*D293)</f>
        <v>16.2629757785467</v>
      </c>
      <c r="G293" s="117">
        <v>0</v>
      </c>
      <c r="I293" s="158">
        <v>44270</v>
      </c>
      <c r="J293" s="158">
        <v>44278</v>
      </c>
      <c r="L293" s="137">
        <v>8</v>
      </c>
      <c r="M293" s="137">
        <v>8</v>
      </c>
      <c r="N293" s="139" t="s">
        <v>840</v>
      </c>
      <c r="O293" s="114">
        <v>1</v>
      </c>
      <c r="P293" s="114"/>
      <c r="Q293" s="114"/>
      <c r="R293" s="114"/>
      <c r="S293" s="114"/>
      <c r="T293" s="114">
        <v>0</v>
      </c>
      <c r="U293" s="114">
        <v>0</v>
      </c>
      <c r="V293" s="114">
        <v>1</v>
      </c>
      <c r="W293" s="114">
        <v>0</v>
      </c>
      <c r="X293" s="114">
        <v>1</v>
      </c>
      <c r="Y293" s="114">
        <v>1</v>
      </c>
      <c r="Z293" s="114" t="s">
        <v>58</v>
      </c>
      <c r="AA293" s="114">
        <v>1</v>
      </c>
      <c r="AB293" s="114">
        <v>1</v>
      </c>
      <c r="AC293" s="114">
        <v>1</v>
      </c>
      <c r="AD293" s="114">
        <v>1</v>
      </c>
      <c r="AE293" s="114">
        <f>Y293+AA293+AB293+AC293+AD293</f>
        <v>5</v>
      </c>
      <c r="AF293" s="116" t="s">
        <v>59</v>
      </c>
      <c r="AG293" s="114">
        <f>AT293/17.1</f>
        <v>0.56140350877193</v>
      </c>
      <c r="AH293" s="114">
        <f>AU293/88.4</f>
        <v>0.83710407239819</v>
      </c>
      <c r="AI293" s="114">
        <f>AR293</f>
        <v>1.38</v>
      </c>
      <c r="AJ293" s="159">
        <f>LN(IF(AG293&gt;=1,AG293,1))*3.8+LN(IF(AH293&gt;=1,AH293,1))*9.6+11.2*LN(IF(AI293&gt;=1,AI293,1))+6.4*AN293</f>
        <v>10.0073351906941</v>
      </c>
      <c r="AK293" s="160">
        <f>IF(AND(AG293&gt;0,AH293&gt;0,AI293&gt;0),AJ293,"")</f>
        <v>10.0073351906941</v>
      </c>
      <c r="AL293" s="160">
        <f>AK293+1.59*(135-AM293)</f>
        <v>10.0073351906941</v>
      </c>
      <c r="AM293" s="160">
        <f>IF(AV293&gt;135,135,IF(AV293&lt;120,120,AV293))</f>
        <v>135</v>
      </c>
      <c r="AN293" s="114">
        <v>1</v>
      </c>
      <c r="AO293" s="114">
        <v>1</v>
      </c>
      <c r="AP293" s="114">
        <v>1.81</v>
      </c>
      <c r="AQ293" s="114">
        <v>64</v>
      </c>
      <c r="AR293" s="114">
        <v>1.38</v>
      </c>
      <c r="AS293" s="160">
        <v>36</v>
      </c>
      <c r="AT293" s="161">
        <v>9.6</v>
      </c>
      <c r="AU293" s="114">
        <v>74</v>
      </c>
      <c r="AV293" s="114">
        <v>141</v>
      </c>
      <c r="AZ293" s="119" t="s">
        <v>841</v>
      </c>
    </row>
    <row r="294" spans="1:52">
      <c r="A294" s="117" t="s">
        <v>842</v>
      </c>
      <c r="B294" s="117" t="s">
        <v>53</v>
      </c>
      <c r="C294" s="117">
        <v>58</v>
      </c>
      <c r="D294" s="135">
        <v>1.55</v>
      </c>
      <c r="E294" s="117">
        <v>54</v>
      </c>
      <c r="F294" s="136">
        <f>E294/(D294*D294)</f>
        <v>22.4765868886576</v>
      </c>
      <c r="G294" s="117">
        <v>4</v>
      </c>
      <c r="I294" s="158">
        <v>44389</v>
      </c>
      <c r="J294" s="158">
        <v>44404</v>
      </c>
      <c r="L294" s="137">
        <v>1</v>
      </c>
      <c r="M294" s="137">
        <v>15</v>
      </c>
      <c r="N294" s="139" t="s">
        <v>843</v>
      </c>
      <c r="O294" s="114">
        <v>1</v>
      </c>
      <c r="P294" s="114"/>
      <c r="Q294" s="114"/>
      <c r="R294" s="114"/>
      <c r="S294" s="114"/>
      <c r="T294" s="114">
        <v>1</v>
      </c>
      <c r="U294" s="114">
        <v>0</v>
      </c>
      <c r="V294" s="114">
        <v>0</v>
      </c>
      <c r="W294" s="114">
        <v>1</v>
      </c>
      <c r="X294" s="114">
        <v>0</v>
      </c>
      <c r="Y294" s="114">
        <v>1</v>
      </c>
      <c r="Z294" s="114" t="s">
        <v>321</v>
      </c>
      <c r="AA294" s="114">
        <v>3</v>
      </c>
      <c r="AB294" s="114">
        <v>1</v>
      </c>
      <c r="AC294" s="114">
        <v>2</v>
      </c>
      <c r="AD294" s="114">
        <v>1</v>
      </c>
      <c r="AE294" s="114">
        <f>Y294+AA294+AB294+AC294+AD294</f>
        <v>8</v>
      </c>
      <c r="AF294" s="116" t="s">
        <v>63</v>
      </c>
      <c r="AG294" s="114">
        <f>AT294/17.1</f>
        <v>1.00584795321637</v>
      </c>
      <c r="AH294" s="114">
        <f>AU294/88.4</f>
        <v>1.79864253393665</v>
      </c>
      <c r="AI294" s="114">
        <f>AR294</f>
        <v>1.21</v>
      </c>
      <c r="AJ294" s="159">
        <f>LN(IF(AG294&gt;=1,AG294,1))*3.8+LN(IF(AH294&gt;=1,AH294,1))*9.6+11.2*LN(IF(AI294&gt;=1,AI294,1))+6.4*AN294</f>
        <v>14.1926149575336</v>
      </c>
      <c r="AK294" s="160">
        <f>IF(AND(AG294&gt;0,AH294&gt;0,AI294&gt;0),AJ294,"")</f>
        <v>14.1926149575336</v>
      </c>
      <c r="AL294" s="160">
        <f>AK294+1.59*(135-AM294)</f>
        <v>14.1926149575336</v>
      </c>
      <c r="AM294" s="160">
        <f>IF(AV294&gt;135,135,IF(AV294&lt;120,120,AV294))</f>
        <v>135</v>
      </c>
      <c r="AN294" s="114">
        <v>1</v>
      </c>
      <c r="AO294" s="114">
        <v>2</v>
      </c>
      <c r="AP294" s="114">
        <v>3.73</v>
      </c>
      <c r="AQ294" s="114">
        <v>95</v>
      </c>
      <c r="AR294" s="114">
        <v>1.21</v>
      </c>
      <c r="AS294" s="160">
        <v>29</v>
      </c>
      <c r="AT294" s="161">
        <v>17.2</v>
      </c>
      <c r="AU294" s="114">
        <v>159</v>
      </c>
      <c r="AV294" s="114">
        <v>143</v>
      </c>
      <c r="AZ294" s="119" t="s">
        <v>844</v>
      </c>
    </row>
    <row r="295" spans="1:52">
      <c r="A295" s="117" t="s">
        <v>845</v>
      </c>
      <c r="B295" s="117" t="s">
        <v>48</v>
      </c>
      <c r="C295" s="117">
        <v>45</v>
      </c>
      <c r="D295" s="135">
        <v>1.68</v>
      </c>
      <c r="E295" s="117">
        <v>82</v>
      </c>
      <c r="F295" s="136">
        <f>E295/(D295*D295)</f>
        <v>29.0532879818594</v>
      </c>
      <c r="G295" s="117">
        <v>0</v>
      </c>
      <c r="I295" s="158">
        <v>44390</v>
      </c>
      <c r="J295" s="158">
        <v>44397</v>
      </c>
      <c r="L295" s="137">
        <v>1</v>
      </c>
      <c r="M295" s="137">
        <v>7</v>
      </c>
      <c r="N295" s="139" t="s">
        <v>846</v>
      </c>
      <c r="O295" s="114">
        <v>1</v>
      </c>
      <c r="P295" s="114"/>
      <c r="Q295" s="114"/>
      <c r="R295" s="114"/>
      <c r="S295" s="114"/>
      <c r="T295" s="114">
        <v>0</v>
      </c>
      <c r="U295" s="114">
        <v>0</v>
      </c>
      <c r="V295" s="114">
        <v>1</v>
      </c>
      <c r="W295" s="114">
        <v>0</v>
      </c>
      <c r="X295" s="114">
        <v>1</v>
      </c>
      <c r="Y295" s="114">
        <v>1</v>
      </c>
      <c r="Z295" s="114" t="s">
        <v>58</v>
      </c>
      <c r="AA295" s="114">
        <v>1</v>
      </c>
      <c r="AB295" s="114">
        <v>1</v>
      </c>
      <c r="AC295" s="114">
        <v>2</v>
      </c>
      <c r="AD295" s="114">
        <v>1</v>
      </c>
      <c r="AE295" s="114">
        <f>Y295+AA295+AB295+AC295+AD295</f>
        <v>6</v>
      </c>
      <c r="AF295" s="116" t="s">
        <v>59</v>
      </c>
      <c r="AG295" s="114">
        <f>AT295/17.1</f>
        <v>1.44444444444444</v>
      </c>
      <c r="AH295" s="114">
        <f>AU295/88.4</f>
        <v>0.735294117647059</v>
      </c>
      <c r="AI295" s="114">
        <f>AR295</f>
        <v>1.32</v>
      </c>
      <c r="AJ295" s="159">
        <f>LN(IF(AG295&gt;=1,AG295,1))*3.8+LN(IF(AH295&gt;=1,AH295,1))*9.6+11.2*LN(IF(AI295&gt;=1,AI295,1))+6.4*AN295</f>
        <v>10.9068296143769</v>
      </c>
      <c r="AK295" s="160">
        <f>IF(AND(AG295&gt;0,AH295&gt;0,AI295&gt;0),AJ295,"")</f>
        <v>10.9068296143769</v>
      </c>
      <c r="AL295" s="160">
        <f>AK295+1.59*(135-AM295)</f>
        <v>10.9068296143769</v>
      </c>
      <c r="AM295" s="160">
        <f>IF(AV295&gt;135,135,IF(AV295&lt;120,120,AV295))</f>
        <v>135</v>
      </c>
      <c r="AN295" s="114">
        <v>1</v>
      </c>
      <c r="AO295" s="114">
        <v>1</v>
      </c>
      <c r="AP295" s="114">
        <v>1.73</v>
      </c>
      <c r="AQ295" s="114">
        <v>100</v>
      </c>
      <c r="AR295" s="114">
        <v>1.32</v>
      </c>
      <c r="AS295" s="160">
        <v>34</v>
      </c>
      <c r="AT295" s="161">
        <v>24.7</v>
      </c>
      <c r="AU295" s="114">
        <v>65</v>
      </c>
      <c r="AV295" s="114">
        <v>142</v>
      </c>
      <c r="AZ295" s="119" t="s">
        <v>847</v>
      </c>
    </row>
    <row r="296" s="125" customFormat="1" spans="1:52">
      <c r="A296" s="125" t="s">
        <v>848</v>
      </c>
      <c r="B296" s="125" t="s">
        <v>53</v>
      </c>
      <c r="C296" s="125">
        <v>66</v>
      </c>
      <c r="D296" s="185"/>
      <c r="E296" s="125">
        <v>52.5</v>
      </c>
      <c r="F296" s="216"/>
      <c r="G296" s="125">
        <v>0</v>
      </c>
      <c r="I296" s="186">
        <v>44393</v>
      </c>
      <c r="J296" s="186">
        <v>44405</v>
      </c>
      <c r="L296" s="187">
        <v>1</v>
      </c>
      <c r="M296" s="187">
        <v>12</v>
      </c>
      <c r="N296" s="188" t="s">
        <v>849</v>
      </c>
      <c r="S296" s="125">
        <v>1</v>
      </c>
      <c r="T296" s="125">
        <v>1</v>
      </c>
      <c r="U296" s="125">
        <v>0</v>
      </c>
      <c r="V296" s="125">
        <v>1</v>
      </c>
      <c r="W296" s="125">
        <v>0</v>
      </c>
      <c r="X296" s="125">
        <v>0</v>
      </c>
      <c r="Y296" s="125">
        <v>1</v>
      </c>
      <c r="Z296" s="125" t="s">
        <v>321</v>
      </c>
      <c r="AA296" s="125">
        <v>3</v>
      </c>
      <c r="AB296" s="125">
        <v>1</v>
      </c>
      <c r="AC296" s="125">
        <v>2</v>
      </c>
      <c r="AD296" s="125">
        <v>1</v>
      </c>
      <c r="AE296" s="125">
        <f>Y296+AA296+AB296+AC296+AD296</f>
        <v>8</v>
      </c>
      <c r="AF296" s="131" t="s">
        <v>63</v>
      </c>
      <c r="AG296" s="125">
        <f>AT296/17.1</f>
        <v>1.28654970760234</v>
      </c>
      <c r="AH296" s="125">
        <f>AU296/88.4</f>
        <v>0.81447963800905</v>
      </c>
      <c r="AI296" s="125">
        <f>AR296</f>
        <v>1.61</v>
      </c>
      <c r="AJ296" s="240">
        <f>LN(IF(AG296&gt;=1,AG296,1))*3.8+LN(IF(AH296&gt;=1,AH296,1))*9.6+11.2*LN(IF(AI296&gt;=1,AI296,1))+6.4*AN296</f>
        <v>12.6912859661882</v>
      </c>
      <c r="AK296" s="241">
        <f>IF(AND(AG296&gt;0,AH296&gt;0,AI296&gt;0),AJ296,"")</f>
        <v>12.6912859661882</v>
      </c>
      <c r="AL296" s="241">
        <f>AK296+1.59*(135-AM296)</f>
        <v>15.8712859661882</v>
      </c>
      <c r="AM296" s="241">
        <f>IF(AV296&gt;135,135,IF(AV296&lt;120,120,AV296))</f>
        <v>133</v>
      </c>
      <c r="AN296" s="125">
        <v>1</v>
      </c>
      <c r="AO296" s="125">
        <v>1</v>
      </c>
      <c r="AP296" s="125">
        <v>5.67</v>
      </c>
      <c r="AQ296" s="125">
        <v>118</v>
      </c>
      <c r="AR296" s="125">
        <v>1.61</v>
      </c>
      <c r="AS296" s="241">
        <v>31</v>
      </c>
      <c r="AT296" s="242">
        <v>22</v>
      </c>
      <c r="AU296" s="125">
        <v>72</v>
      </c>
      <c r="AV296" s="125">
        <v>133</v>
      </c>
      <c r="AZ296" s="131" t="s">
        <v>850</v>
      </c>
    </row>
    <row r="297" spans="1:52">
      <c r="A297" s="117" t="s">
        <v>851</v>
      </c>
      <c r="B297" s="117" t="s">
        <v>48</v>
      </c>
      <c r="C297" s="117">
        <v>61</v>
      </c>
      <c r="D297" s="135">
        <v>1.8</v>
      </c>
      <c r="E297" s="117">
        <v>50</v>
      </c>
      <c r="F297" s="136">
        <f>E297/(D297*D297)</f>
        <v>15.4320987654321</v>
      </c>
      <c r="G297" s="117">
        <v>5</v>
      </c>
      <c r="I297" s="158">
        <v>44384</v>
      </c>
      <c r="J297" s="210">
        <v>44378</v>
      </c>
      <c r="K297" s="114"/>
      <c r="L297" s="138">
        <v>1</v>
      </c>
      <c r="M297" s="138">
        <v>22</v>
      </c>
      <c r="N297" s="213" t="s">
        <v>852</v>
      </c>
      <c r="O297" s="114"/>
      <c r="P297" s="114"/>
      <c r="Q297" s="114"/>
      <c r="R297" s="114"/>
      <c r="S297" s="114">
        <v>1</v>
      </c>
      <c r="T297" s="114">
        <v>1</v>
      </c>
      <c r="U297" s="114">
        <v>0</v>
      </c>
      <c r="V297" s="114">
        <v>0</v>
      </c>
      <c r="W297" s="114">
        <v>0</v>
      </c>
      <c r="X297" s="114">
        <v>0</v>
      </c>
      <c r="Y297" s="114">
        <v>1</v>
      </c>
      <c r="Z297" s="114" t="s">
        <v>321</v>
      </c>
      <c r="AA297" s="114">
        <v>3</v>
      </c>
      <c r="AB297" s="114">
        <v>1</v>
      </c>
      <c r="AC297" s="114">
        <v>2</v>
      </c>
      <c r="AD297" s="114">
        <v>1</v>
      </c>
      <c r="AE297" s="114">
        <f>Y297+AA297+AB297+AC297+AD297</f>
        <v>8</v>
      </c>
      <c r="AF297" s="116" t="s">
        <v>63</v>
      </c>
      <c r="AG297" s="114">
        <f>AT297/17.1</f>
        <v>1.37426900584795</v>
      </c>
      <c r="AH297" s="114">
        <f>AU297/88.4</f>
        <v>0.712669683257918</v>
      </c>
      <c r="AI297" s="114">
        <f>AR297</f>
        <v>1.41</v>
      </c>
      <c r="AJ297" s="159">
        <f>LN(IF(AG297&gt;=1,AG297,1))*3.8+LN(IF(AH297&gt;=1,AH297,1))*9.6+11.2*LN(IF(AI297&gt;=1,AI297,1))+6.4*AN297</f>
        <v>11.4563081282066</v>
      </c>
      <c r="AK297" s="160">
        <f>IF(AND(AG297&gt;0,AH297&gt;0,AI297&gt;0),AJ297,"")</f>
        <v>11.4563081282066</v>
      </c>
      <c r="AL297" s="160">
        <f>AK297+1.59*(135-AM297)</f>
        <v>13.0463081282066</v>
      </c>
      <c r="AM297" s="160">
        <f>IF(AV297&gt;135,135,IF(AV297&lt;120,120,AV297))</f>
        <v>134</v>
      </c>
      <c r="AN297" s="114">
        <v>1</v>
      </c>
      <c r="AO297" s="114">
        <v>1</v>
      </c>
      <c r="AP297" s="114">
        <v>1.07</v>
      </c>
      <c r="AQ297" s="114">
        <v>59</v>
      </c>
      <c r="AR297" s="114">
        <v>1.41</v>
      </c>
      <c r="AS297" s="160">
        <v>28</v>
      </c>
      <c r="AT297" s="161">
        <v>23.5</v>
      </c>
      <c r="AU297" s="114">
        <v>63</v>
      </c>
      <c r="AV297" s="114">
        <v>134</v>
      </c>
      <c r="AZ297" s="119" t="s">
        <v>853</v>
      </c>
    </row>
    <row r="298" spans="1:52">
      <c r="A298" s="249" t="s">
        <v>854</v>
      </c>
      <c r="B298" s="117">
        <v>2</v>
      </c>
      <c r="C298" s="117">
        <v>63</v>
      </c>
      <c r="D298" s="135">
        <v>1.6</v>
      </c>
      <c r="E298" s="117">
        <v>64</v>
      </c>
      <c r="F298" s="136">
        <f>E298/(D298*D298)</f>
        <v>25</v>
      </c>
      <c r="G298" s="117">
        <v>0</v>
      </c>
      <c r="I298" s="158">
        <v>44501</v>
      </c>
      <c r="J298" s="158">
        <v>44510</v>
      </c>
      <c r="L298" s="137">
        <v>4</v>
      </c>
      <c r="M298" s="138">
        <v>9</v>
      </c>
      <c r="N298" s="139" t="s">
        <v>855</v>
      </c>
      <c r="O298" s="114"/>
      <c r="P298" s="114"/>
      <c r="Q298" s="114">
        <v>1</v>
      </c>
      <c r="R298" s="114">
        <v>1</v>
      </c>
      <c r="S298" s="114"/>
      <c r="T298" s="114">
        <v>0</v>
      </c>
      <c r="U298" s="114">
        <v>0</v>
      </c>
      <c r="V298" s="114">
        <v>0</v>
      </c>
      <c r="W298" s="114">
        <v>0</v>
      </c>
      <c r="X298" s="114">
        <v>0</v>
      </c>
      <c r="Y298" s="114">
        <v>1</v>
      </c>
      <c r="Z298" s="114" t="s">
        <v>58</v>
      </c>
      <c r="AA298" s="114">
        <v>1</v>
      </c>
      <c r="AB298" s="114">
        <f>_xlfn.IFS(AT298&lt;34,1,AT298=34-51,2,AT298&gt;51,3)</f>
        <v>1</v>
      </c>
      <c r="AC298" s="114">
        <f>IF(AS298&gt;35,1,IF(AS298&gt;28,2,IF(AS298=28,2,IF(AS298&lt;28,3))))</f>
        <v>1</v>
      </c>
      <c r="AD298" s="114">
        <f>_xlfn.IFS(AR298&gt;2.3,3,AR298&gt;=1.7,2,AR298&lt;1.7,1)</f>
        <v>1</v>
      </c>
      <c r="AE298" s="114">
        <f>Y298+AA298+AB298+AC298+AD298</f>
        <v>5</v>
      </c>
      <c r="AF298" s="116" t="s">
        <v>59</v>
      </c>
      <c r="AG298" s="114">
        <f>AT298/17.1</f>
        <v>0.456140350877193</v>
      </c>
      <c r="AH298" s="114">
        <f>AU298/88.4</f>
        <v>0.565610859728507</v>
      </c>
      <c r="AI298" s="114">
        <f>AR298</f>
        <v>0.92</v>
      </c>
      <c r="AJ298" s="159"/>
      <c r="AK298" s="160"/>
      <c r="AL298" s="160"/>
      <c r="AM298" s="160">
        <f>IF(AV298&gt;135,135,IF(AV298&lt;120,120,AV298))</f>
        <v>135</v>
      </c>
      <c r="AN298" s="114">
        <v>0</v>
      </c>
      <c r="AO298" s="114"/>
      <c r="AP298" s="114">
        <v>5.77</v>
      </c>
      <c r="AQ298" s="114">
        <v>128</v>
      </c>
      <c r="AR298" s="114">
        <v>0.92</v>
      </c>
      <c r="AS298" s="160">
        <v>38</v>
      </c>
      <c r="AT298" s="161">
        <v>7.8</v>
      </c>
      <c r="AU298" s="114">
        <v>50</v>
      </c>
      <c r="AV298" s="114">
        <v>147</v>
      </c>
      <c r="AZ298" s="119" t="s">
        <v>856</v>
      </c>
    </row>
    <row r="299" s="125" customFormat="1" spans="1:52">
      <c r="A299" s="125" t="s">
        <v>857</v>
      </c>
      <c r="B299" s="125" t="s">
        <v>48</v>
      </c>
      <c r="C299" s="125">
        <v>71</v>
      </c>
      <c r="D299" s="185">
        <v>1.72</v>
      </c>
      <c r="E299" s="125">
        <v>70</v>
      </c>
      <c r="F299" s="216">
        <f>E299/(D299*D299)</f>
        <v>23.6614386154678</v>
      </c>
      <c r="G299" s="125">
        <v>6</v>
      </c>
      <c r="I299" s="186">
        <v>44498</v>
      </c>
      <c r="J299" s="186">
        <v>44514</v>
      </c>
      <c r="L299" s="187">
        <v>2</v>
      </c>
      <c r="M299" s="187">
        <f>J299-I299</f>
        <v>16</v>
      </c>
      <c r="N299" s="188" t="s">
        <v>858</v>
      </c>
      <c r="O299" s="114"/>
      <c r="P299" s="114">
        <v>1</v>
      </c>
      <c r="Q299" s="114"/>
      <c r="R299" s="114"/>
      <c r="S299" s="114"/>
      <c r="T299" s="114">
        <v>1</v>
      </c>
      <c r="U299" s="114">
        <v>1</v>
      </c>
      <c r="V299" s="114">
        <v>0</v>
      </c>
      <c r="W299" s="114">
        <v>0</v>
      </c>
      <c r="X299" s="114">
        <v>1</v>
      </c>
      <c r="Y299" s="114">
        <v>2</v>
      </c>
      <c r="Z299" s="114" t="s">
        <v>321</v>
      </c>
      <c r="AA299" s="114">
        <v>3</v>
      </c>
      <c r="AB299" s="114">
        <v>2</v>
      </c>
      <c r="AC299" s="114">
        <f t="shared" ref="AC299:AC304" si="63">_xlfn.IFS(AS299&gt;35,1,AS299&gt;=28,2,AS299&lt;28,3)</f>
        <v>2</v>
      </c>
      <c r="AD299" s="114">
        <f>_xlfn.IFS(AR299&gt;2.3,3,AR299&gt;=1.7,2,AR299&lt;1.7,1)</f>
        <v>1</v>
      </c>
      <c r="AE299" s="114">
        <f t="shared" ref="AE299:AE305" si="64">Y299+AA299+AB299+AC299+AD299</f>
        <v>10</v>
      </c>
      <c r="AF299" s="116" t="s">
        <v>50</v>
      </c>
      <c r="AG299" s="114">
        <f>AT299/17.1</f>
        <v>2.57309941520468</v>
      </c>
      <c r="AH299" s="114">
        <f>AU299/88.4</f>
        <v>1.05203619909502</v>
      </c>
      <c r="AI299" s="114">
        <f>AR299</f>
        <v>1.44</v>
      </c>
      <c r="AJ299" s="159">
        <f t="shared" ref="AJ299:AJ305" si="65">LN(IF(AG299&gt;=1,AG299,1))*3.8+LN(IF(AH299&gt;=1,AH299,1))*9.6+11.2*LN(IF(AI299&gt;=1,AI299,1))+6.4*AN299</f>
        <v>8.16240954543396</v>
      </c>
      <c r="AK299" s="160">
        <f>IF(AND(AG299&gt;0,AH299&gt;0,AI299&gt;0),AJ299,"")</f>
        <v>8.16240954543396</v>
      </c>
      <c r="AL299" s="160">
        <f>AK299+1.59*(135-AM299)</f>
        <v>32.012409545434</v>
      </c>
      <c r="AM299" s="160">
        <f>IF(AV299&gt;135,135,IF(AV299&lt;120,120,AV299))</f>
        <v>120</v>
      </c>
      <c r="AN299" s="114">
        <v>0</v>
      </c>
      <c r="AO299" s="114">
        <f>_xlfn.IFS(AJ299&lt;15,1,AJ299=15-18,2,AJ299&gt;18,3)</f>
        <v>1</v>
      </c>
      <c r="AP299" s="114">
        <v>6.72</v>
      </c>
      <c r="AQ299" s="114">
        <v>114</v>
      </c>
      <c r="AR299" s="114">
        <v>1.44</v>
      </c>
      <c r="AS299" s="160">
        <v>28</v>
      </c>
      <c r="AT299" s="161">
        <v>44</v>
      </c>
      <c r="AU299" s="114">
        <v>93</v>
      </c>
      <c r="AV299" s="114"/>
      <c r="AZ299" s="131" t="s">
        <v>859</v>
      </c>
    </row>
    <row r="300" ht="13.5" customHeight="1" spans="1:52">
      <c r="A300" s="117" t="s">
        <v>141</v>
      </c>
      <c r="B300" s="117" t="s">
        <v>53</v>
      </c>
      <c r="C300" s="117">
        <v>63</v>
      </c>
      <c r="D300" s="135">
        <v>1.58</v>
      </c>
      <c r="E300" s="117">
        <v>70</v>
      </c>
      <c r="F300" s="136">
        <f>E300/(D300*D300)</f>
        <v>28.0403781445281</v>
      </c>
      <c r="G300" s="117">
        <v>6</v>
      </c>
      <c r="I300" s="158">
        <v>44498</v>
      </c>
      <c r="J300" s="158">
        <v>44515</v>
      </c>
      <c r="L300" s="137">
        <v>6</v>
      </c>
      <c r="M300" s="138">
        <f>J300-I300</f>
        <v>17</v>
      </c>
      <c r="N300" s="139" t="s">
        <v>860</v>
      </c>
      <c r="O300" s="114">
        <v>1</v>
      </c>
      <c r="P300" s="114"/>
      <c r="Q300" s="114"/>
      <c r="R300" s="114"/>
      <c r="S300" s="114"/>
      <c r="T300" s="114">
        <v>1</v>
      </c>
      <c r="U300" s="114">
        <v>0</v>
      </c>
      <c r="V300" s="114">
        <v>1</v>
      </c>
      <c r="W300" s="114">
        <v>0</v>
      </c>
      <c r="X300" s="114">
        <v>1</v>
      </c>
      <c r="Y300" s="114">
        <v>1</v>
      </c>
      <c r="Z300" s="114" t="s">
        <v>321</v>
      </c>
      <c r="AA300" s="114">
        <v>3</v>
      </c>
      <c r="AB300" s="114">
        <f>_xlfn.IFS(AT300&lt;34,1,AT300=34-51,2,AT300&gt;51,3)</f>
        <v>1</v>
      </c>
      <c r="AC300" s="114">
        <f t="shared" si="63"/>
        <v>2</v>
      </c>
      <c r="AD300" s="114">
        <f>_xlfn.IFS(AR300&gt;2.3,3,AR300&gt;=1.7,2,AR300&lt;1.7,1)</f>
        <v>1</v>
      </c>
      <c r="AE300" s="114">
        <f t="shared" si="64"/>
        <v>8</v>
      </c>
      <c r="AF300" s="116" t="s">
        <v>63</v>
      </c>
      <c r="AG300" s="114">
        <f>AT300/17.1</f>
        <v>1.81286549707602</v>
      </c>
      <c r="AH300" s="114">
        <f>AU300/88.4</f>
        <v>0.497737556561086</v>
      </c>
      <c r="AI300" s="114">
        <f>AR300</f>
        <v>0.13</v>
      </c>
      <c r="AJ300" s="159">
        <f t="shared" si="65"/>
        <v>2.26065321571082</v>
      </c>
      <c r="AK300" s="160">
        <f>IF(AND(AG300&gt;0,AH300&gt;0,AI300&gt;0),AJ300,"")</f>
        <v>2.26065321571082</v>
      </c>
      <c r="AL300" s="160">
        <f>AK300+1.59*(135-AM300)</f>
        <v>2.26065321571082</v>
      </c>
      <c r="AM300" s="160">
        <f>IF(AV300&gt;135,135,IF(AV300&lt;120,120,AV300))</f>
        <v>135</v>
      </c>
      <c r="AN300" s="114"/>
      <c r="AO300" s="114"/>
      <c r="AP300" s="114">
        <v>4.05</v>
      </c>
      <c r="AQ300" s="114">
        <v>148</v>
      </c>
      <c r="AR300" s="114">
        <v>0.13</v>
      </c>
      <c r="AS300" s="160">
        <v>28</v>
      </c>
      <c r="AT300" s="161">
        <v>31</v>
      </c>
      <c r="AU300" s="114">
        <v>44</v>
      </c>
      <c r="AV300" s="114">
        <v>136</v>
      </c>
      <c r="AZ300" s="119" t="s">
        <v>861</v>
      </c>
    </row>
    <row r="301" spans="1:52">
      <c r="A301" s="117" t="s">
        <v>743</v>
      </c>
      <c r="B301" s="117" t="s">
        <v>48</v>
      </c>
      <c r="C301" s="117">
        <v>66</v>
      </c>
      <c r="D301" s="135">
        <v>1.78</v>
      </c>
      <c r="E301" s="117">
        <v>85</v>
      </c>
      <c r="F301" s="136">
        <f>E301/(D301*D301)</f>
        <v>26.8274207802045</v>
      </c>
      <c r="G301" s="117">
        <v>6</v>
      </c>
      <c r="I301" s="158">
        <v>44494</v>
      </c>
      <c r="J301" s="158">
        <v>44502</v>
      </c>
      <c r="L301" s="137">
        <v>4</v>
      </c>
      <c r="M301" s="138">
        <f>J301-I301</f>
        <v>8</v>
      </c>
      <c r="N301" s="139" t="s">
        <v>862</v>
      </c>
      <c r="O301" s="114"/>
      <c r="P301" s="114">
        <v>1</v>
      </c>
      <c r="Q301" s="114"/>
      <c r="R301" s="114"/>
      <c r="S301" s="114"/>
      <c r="T301" s="114">
        <v>1</v>
      </c>
      <c r="U301" s="114">
        <v>0</v>
      </c>
      <c r="V301" s="114">
        <v>1</v>
      </c>
      <c r="W301" s="114">
        <v>1</v>
      </c>
      <c r="X301" s="114">
        <v>0</v>
      </c>
      <c r="Y301" s="114">
        <v>1</v>
      </c>
      <c r="Z301" s="114" t="s">
        <v>300</v>
      </c>
      <c r="AA301" s="114">
        <v>2</v>
      </c>
      <c r="AB301" s="114">
        <f>_xlfn.IFS(AT301&lt;34,1,AT301=34-51,2,AT301&gt;51,3)</f>
        <v>1</v>
      </c>
      <c r="AC301" s="114">
        <f t="shared" si="63"/>
        <v>2</v>
      </c>
      <c r="AD301" s="114">
        <f>_xlfn.IFS(AR301&gt;2.3,3,AR301&gt;=1.7,2,AR301&lt;1.7,1)</f>
        <v>1</v>
      </c>
      <c r="AE301" s="114">
        <f t="shared" si="64"/>
        <v>7</v>
      </c>
      <c r="AF301" s="116" t="s">
        <v>63</v>
      </c>
      <c r="AG301" s="114">
        <f>AT301/17.1</f>
        <v>1.01169590643275</v>
      </c>
      <c r="AH301" s="114">
        <f>AU301/88.4</f>
        <v>1.14253393665158</v>
      </c>
      <c r="AI301" s="114">
        <f>AR301</f>
        <v>1.03</v>
      </c>
      <c r="AJ301" s="159">
        <f t="shared" si="65"/>
        <v>1.6544311825843</v>
      </c>
      <c r="AK301" s="160">
        <f>IF(AND(AG301&gt;0,AH301&gt;0,AI301&gt;0),AJ301,"")</f>
        <v>1.6544311825843</v>
      </c>
      <c r="AL301" s="160">
        <f>AK301+1.59*(135-AM301)</f>
        <v>1.6544311825843</v>
      </c>
      <c r="AM301" s="160">
        <f>IF(AV301&gt;135,135,IF(AV301&lt;120,120,AV301))</f>
        <v>135</v>
      </c>
      <c r="AN301" s="114">
        <v>0</v>
      </c>
      <c r="AO301" s="114">
        <f>_xlfn.IFS(AJ301&lt;15,1,AJ301=15-18,2,AJ301&gt;18,3)</f>
        <v>1</v>
      </c>
      <c r="AP301" s="114">
        <v>3.52</v>
      </c>
      <c r="AQ301" s="114">
        <v>74</v>
      </c>
      <c r="AR301" s="114">
        <v>1.03</v>
      </c>
      <c r="AS301" s="160">
        <v>28</v>
      </c>
      <c r="AT301" s="161">
        <v>17.3</v>
      </c>
      <c r="AU301" s="114">
        <v>101</v>
      </c>
      <c r="AV301" s="114">
        <v>139</v>
      </c>
      <c r="AZ301" s="119" t="s">
        <v>863</v>
      </c>
    </row>
    <row r="302" spans="1:52">
      <c r="A302" s="117" t="s">
        <v>864</v>
      </c>
      <c r="B302" s="117" t="s">
        <v>48</v>
      </c>
      <c r="C302" s="117">
        <v>64</v>
      </c>
      <c r="D302" s="135">
        <v>1.72</v>
      </c>
      <c r="E302" s="117">
        <v>70</v>
      </c>
      <c r="F302" s="136">
        <f>E302/(D302*D302)</f>
        <v>23.6614386154678</v>
      </c>
      <c r="G302" s="117">
        <v>6</v>
      </c>
      <c r="I302" s="158">
        <v>44491</v>
      </c>
      <c r="J302" s="158">
        <v>44497</v>
      </c>
      <c r="L302" s="137">
        <v>1</v>
      </c>
      <c r="M302" s="137">
        <f>J302-I302</f>
        <v>6</v>
      </c>
      <c r="N302" s="139" t="s">
        <v>865</v>
      </c>
      <c r="O302" s="114"/>
      <c r="P302" s="114">
        <v>1</v>
      </c>
      <c r="Q302" s="114"/>
      <c r="R302" s="114"/>
      <c r="S302" s="114"/>
      <c r="T302" s="114">
        <v>0</v>
      </c>
      <c r="U302" s="114">
        <v>0</v>
      </c>
      <c r="V302" s="114">
        <v>1</v>
      </c>
      <c r="W302" s="114">
        <v>0</v>
      </c>
      <c r="X302" s="114">
        <v>1</v>
      </c>
      <c r="Y302" s="114">
        <v>1</v>
      </c>
      <c r="Z302" s="114" t="s">
        <v>58</v>
      </c>
      <c r="AA302" s="114">
        <v>1</v>
      </c>
      <c r="AB302" s="114">
        <f>_xlfn.IFS(AT302&lt;34,1,AT302=34-51,2,AT302&gt;51,3)</f>
        <v>1</v>
      </c>
      <c r="AC302" s="114">
        <f t="shared" si="63"/>
        <v>2</v>
      </c>
      <c r="AD302" s="114">
        <f>_xlfn.IFS(AR302&gt;2.3,3,AR302&gt;=1.7,2,AR302&lt;1.7,1)</f>
        <v>1</v>
      </c>
      <c r="AE302" s="114">
        <f t="shared" si="64"/>
        <v>6</v>
      </c>
      <c r="AF302" s="116" t="s">
        <v>59</v>
      </c>
      <c r="AG302" s="114">
        <f>AT302/17.1</f>
        <v>1.98245614035088</v>
      </c>
      <c r="AH302" s="114">
        <f>AU302/88.4</f>
        <v>0.8710407239819</v>
      </c>
      <c r="AI302" s="114">
        <f>AR302</f>
        <v>1.35</v>
      </c>
      <c r="AJ302" s="159">
        <f t="shared" si="65"/>
        <v>5.96165032877939</v>
      </c>
      <c r="AK302" s="160">
        <f>IF(AND(AG302&gt;0,AH302&gt;0,AI302&gt;0),AJ302,"")</f>
        <v>5.96165032877939</v>
      </c>
      <c r="AL302" s="160">
        <f>AK302+1.59*(135-AM302)</f>
        <v>29.8116503287794</v>
      </c>
      <c r="AM302" s="160">
        <f>IF(AV302&gt;135,135,IF(AV302&lt;120,120,AV302))</f>
        <v>120</v>
      </c>
      <c r="AN302" s="114">
        <v>0</v>
      </c>
      <c r="AO302" s="114">
        <f>_xlfn.IFS(AJ302&lt;15,1,AJ302=15-18,2,AJ302&gt;18,3)</f>
        <v>1</v>
      </c>
      <c r="AP302" s="114">
        <v>3.36</v>
      </c>
      <c r="AQ302" s="114">
        <v>128</v>
      </c>
      <c r="AR302" s="114">
        <v>1.35</v>
      </c>
      <c r="AS302" s="160">
        <v>35</v>
      </c>
      <c r="AT302" s="161">
        <v>33.9</v>
      </c>
      <c r="AU302" s="114">
        <v>77</v>
      </c>
      <c r="AV302" s="114"/>
      <c r="AZ302" s="119" t="s">
        <v>866</v>
      </c>
    </row>
    <row r="303" s="125" customFormat="1" spans="1:52">
      <c r="A303" s="125" t="s">
        <v>867</v>
      </c>
      <c r="B303" s="125" t="s">
        <v>53</v>
      </c>
      <c r="C303" s="125">
        <v>51</v>
      </c>
      <c r="D303" s="185">
        <v>1.56</v>
      </c>
      <c r="E303" s="125">
        <v>40</v>
      </c>
      <c r="F303" s="216">
        <f>E303/(D303*D303)</f>
        <v>16.4365548980934</v>
      </c>
      <c r="G303" s="125">
        <v>3</v>
      </c>
      <c r="I303" s="186">
        <v>44478</v>
      </c>
      <c r="J303" s="186">
        <v>44485</v>
      </c>
      <c r="L303" s="187">
        <v>3</v>
      </c>
      <c r="M303" s="187">
        <f>J303-I303</f>
        <v>7</v>
      </c>
      <c r="N303" s="188" t="s">
        <v>868</v>
      </c>
      <c r="O303" s="114"/>
      <c r="P303" s="114"/>
      <c r="Q303" s="114">
        <v>1</v>
      </c>
      <c r="R303" s="114"/>
      <c r="S303" s="114"/>
      <c r="T303" s="114">
        <v>1</v>
      </c>
      <c r="U303" s="114">
        <v>0</v>
      </c>
      <c r="V303" s="114">
        <v>1</v>
      </c>
      <c r="W303" s="114">
        <v>0</v>
      </c>
      <c r="X303" s="114">
        <v>1</v>
      </c>
      <c r="Y303" s="114">
        <v>1</v>
      </c>
      <c r="Z303" s="114" t="s">
        <v>300</v>
      </c>
      <c r="AA303" s="114">
        <v>2</v>
      </c>
      <c r="AB303" s="114">
        <f>_xlfn.IFS(AT303&lt;34,1,AT303=34-51,2,AT303&gt;51,3)</f>
        <v>1</v>
      </c>
      <c r="AC303" s="114">
        <f t="shared" si="63"/>
        <v>2</v>
      </c>
      <c r="AD303" s="114">
        <f>_xlfn.IFS(AR303&gt;2.3,3,AR303&gt;=1.7,2,AR303&lt;1.7,1)</f>
        <v>1</v>
      </c>
      <c r="AE303" s="114">
        <f t="shared" si="64"/>
        <v>7</v>
      </c>
      <c r="AF303" s="116" t="s">
        <v>63</v>
      </c>
      <c r="AG303" s="114">
        <f>AT303/17.1</f>
        <v>1.15204678362573</v>
      </c>
      <c r="AH303" s="114">
        <f>AU303/88.4</f>
        <v>0.373303167420814</v>
      </c>
      <c r="AI303" s="114">
        <f>AR303</f>
        <v>1.11</v>
      </c>
      <c r="AJ303" s="159">
        <f t="shared" si="65"/>
        <v>1.70668482612577</v>
      </c>
      <c r="AK303" s="160">
        <f>IF(AND(AG303&gt;0,AH303&gt;0,AI303&gt;0),AJ303,"")</f>
        <v>1.70668482612577</v>
      </c>
      <c r="AL303" s="160">
        <f>AK303+1.59*(135-AM303)</f>
        <v>1.70668482612577</v>
      </c>
      <c r="AM303" s="160">
        <f>IF(AV303&gt;135,135,IF(AV303&lt;120,120,AV303))</f>
        <v>135</v>
      </c>
      <c r="AN303" s="114"/>
      <c r="AO303" s="114"/>
      <c r="AP303" s="114">
        <v>2.81</v>
      </c>
      <c r="AQ303" s="114">
        <v>52</v>
      </c>
      <c r="AR303" s="114">
        <v>1.11</v>
      </c>
      <c r="AS303" s="160">
        <v>30</v>
      </c>
      <c r="AT303" s="161">
        <v>19.7</v>
      </c>
      <c r="AU303" s="114">
        <v>33</v>
      </c>
      <c r="AV303" s="114">
        <v>139</v>
      </c>
      <c r="AZ303" s="131" t="s">
        <v>869</v>
      </c>
    </row>
    <row r="304" s="123" customFormat="1" spans="1:52">
      <c r="A304" s="123" t="s">
        <v>870</v>
      </c>
      <c r="B304" s="123" t="s">
        <v>48</v>
      </c>
      <c r="C304" s="123">
        <v>71</v>
      </c>
      <c r="D304" s="176">
        <v>1.79</v>
      </c>
      <c r="E304" s="123">
        <v>88</v>
      </c>
      <c r="F304" s="189">
        <f>E304/(D304*D304)</f>
        <v>27.4648107112762</v>
      </c>
      <c r="G304" s="123">
        <v>1</v>
      </c>
      <c r="I304" s="177">
        <v>44481</v>
      </c>
      <c r="J304" s="177">
        <v>44499</v>
      </c>
      <c r="L304" s="178">
        <v>2</v>
      </c>
      <c r="M304" s="178">
        <f>J304-I304</f>
        <v>18</v>
      </c>
      <c r="N304" s="179" t="s">
        <v>871</v>
      </c>
      <c r="O304" s="114"/>
      <c r="P304" s="114"/>
      <c r="Q304" s="114"/>
      <c r="R304" s="114"/>
      <c r="S304" s="114">
        <v>1</v>
      </c>
      <c r="T304" s="114">
        <v>1</v>
      </c>
      <c r="U304" s="114">
        <v>0</v>
      </c>
      <c r="V304" s="114">
        <v>0</v>
      </c>
      <c r="W304" s="114">
        <v>1</v>
      </c>
      <c r="X304" s="114">
        <v>0</v>
      </c>
      <c r="Y304" s="114">
        <v>1</v>
      </c>
      <c r="Z304" s="114" t="s">
        <v>300</v>
      </c>
      <c r="AA304" s="114">
        <v>2</v>
      </c>
      <c r="AB304" s="114">
        <f>_xlfn.IFS(AT304&lt;34,1,AT304=34-51,2,AT304&gt;51,3)</f>
        <v>1</v>
      </c>
      <c r="AC304" s="114">
        <f>_xlfn.IFS(AS304&gt;35,1,AS304&gt;=28,2,AS304&lt;28,3)</f>
        <v>3</v>
      </c>
      <c r="AD304" s="114">
        <f>_xlfn.IFS(AR304&gt;2.3,3,AR304&gt;=1.7,2,AR304&lt;1.7,1)</f>
        <v>1</v>
      </c>
      <c r="AE304" s="114">
        <f>Y304+AA304+AB304+AC304+AD304</f>
        <v>8</v>
      </c>
      <c r="AF304" s="116" t="s">
        <v>63</v>
      </c>
      <c r="AG304" s="114">
        <f>AT304/17.1</f>
        <v>1.02923976608187</v>
      </c>
      <c r="AH304" s="114">
        <f>AU304/88.4</f>
        <v>1.210407239819</v>
      </c>
      <c r="AI304" s="114">
        <f>AR304</f>
        <v>1.12</v>
      </c>
      <c r="AJ304" s="159">
        <f>LN(IF(AG304&gt;=1,AG304,1))*3.8+LN(IF(AH304&gt;=1,AH304,1))*9.6+11.2*LN(IF(AI304&gt;=1,AI304,1))+6.4*AN304</f>
        <v>3.21198484412907</v>
      </c>
      <c r="AK304" s="160">
        <f>IF(AND(AG304&gt;0,AH304&gt;0,AI304&gt;0),AJ304,"")</f>
        <v>3.21198484412907</v>
      </c>
      <c r="AL304" s="160">
        <f>AK304+1.59*(135-AM304)</f>
        <v>3.21198484412907</v>
      </c>
      <c r="AM304" s="160">
        <f>IF(AV304&gt;135,135,IF(AV304&lt;120,120,AV304))</f>
        <v>135</v>
      </c>
      <c r="AN304" s="114"/>
      <c r="AO304" s="114"/>
      <c r="AP304" s="114">
        <v>5.71</v>
      </c>
      <c r="AQ304" s="114">
        <v>37</v>
      </c>
      <c r="AR304" s="114">
        <v>1.12</v>
      </c>
      <c r="AS304" s="160">
        <v>27</v>
      </c>
      <c r="AT304" s="161">
        <v>17.6</v>
      </c>
      <c r="AU304" s="114">
        <v>107</v>
      </c>
      <c r="AV304" s="114">
        <v>144</v>
      </c>
      <c r="AZ304" s="132" t="s">
        <v>872</v>
      </c>
    </row>
    <row r="305" spans="1:52">
      <c r="A305" s="117" t="s">
        <v>873</v>
      </c>
      <c r="B305" s="117" t="s">
        <v>48</v>
      </c>
      <c r="C305" s="117">
        <v>64</v>
      </c>
      <c r="D305" s="135">
        <v>1.72</v>
      </c>
      <c r="E305" s="117">
        <v>65</v>
      </c>
      <c r="F305" s="136">
        <f>E305/(D305*D305)</f>
        <v>21.9713358572201</v>
      </c>
      <c r="G305" s="117">
        <v>0</v>
      </c>
      <c r="I305" s="158">
        <v>44467</v>
      </c>
      <c r="J305" s="158">
        <v>44477</v>
      </c>
      <c r="L305" s="137">
        <v>1</v>
      </c>
      <c r="M305" s="138">
        <f>J305-I305</f>
        <v>10</v>
      </c>
      <c r="N305" s="139" t="s">
        <v>874</v>
      </c>
      <c r="O305" s="114">
        <v>1</v>
      </c>
      <c r="P305" s="114"/>
      <c r="Q305" s="114"/>
      <c r="R305" s="114"/>
      <c r="S305" s="114"/>
      <c r="T305" s="114">
        <v>1</v>
      </c>
      <c r="U305" s="114">
        <v>0</v>
      </c>
      <c r="V305" s="114">
        <v>1</v>
      </c>
      <c r="W305" s="114">
        <v>1</v>
      </c>
      <c r="X305" s="114">
        <v>1</v>
      </c>
      <c r="Y305" s="114">
        <v>1</v>
      </c>
      <c r="Z305" s="114" t="s">
        <v>300</v>
      </c>
      <c r="AA305" s="114">
        <v>2</v>
      </c>
      <c r="AB305" s="114">
        <f>_xlfn.IFS(AT305&lt;34,1,AT305=34-51,2,AT305&gt;51,3)</f>
        <v>1</v>
      </c>
      <c r="AC305" s="114">
        <f>_xlfn.IFS(AS305&gt;35,1,AS305&gt;=28,2,AS305&lt;28,3)</f>
        <v>3</v>
      </c>
      <c r="AD305" s="114">
        <f>_xlfn.IFS(AR305&gt;2.3,3,AR305&gt;=1.7,2,AR305&lt;1.7,1)</f>
        <v>1</v>
      </c>
      <c r="AE305" s="114">
        <f>Y305+AA305+AB305+AC305+AD305</f>
        <v>8</v>
      </c>
      <c r="AF305" s="116" t="s">
        <v>63</v>
      </c>
      <c r="AG305" s="114">
        <f>AT305/17.1</f>
        <v>1.66666666666667</v>
      </c>
      <c r="AH305" s="114">
        <f>AU305/88.4</f>
        <v>0.644796380090498</v>
      </c>
      <c r="AI305" s="114">
        <f>AR305</f>
        <v>1.44</v>
      </c>
      <c r="AJ305" s="159">
        <f>LN(IF(AG305&gt;=1,AG305,1))*3.8+LN(IF(AH305&gt;=1,AH305,1))*9.6+11.2*LN(IF(AI305&gt;=1,AI305,1))+6.4*AN305</f>
        <v>6.02514024249535</v>
      </c>
      <c r="AK305" s="160">
        <f>IF(AND(AG305&gt;0,AH305&gt;0,AI305&gt;0),AJ305,"")</f>
        <v>6.02514024249535</v>
      </c>
      <c r="AL305" s="160">
        <f>AK305+1.59*(135-AM305)</f>
        <v>6.02514024249535</v>
      </c>
      <c r="AM305" s="160">
        <f>IF(AV305&gt;135,135,IF(AV305&lt;120,120,AV305))</f>
        <v>135</v>
      </c>
      <c r="AN305" s="114"/>
      <c r="AO305" s="114"/>
      <c r="AP305" s="114">
        <v>14.2</v>
      </c>
      <c r="AQ305" s="114">
        <v>88</v>
      </c>
      <c r="AR305" s="114">
        <v>1.44</v>
      </c>
      <c r="AS305" s="160">
        <v>25</v>
      </c>
      <c r="AT305" s="161">
        <v>28.5</v>
      </c>
      <c r="AU305" s="114">
        <v>57</v>
      </c>
      <c r="AV305" s="114">
        <v>141</v>
      </c>
      <c r="AZ305" s="119" t="s">
        <v>875</v>
      </c>
    </row>
    <row r="306" spans="1:52">
      <c r="A306" s="117" t="s">
        <v>876</v>
      </c>
      <c r="B306" s="117" t="s">
        <v>53</v>
      </c>
      <c r="C306" s="117">
        <v>58</v>
      </c>
      <c r="D306" s="135">
        <v>1.54</v>
      </c>
      <c r="E306" s="117">
        <v>70</v>
      </c>
      <c r="F306" s="136">
        <f>E306/(D306*D306)</f>
        <v>29.5159386068477</v>
      </c>
      <c r="G306" s="117">
        <v>5</v>
      </c>
      <c r="I306" s="158">
        <v>44466</v>
      </c>
      <c r="J306" s="158">
        <v>44480</v>
      </c>
      <c r="L306" s="137">
        <v>1</v>
      </c>
      <c r="M306" s="137">
        <f>J306-I306</f>
        <v>14</v>
      </c>
      <c r="N306" s="139" t="s">
        <v>877</v>
      </c>
      <c r="O306" s="114"/>
      <c r="P306" s="114"/>
      <c r="Q306" s="114"/>
      <c r="R306" s="114"/>
      <c r="S306" s="114">
        <v>1</v>
      </c>
      <c r="T306" s="114">
        <v>1</v>
      </c>
      <c r="U306" s="114">
        <v>0</v>
      </c>
      <c r="V306" s="114">
        <v>1</v>
      </c>
      <c r="W306" s="114">
        <v>0</v>
      </c>
      <c r="X306" s="114">
        <v>1</v>
      </c>
      <c r="Y306" s="114">
        <v>1</v>
      </c>
      <c r="Z306" s="114" t="s">
        <v>300</v>
      </c>
      <c r="AA306" s="114">
        <v>2</v>
      </c>
      <c r="AB306" s="114">
        <f>_xlfn.IFS(AT306&lt;34,1,AT306=34-51,2,AT306&gt;51,3)</f>
        <v>1</v>
      </c>
      <c r="AC306" s="114">
        <f>_xlfn.IFS(AS306&gt;35,1,AS306&gt;=28,2,AS306&lt;28,3)</f>
        <v>3</v>
      </c>
      <c r="AD306" s="114">
        <v>2</v>
      </c>
      <c r="AE306" s="114">
        <f>Y306+AA306+AB306+AC306+AD306</f>
        <v>9</v>
      </c>
      <c r="AF306" s="116" t="s">
        <v>63</v>
      </c>
      <c r="AG306" s="114">
        <f>AT306/17.1</f>
        <v>1.46198830409357</v>
      </c>
      <c r="AH306" s="114">
        <f>AU306/88.4</f>
        <v>0.271493212669683</v>
      </c>
      <c r="AI306" s="114">
        <f>AR306</f>
        <v>1.86</v>
      </c>
      <c r="AJ306" s="159">
        <f>LN(IF(AG306&gt;=1,AG306,1))*3.8+LN(IF(AH306&gt;=1,AH306,1))*9.6+11.2*LN(IF(AI306&gt;=1,AI306,1))+6.4*AN306</f>
        <v>8.39368663568766</v>
      </c>
      <c r="AK306" s="160">
        <f>IF(AND(AG306&gt;0,AH306&gt;0,AI306&gt;0),AJ306,"")</f>
        <v>8.39368663568766</v>
      </c>
      <c r="AL306" s="160">
        <f>AK306+1.59*(135-AM306)</f>
        <v>8.39368663568766</v>
      </c>
      <c r="AM306" s="160">
        <f>IF(AV306&gt;135,135,IF(AV306&lt;120,120,AV306))</f>
        <v>135</v>
      </c>
      <c r="AN306" s="114"/>
      <c r="AO306" s="114"/>
      <c r="AP306" s="114">
        <v>1.32</v>
      </c>
      <c r="AQ306" s="114">
        <v>69</v>
      </c>
      <c r="AR306" s="114">
        <v>1.86</v>
      </c>
      <c r="AS306" s="160">
        <v>25</v>
      </c>
      <c r="AT306" s="161">
        <v>25</v>
      </c>
      <c r="AU306" s="114">
        <v>24</v>
      </c>
      <c r="AV306" s="114">
        <v>146</v>
      </c>
      <c r="AZ306" s="119" t="s">
        <v>878</v>
      </c>
    </row>
    <row r="307" s="125" customFormat="1" spans="1:52">
      <c r="A307" s="125" t="s">
        <v>441</v>
      </c>
      <c r="B307" s="125" t="s">
        <v>48</v>
      </c>
      <c r="C307" s="125">
        <v>58</v>
      </c>
      <c r="D307" s="185">
        <v>1.78</v>
      </c>
      <c r="E307" s="125">
        <v>75</v>
      </c>
      <c r="F307" s="216">
        <f>E307/(D307*D307)</f>
        <v>23.6712536295922</v>
      </c>
      <c r="G307" s="125">
        <v>6</v>
      </c>
      <c r="I307" s="186">
        <v>44466</v>
      </c>
      <c r="J307" s="186">
        <v>44480</v>
      </c>
      <c r="L307" s="187">
        <v>3</v>
      </c>
      <c r="M307" s="187">
        <f>J307-I307</f>
        <v>14</v>
      </c>
      <c r="N307" s="188" t="s">
        <v>879</v>
      </c>
      <c r="O307" s="114"/>
      <c r="P307" s="114">
        <v>1</v>
      </c>
      <c r="Q307" s="114"/>
      <c r="R307" s="114"/>
      <c r="S307" s="114"/>
      <c r="T307" s="114">
        <v>1</v>
      </c>
      <c r="U307" s="114">
        <v>1</v>
      </c>
      <c r="V307" s="114">
        <v>1</v>
      </c>
      <c r="W307" s="114">
        <v>1</v>
      </c>
      <c r="X307" s="114">
        <v>0</v>
      </c>
      <c r="Y307" s="114">
        <v>2</v>
      </c>
      <c r="Z307" s="114" t="s">
        <v>300</v>
      </c>
      <c r="AA307" s="114">
        <v>2</v>
      </c>
      <c r="AB307" s="114">
        <f>_xlfn.IFS(AT307&lt;34,1,AT307=34-51,2,AT307&gt;51,3)</f>
        <v>3</v>
      </c>
      <c r="AC307" s="114">
        <f>_xlfn.IFS(AS307&gt;35,1,AS307&gt;=28,2,AS307&lt;28,3)</f>
        <v>3</v>
      </c>
      <c r="AD307" s="114">
        <v>2</v>
      </c>
      <c r="AE307" s="114">
        <f>Y307+AA307+AB307+AC307+AD307</f>
        <v>12</v>
      </c>
      <c r="AF307" s="116" t="s">
        <v>50</v>
      </c>
      <c r="AG307" s="114">
        <f>AT307/17.1</f>
        <v>4.16374269005848</v>
      </c>
      <c r="AH307" s="114">
        <f>AU307/88.4</f>
        <v>1.01809954751131</v>
      </c>
      <c r="AI307" s="114">
        <f>AR307</f>
        <v>1.72</v>
      </c>
      <c r="AJ307" s="159">
        <f>LN(IF(AG307&gt;=1,AG307,1))*3.8+LN(IF(AH307&gt;=1,AH307,1))*9.6+11.2*LN(IF(AI307&gt;=1,AI307,1))+6.4*AN307</f>
        <v>11.6666085324915</v>
      </c>
      <c r="AK307" s="160">
        <f>IF(AND(AG307&gt;0,AH307&gt;0,AI307&gt;0),AJ307,"")</f>
        <v>11.6666085324915</v>
      </c>
      <c r="AL307" s="160">
        <f>AK307+1.59*(135-AM307)</f>
        <v>11.6666085324915</v>
      </c>
      <c r="AM307" s="160">
        <f>IF(AV307&gt;135,135,IF(AV307&lt;120,120,AV307))</f>
        <v>135</v>
      </c>
      <c r="AN307" s="114">
        <v>0</v>
      </c>
      <c r="AO307" s="114">
        <f>_xlfn.IFS(AJ307&lt;15,1,AJ307=15-18,2,AJ307&gt;18,3)</f>
        <v>1</v>
      </c>
      <c r="AP307" s="114">
        <v>4.53</v>
      </c>
      <c r="AQ307" s="114">
        <v>73</v>
      </c>
      <c r="AR307" s="114">
        <v>1.72</v>
      </c>
      <c r="AS307" s="160">
        <v>22</v>
      </c>
      <c r="AT307" s="161">
        <v>71.2</v>
      </c>
      <c r="AU307" s="114">
        <v>90</v>
      </c>
      <c r="AV307" s="114">
        <v>137</v>
      </c>
      <c r="AZ307" s="131" t="s">
        <v>880</v>
      </c>
    </row>
    <row r="308" spans="1:52">
      <c r="A308" s="117" t="s">
        <v>881</v>
      </c>
      <c r="B308" s="117" t="s">
        <v>48</v>
      </c>
      <c r="C308" s="117">
        <v>36</v>
      </c>
      <c r="D308" s="135">
        <v>1.83</v>
      </c>
      <c r="E308" s="117">
        <v>84</v>
      </c>
      <c r="F308" s="136">
        <f>E308/(D308*D308)</f>
        <v>25.0828630296515</v>
      </c>
      <c r="G308" s="117">
        <v>3</v>
      </c>
      <c r="I308" s="158">
        <v>44459</v>
      </c>
      <c r="J308" s="158">
        <v>44468</v>
      </c>
      <c r="L308" s="137">
        <v>1</v>
      </c>
      <c r="M308" s="138">
        <f>J308-I308</f>
        <v>9</v>
      </c>
      <c r="N308" s="139" t="s">
        <v>882</v>
      </c>
      <c r="O308" s="114">
        <v>1</v>
      </c>
      <c r="P308" s="114"/>
      <c r="Q308" s="114"/>
      <c r="R308" s="114"/>
      <c r="S308" s="114"/>
      <c r="T308" s="114">
        <v>1</v>
      </c>
      <c r="U308" s="114">
        <v>0</v>
      </c>
      <c r="V308" s="114">
        <v>1</v>
      </c>
      <c r="W308" s="114">
        <v>0</v>
      </c>
      <c r="X308" s="114">
        <v>1</v>
      </c>
      <c r="Y308" s="114">
        <v>1</v>
      </c>
      <c r="Z308" s="114" t="s">
        <v>300</v>
      </c>
      <c r="AA308" s="114">
        <v>2</v>
      </c>
      <c r="AB308" s="114">
        <f>_xlfn.IFS(AT308&lt;34,1,AT308=34-51,2,AT308&gt;51,3)</f>
        <v>1</v>
      </c>
      <c r="AC308" s="114">
        <f>_xlfn.IFS(AS308&gt;35,1,AS308&gt;=28,2,AS308&lt;28,3)</f>
        <v>2</v>
      </c>
      <c r="AD308" s="114">
        <f>_xlfn.IFS(AR308&gt;2.3,3,AR308&gt;=1.7,2,AR308&lt;1.7,1)</f>
        <v>1</v>
      </c>
      <c r="AE308" s="114">
        <f>Y308+AA308+AB308+AC308+AD308</f>
        <v>7</v>
      </c>
      <c r="AF308" s="116" t="s">
        <v>63</v>
      </c>
      <c r="AG308" s="114">
        <f>AT308/17.1</f>
        <v>1.30409356725146</v>
      </c>
      <c r="AH308" s="114">
        <f>AU308/88.4</f>
        <v>0.84841628959276</v>
      </c>
      <c r="AI308" s="114">
        <f>AR308</f>
        <v>1.25</v>
      </c>
      <c r="AJ308" s="159">
        <f>LN(IF(AG308&gt;=1,AG308,1))*3.8+LN(IF(AH308&gt;=1,AH308,1))*9.6+11.2*LN(IF(AI308&gt;=1,AI308,1))+6.4*AN308</f>
        <v>3.50813899155749</v>
      </c>
      <c r="AK308" s="160">
        <f>IF(AND(AG308&gt;0,AH308&gt;0,AI308&gt;0),AJ308,"")</f>
        <v>3.50813899155749</v>
      </c>
      <c r="AL308" s="160">
        <f>AK308+1.59*(135-AM308)</f>
        <v>3.50813899155749</v>
      </c>
      <c r="AM308" s="160">
        <f>IF(AV308&gt;135,135,IF(AV308&lt;120,120,AV308))</f>
        <v>135</v>
      </c>
      <c r="AN308" s="114"/>
      <c r="AO308" s="114"/>
      <c r="AP308" s="114">
        <v>4.57</v>
      </c>
      <c r="AQ308" s="114">
        <v>127</v>
      </c>
      <c r="AR308" s="114">
        <v>1.25</v>
      </c>
      <c r="AS308" s="160">
        <v>29</v>
      </c>
      <c r="AT308" s="161">
        <v>22.3</v>
      </c>
      <c r="AU308" s="114">
        <v>75</v>
      </c>
      <c r="AV308" s="114">
        <v>142</v>
      </c>
      <c r="AZ308" s="119" t="s">
        <v>883</v>
      </c>
    </row>
    <row r="309" s="114" customFormat="1" spans="1:52">
      <c r="A309" s="114" t="s">
        <v>884</v>
      </c>
      <c r="B309" s="114" t="s">
        <v>53</v>
      </c>
      <c r="C309" s="114">
        <v>64</v>
      </c>
      <c r="D309" s="211">
        <v>1.55</v>
      </c>
      <c r="E309" s="114">
        <v>48</v>
      </c>
      <c r="F309" s="136">
        <f>E309/(D309*D309)</f>
        <v>19.9791883454735</v>
      </c>
      <c r="G309" s="114">
        <v>1</v>
      </c>
      <c r="I309" s="210">
        <v>44435</v>
      </c>
      <c r="J309" s="210">
        <v>44441</v>
      </c>
      <c r="L309" s="138">
        <v>2</v>
      </c>
      <c r="M309" s="138">
        <f>J309-I309</f>
        <v>6</v>
      </c>
      <c r="N309" s="213" t="s">
        <v>885</v>
      </c>
      <c r="R309" s="114">
        <v>1</v>
      </c>
      <c r="T309" s="114">
        <v>0</v>
      </c>
      <c r="U309" s="114">
        <v>0</v>
      </c>
      <c r="V309" s="114">
        <v>1</v>
      </c>
      <c r="W309" s="114">
        <v>0</v>
      </c>
      <c r="X309" s="114">
        <v>1</v>
      </c>
      <c r="Y309" s="114">
        <v>1</v>
      </c>
      <c r="Z309" s="114" t="s">
        <v>58</v>
      </c>
      <c r="AA309" s="114">
        <v>1</v>
      </c>
      <c r="AB309" s="114">
        <f>_xlfn.IFS(AT309&lt;34,1,AT309=34-51,2,AT309&gt;51,3)</f>
        <v>1</v>
      </c>
      <c r="AC309" s="114">
        <f>_xlfn.IFS(AS309&gt;35,1,AS309&gt;=28,2,AS309&lt;28,3)</f>
        <v>2</v>
      </c>
      <c r="AD309" s="114">
        <f>_xlfn.IFS(AR309&gt;2.3,3,AR309&gt;=1.7,2,AR309&lt;1.7,1)</f>
        <v>1</v>
      </c>
      <c r="AE309" s="114">
        <f>Y309+AA309+AB309+AC309+AD309</f>
        <v>6</v>
      </c>
      <c r="AF309" s="116" t="s">
        <v>59</v>
      </c>
      <c r="AG309" s="114">
        <f>AT309/17.1</f>
        <v>0.631578947368421</v>
      </c>
      <c r="AH309" s="114">
        <f>AU309/88.4</f>
        <v>0.633484162895928</v>
      </c>
      <c r="AI309" s="114">
        <f>AR309</f>
        <v>0.99</v>
      </c>
      <c r="AJ309" s="159"/>
      <c r="AK309" s="160"/>
      <c r="AL309" s="160"/>
      <c r="AM309" s="160">
        <f>IF(AV309&gt;135,135,IF(AV309&lt;120,120,AV309))</f>
        <v>135</v>
      </c>
      <c r="AN309" s="114">
        <v>0</v>
      </c>
      <c r="AP309" s="114">
        <v>2.29</v>
      </c>
      <c r="AQ309" s="114">
        <v>74</v>
      </c>
      <c r="AR309" s="114">
        <v>0.99</v>
      </c>
      <c r="AS309" s="160">
        <v>30</v>
      </c>
      <c r="AT309" s="161">
        <v>10.8</v>
      </c>
      <c r="AU309" s="114">
        <v>56</v>
      </c>
      <c r="AV309" s="114">
        <v>142</v>
      </c>
      <c r="AZ309" s="116" t="s">
        <v>886</v>
      </c>
    </row>
    <row r="310" s="114" customFormat="1" spans="1:52">
      <c r="A310" s="114" t="s">
        <v>390</v>
      </c>
      <c r="B310" s="114" t="s">
        <v>48</v>
      </c>
      <c r="C310" s="114">
        <v>61</v>
      </c>
      <c r="D310" s="211">
        <v>1.7</v>
      </c>
      <c r="E310" s="114">
        <v>55</v>
      </c>
      <c r="F310" s="136">
        <f>E310/(D310*D310)</f>
        <v>19.0311418685121</v>
      </c>
      <c r="G310" s="114">
        <v>1</v>
      </c>
      <c r="I310" s="210">
        <v>44487</v>
      </c>
      <c r="J310" s="210">
        <v>44491</v>
      </c>
      <c r="L310" s="138">
        <v>4</v>
      </c>
      <c r="M310" s="138">
        <f>J310-I310</f>
        <v>4</v>
      </c>
      <c r="N310" s="213" t="s">
        <v>887</v>
      </c>
      <c r="O310" s="114">
        <v>1</v>
      </c>
      <c r="T310" s="114">
        <v>0</v>
      </c>
      <c r="U310" s="114">
        <v>0</v>
      </c>
      <c r="V310" s="114">
        <v>1</v>
      </c>
      <c r="W310" s="114">
        <v>0</v>
      </c>
      <c r="X310" s="114">
        <v>1</v>
      </c>
      <c r="Y310" s="114">
        <v>1</v>
      </c>
      <c r="Z310" s="114" t="s">
        <v>58</v>
      </c>
      <c r="AA310" s="114">
        <v>1</v>
      </c>
      <c r="AB310" s="114">
        <f>_xlfn.IFS(AT310&lt;34,1,AT310=34-51,2,AT310&gt;51,3)</f>
        <v>1</v>
      </c>
      <c r="AC310" s="114">
        <f>_xlfn.IFS(AS310&gt;35,1,AS310&gt;=28,2,AS310&lt;28,3)</f>
        <v>2</v>
      </c>
      <c r="AD310" s="114">
        <f>_xlfn.IFS(AR310&gt;2.3,3,AR310&gt;=1.7,2,AR310&lt;1.7,1)</f>
        <v>1</v>
      </c>
      <c r="AE310" s="114">
        <f>Y310+AA310+AB310+AC310+AD310</f>
        <v>6</v>
      </c>
      <c r="AF310" s="116" t="s">
        <v>59</v>
      </c>
      <c r="AG310" s="114">
        <f>AT310/17.1</f>
        <v>0.619883040935672</v>
      </c>
      <c r="AH310" s="114">
        <f>AU310/88.4</f>
        <v>0.599547511312217</v>
      </c>
      <c r="AI310" s="114">
        <f>AR310</f>
        <v>1.15</v>
      </c>
      <c r="AJ310" s="159">
        <f>LN(IF(AG310&gt;=1,AG310,1))*3.8+LN(IF(AH310&gt;=1,AH310,1))*9.6+11.2*LN(IF(AI310&gt;=1,AI310,1))+6.4*AN310</f>
        <v>1.56533375460178</v>
      </c>
      <c r="AK310" s="160">
        <f>IF(AND(AG310&gt;0,AH310&gt;0,AI310&gt;0),AJ310,"")</f>
        <v>1.56533375460178</v>
      </c>
      <c r="AL310" s="160">
        <f>AK310+1.59*(135-AM310)</f>
        <v>1.56533375460178</v>
      </c>
      <c r="AM310" s="160">
        <f>IF(AV310&gt;135,135,IF(AV310&lt;120,120,AV310))</f>
        <v>135</v>
      </c>
      <c r="AP310" s="114">
        <v>2.71</v>
      </c>
      <c r="AQ310" s="114">
        <v>103</v>
      </c>
      <c r="AR310" s="114">
        <v>1.15</v>
      </c>
      <c r="AS310" s="160">
        <v>33</v>
      </c>
      <c r="AT310" s="161">
        <v>10.6</v>
      </c>
      <c r="AU310" s="114">
        <v>53</v>
      </c>
      <c r="AV310" s="114">
        <v>146</v>
      </c>
      <c r="AZ310" s="116" t="s">
        <v>888</v>
      </c>
    </row>
    <row r="311" s="114" customFormat="1" spans="1:52">
      <c r="A311" s="114" t="s">
        <v>889</v>
      </c>
      <c r="B311" s="114" t="s">
        <v>48</v>
      </c>
      <c r="C311" s="114">
        <v>71</v>
      </c>
      <c r="D311" s="211">
        <v>1.75</v>
      </c>
      <c r="E311" s="114">
        <v>81</v>
      </c>
      <c r="F311" s="136">
        <f>E311/(D311*D311)</f>
        <v>26.4489795918367</v>
      </c>
      <c r="G311" s="114">
        <v>3</v>
      </c>
      <c r="I311" s="210">
        <v>44493</v>
      </c>
      <c r="J311" s="210">
        <v>44507</v>
      </c>
      <c r="L311" s="138">
        <v>1</v>
      </c>
      <c r="M311" s="138">
        <f>J311-I311</f>
        <v>14</v>
      </c>
      <c r="N311" s="213" t="s">
        <v>890</v>
      </c>
      <c r="S311" s="114">
        <v>1</v>
      </c>
      <c r="T311" s="114">
        <v>1</v>
      </c>
      <c r="U311" s="114">
        <v>0</v>
      </c>
      <c r="V311" s="114">
        <v>1</v>
      </c>
      <c r="W311" s="114">
        <v>0</v>
      </c>
      <c r="X311" s="114">
        <v>0</v>
      </c>
      <c r="Y311" s="114">
        <v>1</v>
      </c>
      <c r="Z311" s="114" t="s">
        <v>300</v>
      </c>
      <c r="AA311" s="114">
        <v>2</v>
      </c>
      <c r="AB311" s="114">
        <f>_xlfn.IFS(AT311&lt;34,1,AT311=34-51,2,AT311&gt;51,3)</f>
        <v>1</v>
      </c>
      <c r="AC311" s="114">
        <f>_xlfn.IFS(AS311&gt;35,1,AS311&gt;=28,2,AS311&lt;28,3)</f>
        <v>2</v>
      </c>
      <c r="AD311" s="114">
        <f>_xlfn.IFS(AR311&gt;2.3,3,AR311&gt;=1.7,2,AR311&lt;1.7,1)</f>
        <v>1</v>
      </c>
      <c r="AE311" s="114">
        <f>Y311+AA311+AB311+AC311+AD311</f>
        <v>7</v>
      </c>
      <c r="AF311" s="116" t="s">
        <v>63</v>
      </c>
      <c r="AG311" s="114">
        <f>AT311/17.1</f>
        <v>1.47368421052632</v>
      </c>
      <c r="AH311" s="114">
        <f>AU311/88.4</f>
        <v>0.746606334841629</v>
      </c>
      <c r="AI311" s="114">
        <f>AR311</f>
        <v>1.37</v>
      </c>
      <c r="AJ311" s="159">
        <f>LN(IF(AG311&gt;=1,AG311,1))*3.8+LN(IF(AH311&gt;=1,AH311,1))*9.6+11.2*LN(IF(AI311&gt;=1,AI311,1))+6.4*AN311</f>
        <v>4.99938930404168</v>
      </c>
      <c r="AK311" s="160">
        <f>IF(AND(AG311&gt;0,AH311&gt;0,AI311&gt;0),AJ311,"")</f>
        <v>4.99938930404168</v>
      </c>
      <c r="AL311" s="160">
        <f>AK311+1.59*(135-AM311)</f>
        <v>4.99938930404168</v>
      </c>
      <c r="AM311" s="160">
        <f>IF(AV311&gt;135,135,IF(AV311&lt;120,120,AV311))</f>
        <v>135</v>
      </c>
      <c r="AP311" s="114">
        <v>1.14</v>
      </c>
      <c r="AQ311" s="114">
        <v>66</v>
      </c>
      <c r="AR311" s="114">
        <v>1.37</v>
      </c>
      <c r="AS311" s="160">
        <v>31</v>
      </c>
      <c r="AT311" s="161">
        <v>25.2</v>
      </c>
      <c r="AU311" s="114">
        <v>66</v>
      </c>
      <c r="AV311" s="114">
        <v>137</v>
      </c>
      <c r="AZ311" s="116" t="s">
        <v>891</v>
      </c>
    </row>
    <row r="312" s="129" customFormat="1" spans="1:52">
      <c r="A312" s="129" t="s">
        <v>67</v>
      </c>
      <c r="B312" s="129" t="s">
        <v>53</v>
      </c>
      <c r="C312" s="129">
        <v>68</v>
      </c>
      <c r="D312" s="217">
        <v>1.56</v>
      </c>
      <c r="E312" s="129">
        <v>80</v>
      </c>
      <c r="F312" s="218">
        <f>E312/(D312*D312)</f>
        <v>32.8731097961867</v>
      </c>
      <c r="G312" s="129">
        <v>6</v>
      </c>
      <c r="I312" s="219">
        <v>44494</v>
      </c>
      <c r="J312" s="219">
        <v>44501</v>
      </c>
      <c r="L312" s="220">
        <v>6</v>
      </c>
      <c r="M312" s="220">
        <f>J312-I312</f>
        <v>7</v>
      </c>
      <c r="N312" s="221" t="s">
        <v>892</v>
      </c>
      <c r="O312" s="114"/>
      <c r="P312" s="114"/>
      <c r="Q312" s="114"/>
      <c r="R312" s="114"/>
      <c r="S312" s="114">
        <v>1</v>
      </c>
      <c r="T312" s="114">
        <v>1</v>
      </c>
      <c r="U312" s="114">
        <v>0</v>
      </c>
      <c r="V312" s="114">
        <v>1</v>
      </c>
      <c r="W312" s="114">
        <v>0</v>
      </c>
      <c r="X312" s="114">
        <v>0</v>
      </c>
      <c r="Y312" s="114">
        <v>1</v>
      </c>
      <c r="Z312" s="114" t="s">
        <v>300</v>
      </c>
      <c r="AA312" s="114">
        <v>2</v>
      </c>
      <c r="AB312" s="114">
        <f>_xlfn.IFS(AT312&lt;34,1,AT312=34-51,2,AT312&gt;51,3)</f>
        <v>1</v>
      </c>
      <c r="AC312" s="114">
        <f>_xlfn.IFS(AS312&gt;35,1,AS312&gt;=28,2,AS312&lt;28,3)</f>
        <v>2</v>
      </c>
      <c r="AD312" s="114">
        <f>_xlfn.IFS(AR312&gt;2.3,3,AR312&gt;=1.7,2,AR312&lt;1.7,1)</f>
        <v>1</v>
      </c>
      <c r="AE312" s="114">
        <f>Y312+AA312+AB312+AC312+AD312</f>
        <v>7</v>
      </c>
      <c r="AF312" s="116" t="s">
        <v>63</v>
      </c>
      <c r="AG312" s="114">
        <f>AT312/17.1</f>
        <v>1.58479532163743</v>
      </c>
      <c r="AH312" s="114">
        <f>AU312/88.4</f>
        <v>0.509049773755656</v>
      </c>
      <c r="AI312" s="114">
        <f>AR312</f>
        <v>1.6</v>
      </c>
      <c r="AJ312" s="159">
        <f>LN(IF(AG312&gt;=1,AG312,1))*3.8+LN(IF(AH312&gt;=1,AH312,1))*9.6+11.2*LN(IF(AI312&gt;=1,AI312,1))+6.4*AN312</f>
        <v>7.01377065218499</v>
      </c>
      <c r="AK312" s="160">
        <f>IF(AND(AG312&gt;0,AH312&gt;0,AI312&gt;0),AJ312,"")</f>
        <v>7.01377065218499</v>
      </c>
      <c r="AL312" s="160">
        <f>AK312+1.59*(135-AM312)</f>
        <v>7.01377065218499</v>
      </c>
      <c r="AM312" s="160">
        <f>IF(AV312&gt;135,135,IF(AV312&lt;120,120,AV312))</f>
        <v>135</v>
      </c>
      <c r="AN312" s="114"/>
      <c r="AO312" s="114"/>
      <c r="AP312" s="114">
        <v>2.47</v>
      </c>
      <c r="AQ312" s="114">
        <v>109</v>
      </c>
      <c r="AR312" s="114">
        <v>1.6</v>
      </c>
      <c r="AS312" s="160">
        <v>34</v>
      </c>
      <c r="AT312" s="161">
        <v>27.1</v>
      </c>
      <c r="AU312" s="114">
        <v>45</v>
      </c>
      <c r="AV312" s="114">
        <v>135</v>
      </c>
      <c r="AZ312" s="222" t="s">
        <v>893</v>
      </c>
    </row>
    <row r="313" spans="1:52">
      <c r="A313" s="224" t="s">
        <v>498</v>
      </c>
      <c r="B313" s="117" t="s">
        <v>53</v>
      </c>
      <c r="C313" s="117">
        <v>68</v>
      </c>
      <c r="D313" s="135">
        <v>1.6</v>
      </c>
      <c r="E313" s="117">
        <v>46</v>
      </c>
      <c r="F313" s="136">
        <f>E313/(D313*D313)</f>
        <v>17.96875</v>
      </c>
      <c r="G313" s="117">
        <v>6</v>
      </c>
      <c r="I313" s="158">
        <v>44453</v>
      </c>
      <c r="J313" s="158">
        <v>44466</v>
      </c>
      <c r="L313" s="137">
        <v>5</v>
      </c>
      <c r="M313" s="138">
        <f>J313-I313</f>
        <v>13</v>
      </c>
      <c r="N313" s="139" t="s">
        <v>894</v>
      </c>
      <c r="O313" s="114"/>
      <c r="P313" s="114"/>
      <c r="Q313" s="114">
        <v>1</v>
      </c>
      <c r="R313" s="114">
        <v>1</v>
      </c>
      <c r="S313" s="114"/>
      <c r="T313" s="114">
        <v>1</v>
      </c>
      <c r="U313" s="114">
        <v>0</v>
      </c>
      <c r="V313" s="114">
        <v>1</v>
      </c>
      <c r="W313" s="114">
        <v>0</v>
      </c>
      <c r="X313" s="114">
        <v>1</v>
      </c>
      <c r="Y313" s="114">
        <v>1</v>
      </c>
      <c r="Z313" s="114" t="s">
        <v>307</v>
      </c>
      <c r="AA313" s="114">
        <v>3</v>
      </c>
      <c r="AB313" s="114">
        <f>_xlfn.IFS(AT313&lt;34,1,AT313=34-51,2,AT313&gt;51,3)</f>
        <v>1</v>
      </c>
      <c r="AC313" s="114">
        <f>_xlfn.IFS(AS313&gt;35,1,AS313&gt;=28,2,AS313&lt;28,3)</f>
        <v>3</v>
      </c>
      <c r="AD313" s="114">
        <f>_xlfn.IFS(AR313&gt;2.3,3,AR313&gt;=1.7,2,AR313&lt;1.7,1)</f>
        <v>1</v>
      </c>
      <c r="AE313" s="114">
        <f>Y313+AA313+AB313+AC313+AD313</f>
        <v>9</v>
      </c>
      <c r="AF313" s="116" t="s">
        <v>63</v>
      </c>
      <c r="AG313" s="114">
        <f>AT313/17.1</f>
        <v>0.888888888888889</v>
      </c>
      <c r="AH313" s="114">
        <f>AU313/88.4</f>
        <v>0.81447963800905</v>
      </c>
      <c r="AI313" s="114">
        <f>AR313</f>
        <v>1.05</v>
      </c>
      <c r="AJ313" s="159">
        <f>LN(IF(AG313&gt;=1,AG313,1))*3.8+LN(IF(AH313&gt;=1,AH313,1))*9.6+11.2*LN(IF(AI313&gt;=1,AI313,1))+6.4*AN313</f>
        <v>0.546449838697639</v>
      </c>
      <c r="AK313" s="160">
        <f>IF(AND(AG313&gt;0,AH313&gt;0,AI313&gt;0),AJ313,"")</f>
        <v>0.546449838697639</v>
      </c>
      <c r="AL313" s="160">
        <f>AK313+1.59*(135-AM313)</f>
        <v>0.546449838697639</v>
      </c>
      <c r="AM313" s="160">
        <f>IF(AV313&gt;135,135,IF(AV313&lt;120,120,AV313))</f>
        <v>135</v>
      </c>
      <c r="AN313" s="114">
        <v>0</v>
      </c>
      <c r="AO313" s="114">
        <v>1</v>
      </c>
      <c r="AP313" s="114">
        <v>1.36</v>
      </c>
      <c r="AQ313" s="114">
        <v>69</v>
      </c>
      <c r="AR313" s="114">
        <v>1.05</v>
      </c>
      <c r="AS313" s="160">
        <v>23</v>
      </c>
      <c r="AT313" s="161">
        <v>15.2</v>
      </c>
      <c r="AU313" s="114">
        <v>72</v>
      </c>
      <c r="AV313" s="114">
        <v>135</v>
      </c>
      <c r="AZ313" s="119" t="s">
        <v>895</v>
      </c>
    </row>
    <row r="314" s="124" customFormat="1" spans="1:52">
      <c r="A314" s="124" t="s">
        <v>896</v>
      </c>
      <c r="B314" s="124" t="s">
        <v>53</v>
      </c>
      <c r="C314" s="124">
        <v>77</v>
      </c>
      <c r="D314" s="180">
        <v>1.65</v>
      </c>
      <c r="E314" s="124">
        <v>40</v>
      </c>
      <c r="F314" s="181">
        <f>E314/(D314*D314)</f>
        <v>14.692378328742</v>
      </c>
      <c r="G314" s="124">
        <v>5</v>
      </c>
      <c r="I314" s="182">
        <v>44442</v>
      </c>
      <c r="J314" s="182">
        <v>44454</v>
      </c>
      <c r="L314" s="183">
        <v>1</v>
      </c>
      <c r="M314" s="183">
        <f>J314-I314</f>
        <v>12</v>
      </c>
      <c r="N314" s="184"/>
      <c r="O314" s="114"/>
      <c r="P314" s="114"/>
      <c r="Q314" s="114">
        <v>1</v>
      </c>
      <c r="R314" s="114"/>
      <c r="S314" s="114"/>
      <c r="T314" s="114">
        <v>1</v>
      </c>
      <c r="U314" s="114">
        <v>0</v>
      </c>
      <c r="V314" s="114">
        <v>0</v>
      </c>
      <c r="W314" s="114">
        <v>1</v>
      </c>
      <c r="X314" s="114">
        <v>0</v>
      </c>
      <c r="Y314" s="114">
        <v>1</v>
      </c>
      <c r="Z314" s="114" t="s">
        <v>321</v>
      </c>
      <c r="AA314" s="114">
        <v>3</v>
      </c>
      <c r="AB314" s="114">
        <f>_xlfn.IFS(AT314&lt;34,1,AT314=34-51,2,AT314&gt;51,3)</f>
        <v>1</v>
      </c>
      <c r="AC314" s="114">
        <f>_xlfn.IFS(AS314&gt;35,1,AS314&gt;=28,2,AS314&lt;28,3)</f>
        <v>3</v>
      </c>
      <c r="AD314" s="114">
        <f>_xlfn.IFS(AR314&gt;2.3,3,AR314&gt;=1.7,2,AR314&lt;1.7,1)</f>
        <v>1</v>
      </c>
      <c r="AE314" s="114">
        <f>Y314+AA314+AB314+AC314+AD314</f>
        <v>9</v>
      </c>
      <c r="AF314" s="116" t="s">
        <v>63</v>
      </c>
      <c r="AG314" s="114">
        <f>AT314/17.1</f>
        <v>0.461988304093567</v>
      </c>
      <c r="AH314" s="114">
        <f>AU314/88.4</f>
        <v>0.531674208144796</v>
      </c>
      <c r="AI314" s="114">
        <f>AR314</f>
        <v>1.37</v>
      </c>
      <c r="AJ314" s="159">
        <f>LN(IF(AG314&gt;=1,AG314,1))*3.8+LN(IF(AH314&gt;=1,AH314,1))*9.6+11.2*LN(IF(AI314&gt;=1,AI314,1))+6.4*AN314</f>
        <v>3.52588028620838</v>
      </c>
      <c r="AK314" s="160">
        <f>IF(AND(AG314&gt;0,AH314&gt;0,AI314&gt;0),AJ314,"")</f>
        <v>3.52588028620838</v>
      </c>
      <c r="AL314" s="160">
        <f>AK314+1.59*(135-AM314)</f>
        <v>5.11588028620838</v>
      </c>
      <c r="AM314" s="160">
        <f>IF(AV314&gt;135,135,IF(AV314&lt;120,120,AV314))</f>
        <v>134</v>
      </c>
      <c r="AN314" s="114"/>
      <c r="AO314" s="114"/>
      <c r="AP314" s="114">
        <v>3.78</v>
      </c>
      <c r="AQ314" s="114">
        <v>86</v>
      </c>
      <c r="AR314" s="114">
        <v>1.37</v>
      </c>
      <c r="AS314" s="160">
        <v>23</v>
      </c>
      <c r="AT314" s="161">
        <v>7.9</v>
      </c>
      <c r="AU314" s="114">
        <v>47</v>
      </c>
      <c r="AV314" s="114">
        <v>134</v>
      </c>
      <c r="AZ314" s="127" t="s">
        <v>897</v>
      </c>
    </row>
    <row r="315" spans="1:52">
      <c r="A315" s="117" t="s">
        <v>898</v>
      </c>
      <c r="B315" s="117" t="s">
        <v>53</v>
      </c>
      <c r="C315" s="117">
        <v>62</v>
      </c>
      <c r="D315" s="135">
        <v>1.6</v>
      </c>
      <c r="E315" s="117">
        <v>80</v>
      </c>
      <c r="F315" s="136">
        <f>E315/(D315*D315)</f>
        <v>31.25</v>
      </c>
      <c r="G315" s="117">
        <v>0</v>
      </c>
      <c r="I315" s="158">
        <v>44445</v>
      </c>
      <c r="J315" s="158">
        <v>44457</v>
      </c>
      <c r="L315" s="137">
        <v>1</v>
      </c>
      <c r="M315" s="138">
        <f>J315-I315</f>
        <v>12</v>
      </c>
      <c r="N315" s="139" t="s">
        <v>899</v>
      </c>
      <c r="O315" s="114"/>
      <c r="P315" s="114"/>
      <c r="Q315" s="114"/>
      <c r="R315" s="114"/>
      <c r="S315" s="114">
        <v>1</v>
      </c>
      <c r="T315" s="114">
        <v>0</v>
      </c>
      <c r="U315" s="114">
        <v>0</v>
      </c>
      <c r="V315" s="114">
        <v>1</v>
      </c>
      <c r="W315" s="114">
        <v>0</v>
      </c>
      <c r="X315" s="114">
        <v>1</v>
      </c>
      <c r="Y315" s="114">
        <v>1</v>
      </c>
      <c r="Z315" s="114" t="s">
        <v>58</v>
      </c>
      <c r="AA315" s="114">
        <v>1</v>
      </c>
      <c r="AB315" s="114">
        <f>_xlfn.IFS(AT315&lt;34,1,AT315=34-51,2,AT315&gt;51,3)</f>
        <v>3</v>
      </c>
      <c r="AC315" s="114">
        <f>_xlfn.IFS(AS315&gt;35,1,AS315&gt;=28,2,AS315&lt;28,3)</f>
        <v>2</v>
      </c>
      <c r="AD315" s="114">
        <f>_xlfn.IFS(AR315&gt;2.3,3,AR315&gt;=1.7,2,AR315&lt;1.7,1)</f>
        <v>1</v>
      </c>
      <c r="AE315" s="114">
        <f>Y315+AA315+AB315+AC315+AD315</f>
        <v>8</v>
      </c>
      <c r="AF315" s="116" t="s">
        <v>63</v>
      </c>
      <c r="AG315" s="114">
        <f>AT315/17.1</f>
        <v>11.2865497076023</v>
      </c>
      <c r="AH315" s="114">
        <f>AU315/88.4</f>
        <v>0.384615384615385</v>
      </c>
      <c r="AI315" s="114">
        <f>AR315</f>
        <v>1.35</v>
      </c>
      <c r="AJ315" s="159">
        <f>LN(IF(AG315&gt;=1,AG315,1))*3.8+LN(IF(AH315&gt;=1,AH315,1))*9.6+11.2*LN(IF(AI315&gt;=1,AI315,1))+6.4*AN315</f>
        <v>12.5708959919496</v>
      </c>
      <c r="AK315" s="160">
        <f>IF(AND(AG315&gt;0,AH315&gt;0,AI315&gt;0),AJ315,"")</f>
        <v>12.5708959919496</v>
      </c>
      <c r="AL315" s="160">
        <f>AK315+1.59*(135-AM315)</f>
        <v>36.4208959919496</v>
      </c>
      <c r="AM315" s="160">
        <f>IF(AV315&gt;135,135,IF(AV315&lt;120,120,AV315))</f>
        <v>120</v>
      </c>
      <c r="AN315" s="114"/>
      <c r="AO315" s="114"/>
      <c r="AP315" s="114">
        <v>2.45</v>
      </c>
      <c r="AQ315" s="114">
        <v>63</v>
      </c>
      <c r="AR315" s="114">
        <v>1.35</v>
      </c>
      <c r="AS315" s="160">
        <v>33</v>
      </c>
      <c r="AT315" s="161">
        <v>193</v>
      </c>
      <c r="AU315" s="114">
        <v>34</v>
      </c>
      <c r="AV315" s="114"/>
      <c r="AZ315" s="119" t="s">
        <v>900</v>
      </c>
    </row>
    <row r="316" spans="1:52">
      <c r="A316" s="117" t="s">
        <v>901</v>
      </c>
      <c r="B316" s="117" t="s">
        <v>53</v>
      </c>
      <c r="C316" s="117">
        <v>67</v>
      </c>
      <c r="D316" s="135">
        <v>1.6</v>
      </c>
      <c r="E316" s="117">
        <v>66</v>
      </c>
      <c r="F316" s="136">
        <f>E316/(D316*D316)</f>
        <v>25.78125</v>
      </c>
      <c r="G316" s="117">
        <v>0</v>
      </c>
      <c r="I316" s="158">
        <v>44443</v>
      </c>
      <c r="J316" s="158">
        <v>44449</v>
      </c>
      <c r="L316" s="137">
        <v>1</v>
      </c>
      <c r="M316" s="138">
        <f>J316-I316</f>
        <v>6</v>
      </c>
      <c r="N316" s="139" t="s">
        <v>902</v>
      </c>
      <c r="O316" s="114"/>
      <c r="P316" s="114"/>
      <c r="Q316" s="114"/>
      <c r="R316" s="114"/>
      <c r="S316" s="114">
        <v>1</v>
      </c>
      <c r="T316" s="114">
        <v>0</v>
      </c>
      <c r="U316" s="114">
        <v>0</v>
      </c>
      <c r="V316" s="114">
        <v>1</v>
      </c>
      <c r="W316" s="114">
        <v>0</v>
      </c>
      <c r="X316" s="114">
        <v>1</v>
      </c>
      <c r="Y316" s="114">
        <v>1</v>
      </c>
      <c r="Z316" s="114" t="s">
        <v>58</v>
      </c>
      <c r="AA316" s="114">
        <v>1</v>
      </c>
      <c r="AB316" s="114">
        <f>_xlfn.IFS(AT316&gt;51,3,AT316&gt;=34,2,AT316&lt;34,1)</f>
        <v>1</v>
      </c>
      <c r="AC316" s="114">
        <f>_xlfn.IFS(AS316&gt;35,1,AS316&gt;=28,2,AS316&lt;28,3)</f>
        <v>1</v>
      </c>
      <c r="AD316" s="114">
        <f>_xlfn.IFS(AR316&gt;2.3,3,AR316&gt;=1.7,2,AR316&lt;1.7,1)</f>
        <v>1</v>
      </c>
      <c r="AE316" s="114">
        <f>Y316+AA316+AB316+AC316+AD316</f>
        <v>5</v>
      </c>
      <c r="AF316" s="116" t="s">
        <v>59</v>
      </c>
      <c r="AG316" s="114">
        <f>AT316/17.1</f>
        <v>1.54970760233918</v>
      </c>
      <c r="AH316" s="114">
        <f>AU316/88.4</f>
        <v>0.486425339366516</v>
      </c>
      <c r="AI316" s="114">
        <f>AR316</f>
        <v>1.08</v>
      </c>
      <c r="AJ316" s="159">
        <f>LN(IF(AG316&gt;=1,AG316,1))*3.8+LN(IF(AH316&gt;=1,AH316,1))*9.6+11.2*LN(IF(AI316&gt;=1,AI316,1))+6.4*AN316</f>
        <v>2.52661548476217</v>
      </c>
      <c r="AK316" s="160">
        <f>IF(AND(AG316&gt;0,AH316&gt;0,AI316&gt;0),AJ316,"")</f>
        <v>2.52661548476217</v>
      </c>
      <c r="AL316" s="160">
        <f>AK316+1.59*(135-AM316)</f>
        <v>2.52661548476217</v>
      </c>
      <c r="AM316" s="160">
        <f>IF(AV316&gt;135,135,IF(AV316&lt;120,120,AV316))</f>
        <v>135</v>
      </c>
      <c r="AN316" s="114"/>
      <c r="AO316" s="114"/>
      <c r="AP316" s="114">
        <v>6.02</v>
      </c>
      <c r="AQ316" s="114">
        <v>131</v>
      </c>
      <c r="AR316" s="114">
        <v>1.08</v>
      </c>
      <c r="AS316" s="114">
        <v>36</v>
      </c>
      <c r="AT316" s="161">
        <v>26.5</v>
      </c>
      <c r="AU316" s="114">
        <v>43</v>
      </c>
      <c r="AV316" s="114">
        <v>143</v>
      </c>
      <c r="AZ316" s="119" t="s">
        <v>903</v>
      </c>
    </row>
    <row r="317" spans="1:52">
      <c r="A317" s="117" t="s">
        <v>904</v>
      </c>
      <c r="B317" s="117" t="s">
        <v>48</v>
      </c>
      <c r="C317" s="117">
        <v>59</v>
      </c>
      <c r="D317" s="135">
        <v>1.72</v>
      </c>
      <c r="E317" s="117">
        <v>80</v>
      </c>
      <c r="F317" s="136">
        <f>E317/(D317*D317)</f>
        <v>27.0416441319632</v>
      </c>
      <c r="G317" s="117">
        <v>6</v>
      </c>
      <c r="I317" s="158">
        <v>44435</v>
      </c>
      <c r="J317" s="158">
        <v>44446</v>
      </c>
      <c r="L317" s="137">
        <v>1</v>
      </c>
      <c r="M317" s="138">
        <f>J317-I317</f>
        <v>11</v>
      </c>
      <c r="N317" s="139" t="s">
        <v>905</v>
      </c>
      <c r="O317" s="114"/>
      <c r="P317" s="114">
        <v>1</v>
      </c>
      <c r="Q317" s="114"/>
      <c r="R317" s="114"/>
      <c r="S317" s="114"/>
      <c r="T317" s="114">
        <v>1</v>
      </c>
      <c r="U317" s="114">
        <v>0</v>
      </c>
      <c r="V317" s="114">
        <v>1</v>
      </c>
      <c r="W317" s="114">
        <v>0</v>
      </c>
      <c r="X317" s="114">
        <v>1</v>
      </c>
      <c r="Y317" s="114">
        <v>1</v>
      </c>
      <c r="Z317" s="114" t="s">
        <v>300</v>
      </c>
      <c r="AA317" s="114">
        <v>2</v>
      </c>
      <c r="AB317" s="114">
        <f>_xlfn.IFS(AT317&gt;51,3,AT317&gt;=34,2,AT317&lt;34,1)</f>
        <v>1</v>
      </c>
      <c r="AC317" s="114">
        <f>_xlfn.IFS(AS317&gt;35,1,AS317&gt;=28,2,AS317&lt;28,3)</f>
        <v>2</v>
      </c>
      <c r="AD317" s="114">
        <f>_xlfn.IFS(AR317&gt;2.3,3,AR317&gt;=1.7,2,AR317&lt;1.7,1)</f>
        <v>1</v>
      </c>
      <c r="AE317" s="114">
        <f>Y317+AA317+AB317+AC317+AD317</f>
        <v>7</v>
      </c>
      <c r="AF317" s="116" t="s">
        <v>63</v>
      </c>
      <c r="AG317" s="114">
        <f>AT317/17.1</f>
        <v>1.42105263157895</v>
      </c>
      <c r="AH317" s="114">
        <f>AU317/88.4</f>
        <v>0.8710407239819</v>
      </c>
      <c r="AI317" s="114">
        <f>AR317</f>
        <v>1.14</v>
      </c>
      <c r="AJ317" s="159">
        <f>LN(IF(AG317&gt;=1,AG317,1))*3.8+LN(IF(AH317&gt;=1,AH317,1))*9.6+11.2*LN(IF(AI317&gt;=1,AI317,1))+6.4*AN317</f>
        <v>2.8028285089357</v>
      </c>
      <c r="AK317" s="160">
        <f>IF(AND(AG317&gt;0,AH317&gt;0,AI317&gt;0),AJ317,"")</f>
        <v>2.8028285089357</v>
      </c>
      <c r="AL317" s="160">
        <f>AK317+1.59*(135-AM317)</f>
        <v>2.8028285089357</v>
      </c>
      <c r="AM317" s="160">
        <f>IF(AV317&gt;135,135,IF(AV317&lt;120,120,AV317))</f>
        <v>135</v>
      </c>
      <c r="AN317" s="114">
        <v>0</v>
      </c>
      <c r="AO317" s="114">
        <f>_xlfn.IFS(AJ317&lt;15,1,AJ317=15-18,2,AJ317&gt;18,3)</f>
        <v>1</v>
      </c>
      <c r="AP317" s="114">
        <v>2.3</v>
      </c>
      <c r="AQ317" s="114">
        <v>59</v>
      </c>
      <c r="AR317" s="114">
        <v>1.14</v>
      </c>
      <c r="AS317" s="160">
        <v>31</v>
      </c>
      <c r="AT317" s="161">
        <v>24.3</v>
      </c>
      <c r="AU317" s="114">
        <v>77</v>
      </c>
      <c r="AV317" s="114">
        <v>140</v>
      </c>
      <c r="AZ317" s="119" t="s">
        <v>906</v>
      </c>
    </row>
    <row r="318" s="123" customFormat="1" spans="1:52">
      <c r="A318" s="123" t="s">
        <v>907</v>
      </c>
      <c r="B318" s="123" t="s">
        <v>53</v>
      </c>
      <c r="C318" s="123">
        <v>67</v>
      </c>
      <c r="D318" s="176">
        <v>1.65</v>
      </c>
      <c r="E318" s="123">
        <v>77.5</v>
      </c>
      <c r="F318" s="189">
        <f>E318/(D318*D318)</f>
        <v>28.4664830119376</v>
      </c>
      <c r="G318" s="123">
        <v>1</v>
      </c>
      <c r="I318" s="177">
        <v>44440</v>
      </c>
      <c r="J318" s="177">
        <v>44447</v>
      </c>
      <c r="L318" s="178">
        <v>1</v>
      </c>
      <c r="M318" s="178">
        <f>J318-I318</f>
        <v>7</v>
      </c>
      <c r="N318" s="179" t="s">
        <v>908</v>
      </c>
      <c r="O318" s="114"/>
      <c r="P318" s="114"/>
      <c r="Q318" s="114"/>
      <c r="R318" s="114"/>
      <c r="S318" s="114">
        <v>1</v>
      </c>
      <c r="T318" s="114">
        <v>1</v>
      </c>
      <c r="U318" s="114">
        <v>0</v>
      </c>
      <c r="V318" s="114">
        <v>0</v>
      </c>
      <c r="W318" s="114">
        <v>0</v>
      </c>
      <c r="X318" s="114">
        <v>0</v>
      </c>
      <c r="Y318" s="114">
        <v>1</v>
      </c>
      <c r="Z318" s="114" t="s">
        <v>300</v>
      </c>
      <c r="AA318" s="114">
        <v>2</v>
      </c>
      <c r="AB318" s="114">
        <f>_xlfn.IFS(AT318&gt;51,3,AT318&gt;=34,2,AT318&lt;34,1)</f>
        <v>1</v>
      </c>
      <c r="AC318" s="114">
        <f>_xlfn.IFS(AS318&gt;35,1,AS318&gt;=28,2,AS318&lt;28,3)</f>
        <v>2</v>
      </c>
      <c r="AD318" s="114">
        <f>_xlfn.IFS(AR318&gt;2.3,3,AR318&gt;=1.7,2,AR318&lt;1.7,1)</f>
        <v>1</v>
      </c>
      <c r="AE318" s="114">
        <f>Y318+AA318+AB318+AC318+AD318</f>
        <v>7</v>
      </c>
      <c r="AF318" s="116" t="s">
        <v>63</v>
      </c>
      <c r="AG318" s="114">
        <f>AT318/17.1</f>
        <v>1.26900584795322</v>
      </c>
      <c r="AH318" s="114">
        <f>AU318/88.4</f>
        <v>0.882352941176471</v>
      </c>
      <c r="AI318" s="114">
        <f>AR318</f>
        <v>0.99</v>
      </c>
      <c r="AJ318" s="159">
        <f>LN(IF(AG318&gt;=1,AG318,1))*3.8+LN(IF(AH318&gt;=1,AH318,1))*9.6+11.2*LN(IF(AI318&gt;=1,AI318,1))+6.4*AN318</f>
        <v>0.905288428743639</v>
      </c>
      <c r="AK318" s="160">
        <f>IF(AND(AG318&gt;0,AH318&gt;0,AI318&gt;0),AJ318,"")</f>
        <v>0.905288428743639</v>
      </c>
      <c r="AL318" s="160">
        <f>AK318+1.59*(135-AM318)</f>
        <v>0.905288428743639</v>
      </c>
      <c r="AM318" s="160">
        <f>IF(AV318&gt;135,135,IF(AV318&lt;120,120,AV318))</f>
        <v>135</v>
      </c>
      <c r="AN318" s="114"/>
      <c r="AO318" s="114"/>
      <c r="AP318" s="114">
        <v>6.09</v>
      </c>
      <c r="AQ318" s="114">
        <v>131</v>
      </c>
      <c r="AR318" s="114">
        <v>0.99</v>
      </c>
      <c r="AS318" s="160">
        <v>35</v>
      </c>
      <c r="AT318" s="161">
        <v>21.7</v>
      </c>
      <c r="AU318" s="114">
        <v>78</v>
      </c>
      <c r="AV318" s="114">
        <v>142</v>
      </c>
      <c r="AZ318" s="132" t="s">
        <v>909</v>
      </c>
    </row>
    <row r="319" s="123" customFormat="1" spans="1:52">
      <c r="A319" s="123" t="s">
        <v>910</v>
      </c>
      <c r="B319" s="123" t="s">
        <v>48</v>
      </c>
      <c r="C319" s="123">
        <v>53</v>
      </c>
      <c r="D319" s="176">
        <v>1.7</v>
      </c>
      <c r="E319" s="123">
        <v>65</v>
      </c>
      <c r="F319" s="189">
        <f>E319/(D319*D319)</f>
        <v>22.4913494809689</v>
      </c>
      <c r="G319" s="123">
        <v>6</v>
      </c>
      <c r="I319" s="177">
        <v>44481</v>
      </c>
      <c r="J319" s="177">
        <v>44489</v>
      </c>
      <c r="L319" s="178">
        <v>1</v>
      </c>
      <c r="M319" s="178">
        <f>J319-I319</f>
        <v>8</v>
      </c>
      <c r="N319" s="179" t="s">
        <v>911</v>
      </c>
      <c r="O319" s="114">
        <v>1</v>
      </c>
      <c r="P319" s="114"/>
      <c r="Q319" s="114">
        <v>1</v>
      </c>
      <c r="R319" s="114"/>
      <c r="S319" s="114"/>
      <c r="T319" s="114">
        <v>1</v>
      </c>
      <c r="U319" s="114">
        <v>0</v>
      </c>
      <c r="V319" s="114">
        <v>1</v>
      </c>
      <c r="W319" s="114">
        <v>0</v>
      </c>
      <c r="X319" s="114">
        <v>0</v>
      </c>
      <c r="Y319" s="114">
        <v>1</v>
      </c>
      <c r="Z319" s="114" t="s">
        <v>321</v>
      </c>
      <c r="AA319" s="114">
        <v>3</v>
      </c>
      <c r="AB319" s="114">
        <f>_xlfn.IFS(AT319&gt;51,3,AT319&gt;=34,2,AT319&lt;34,1)</f>
        <v>3</v>
      </c>
      <c r="AC319" s="114">
        <f>_xlfn.IFS(AS319&gt;35,1,AS319&gt;=28,2,AS319&lt;28,3)</f>
        <v>3</v>
      </c>
      <c r="AD319" s="114">
        <f>_xlfn.IFS(AR319&gt;2.3,3,AR319&gt;=1.7,2,AR319&lt;1.7,1)</f>
        <v>1</v>
      </c>
      <c r="AE319" s="114">
        <f>Y319+AA319+AB319+AC319+AD319</f>
        <v>11</v>
      </c>
      <c r="AF319" s="116" t="s">
        <v>50</v>
      </c>
      <c r="AG319" s="114">
        <f>AT319/17.1</f>
        <v>3.11111111111111</v>
      </c>
      <c r="AH319" s="114">
        <f>AU319/88.4</f>
        <v>0.441176470588235</v>
      </c>
      <c r="AI319" s="114">
        <f>AR319</f>
        <v>1.26</v>
      </c>
      <c r="AJ319" s="159">
        <f>LN(IF(AG319&gt;=1,AG319,1))*3.8+LN(IF(AH319&gt;=1,AH319,1))*9.6+11.2*LN(IF(AI319&gt;=1,AI319,1))+6.4*AN319</f>
        <v>6.90137501957807</v>
      </c>
      <c r="AK319" s="160">
        <f>IF(AND(AG319&gt;0,AH319&gt;0,AI319&gt;0),AJ319,"")</f>
        <v>6.90137501957807</v>
      </c>
      <c r="AL319" s="160">
        <f>AK319+1.59*(135-AM319)</f>
        <v>6.90137501957807</v>
      </c>
      <c r="AM319" s="160">
        <f>IF(AV319&gt;135,135,IF(AV319&lt;120,120,AV319))</f>
        <v>135</v>
      </c>
      <c r="AN319" s="114"/>
      <c r="AO319" s="114"/>
      <c r="AP319" s="114">
        <v>3.38</v>
      </c>
      <c r="AQ319" s="114">
        <v>89</v>
      </c>
      <c r="AR319" s="114">
        <v>1.26</v>
      </c>
      <c r="AS319" s="160">
        <v>27</v>
      </c>
      <c r="AT319" s="161">
        <v>53.2</v>
      </c>
      <c r="AU319" s="114">
        <v>39</v>
      </c>
      <c r="AV319" s="114">
        <v>137</v>
      </c>
      <c r="AZ319" s="132" t="s">
        <v>912</v>
      </c>
    </row>
    <row r="320" spans="1:52">
      <c r="A320" s="117" t="s">
        <v>913</v>
      </c>
      <c r="B320" s="117" t="s">
        <v>48</v>
      </c>
      <c r="C320" s="117">
        <v>66</v>
      </c>
      <c r="D320" s="135">
        <v>1.7</v>
      </c>
      <c r="E320" s="117">
        <v>50</v>
      </c>
      <c r="F320" s="136">
        <f>E320/(D320*D320)</f>
        <v>17.3010380622837</v>
      </c>
      <c r="G320" s="117">
        <v>3</v>
      </c>
      <c r="I320" s="158">
        <v>44412</v>
      </c>
      <c r="J320" s="158">
        <v>44432</v>
      </c>
      <c r="L320" s="137">
        <v>1</v>
      </c>
      <c r="M320" s="138">
        <f>J320-I320</f>
        <v>20</v>
      </c>
      <c r="N320" s="139" t="s">
        <v>914</v>
      </c>
      <c r="O320" s="114"/>
      <c r="P320" s="114"/>
      <c r="Q320" s="114"/>
      <c r="R320" s="114"/>
      <c r="S320" s="114">
        <v>1</v>
      </c>
      <c r="T320" s="114">
        <v>1</v>
      </c>
      <c r="U320" s="114">
        <v>0</v>
      </c>
      <c r="V320" s="114">
        <v>1</v>
      </c>
      <c r="W320" s="114">
        <v>1</v>
      </c>
      <c r="X320" s="114">
        <v>1</v>
      </c>
      <c r="Y320" s="114">
        <v>1</v>
      </c>
      <c r="Z320" s="114" t="s">
        <v>307</v>
      </c>
      <c r="AA320" s="114">
        <v>3</v>
      </c>
      <c r="AB320" s="114">
        <f>_xlfn.IFS(AT320&gt;51,3,AT320&gt;=34,2,AT320&lt;34,1)</f>
        <v>1</v>
      </c>
      <c r="AC320" s="114">
        <f>_xlfn.IFS(AS320&gt;35,1,AS320&gt;=28,2,AS320&lt;28,3)</f>
        <v>3</v>
      </c>
      <c r="AD320" s="114">
        <f>_xlfn.IFS(AR320&gt;2.3,3,AR320&gt;=1.7,2,AR320&lt;1.7,1)</f>
        <v>1</v>
      </c>
      <c r="AE320" s="114">
        <f>Y320+AA320+AB320+AC320+AD320</f>
        <v>9</v>
      </c>
      <c r="AF320" s="116" t="s">
        <v>63</v>
      </c>
      <c r="AG320" s="114">
        <f>AT320/17.1</f>
        <v>1.01169590643275</v>
      </c>
      <c r="AH320" s="114">
        <f>AU320/88.4</f>
        <v>0.339366515837104</v>
      </c>
      <c r="AI320" s="114">
        <f>AR320</f>
        <v>1.56</v>
      </c>
      <c r="AJ320" s="159">
        <f>LN(IF(AG320&gt;=1,AG320,1))*3.8+LN(IF(AH320&gt;=1,AH320,1))*9.6+11.2*LN(IF(AI320&gt;=1,AI320,1))+6.4*AN320</f>
        <v>5.02466774250964</v>
      </c>
      <c r="AK320" s="160">
        <f>IF(AND(AG320&gt;0,AH320&gt;0,AI320&gt;0),AJ320,"")</f>
        <v>5.02466774250964</v>
      </c>
      <c r="AL320" s="160">
        <f>AK320+1.59*(135-AM320)</f>
        <v>5.02466774250964</v>
      </c>
      <c r="AM320" s="160">
        <f>IF(AV320&gt;135,135,IF(AV320&lt;120,120,AV320))</f>
        <v>135</v>
      </c>
      <c r="AN320" s="114"/>
      <c r="AO320" s="114"/>
      <c r="AP320" s="114">
        <v>4.18</v>
      </c>
      <c r="AQ320" s="114">
        <v>81</v>
      </c>
      <c r="AR320" s="114">
        <v>1.56</v>
      </c>
      <c r="AS320" s="160">
        <v>22</v>
      </c>
      <c r="AT320" s="161">
        <v>17.3</v>
      </c>
      <c r="AU320" s="114">
        <v>30</v>
      </c>
      <c r="AV320" s="114">
        <v>137</v>
      </c>
      <c r="AZ320" s="119" t="s">
        <v>915</v>
      </c>
    </row>
    <row r="321" s="124" customFormat="1" spans="1:52">
      <c r="A321" s="124" t="s">
        <v>916</v>
      </c>
      <c r="B321" s="124" t="s">
        <v>53</v>
      </c>
      <c r="C321" s="124">
        <v>83</v>
      </c>
      <c r="D321" s="180">
        <v>1.5</v>
      </c>
      <c r="E321" s="124">
        <v>42</v>
      </c>
      <c r="F321" s="181">
        <f>E321/(D321*D321)</f>
        <v>18.6666666666667</v>
      </c>
      <c r="G321" s="124">
        <v>1</v>
      </c>
      <c r="I321" s="182">
        <v>44415</v>
      </c>
      <c r="J321" s="182">
        <v>44425</v>
      </c>
      <c r="L321" s="183">
        <v>1</v>
      </c>
      <c r="M321" s="183">
        <f>J321-I321</f>
        <v>10</v>
      </c>
      <c r="N321" s="184" t="s">
        <v>917</v>
      </c>
      <c r="O321" s="114"/>
      <c r="P321" s="114"/>
      <c r="Q321" s="114"/>
      <c r="R321" s="114"/>
      <c r="S321" s="114">
        <v>1</v>
      </c>
      <c r="T321" s="114">
        <v>1</v>
      </c>
      <c r="U321" s="114">
        <v>0</v>
      </c>
      <c r="V321" s="114">
        <v>1</v>
      </c>
      <c r="W321" s="114">
        <v>0</v>
      </c>
      <c r="X321" s="114">
        <v>0</v>
      </c>
      <c r="Y321" s="114">
        <v>1</v>
      </c>
      <c r="Z321" s="114" t="s">
        <v>300</v>
      </c>
      <c r="AA321" s="114">
        <v>2</v>
      </c>
      <c r="AB321" s="114">
        <f>_xlfn.IFS(AT321&gt;51,3,AT321&gt;=34,2,AT321&lt;34,1)</f>
        <v>1</v>
      </c>
      <c r="AC321" s="114">
        <f>_xlfn.IFS(AS321&gt;35,1,AS321&gt;=28,2,AS321&lt;28,3)</f>
        <v>3</v>
      </c>
      <c r="AD321" s="114">
        <f>_xlfn.IFS(AR321&gt;2.3,3,AR321&gt;=1.7,2,AR321&lt;1.7,1)</f>
        <v>1</v>
      </c>
      <c r="AE321" s="114">
        <f>Y321+AA321+AB321+AC321+AD321</f>
        <v>8</v>
      </c>
      <c r="AF321" s="116" t="s">
        <v>63</v>
      </c>
      <c r="AG321" s="114">
        <f>AT321/17.1</f>
        <v>1.88304093567251</v>
      </c>
      <c r="AH321" s="114">
        <f>AU321/88.4</f>
        <v>0.588235294117647</v>
      </c>
      <c r="AI321" s="114">
        <f>AR321</f>
        <v>1.01</v>
      </c>
      <c r="AJ321" s="159">
        <f>LN(IF(AG321&gt;=1,AG321,1))*3.8+LN(IF(AH321&gt;=1,AH321,1))*9.6+11.2*LN(IF(AI321&gt;=1,AI321,1))+6.4*AN321</f>
        <v>2.51641806391413</v>
      </c>
      <c r="AK321" s="160">
        <f>IF(AND(AG321&gt;0,AH321&gt;0,AI321&gt;0),AJ321,"")</f>
        <v>2.51641806391413</v>
      </c>
      <c r="AL321" s="160">
        <f>AK321+1.59*(135-AM321)</f>
        <v>2.51641806391413</v>
      </c>
      <c r="AM321" s="160">
        <f>IF(AV321&gt;135,135,IF(AV321&lt;120,120,AV321))</f>
        <v>135</v>
      </c>
      <c r="AN321" s="114"/>
      <c r="AO321" s="114"/>
      <c r="AP321" s="114">
        <v>3.99</v>
      </c>
      <c r="AQ321" s="114">
        <v>85</v>
      </c>
      <c r="AR321" s="114">
        <v>1.01</v>
      </c>
      <c r="AS321" s="160">
        <v>27</v>
      </c>
      <c r="AT321" s="161">
        <v>32.2</v>
      </c>
      <c r="AU321" s="114">
        <v>52</v>
      </c>
      <c r="AV321" s="114">
        <v>142</v>
      </c>
      <c r="AZ321" s="127" t="s">
        <v>918</v>
      </c>
    </row>
    <row r="322" spans="1:52">
      <c r="A322" s="117" t="s">
        <v>919</v>
      </c>
      <c r="B322" s="117" t="s">
        <v>48</v>
      </c>
      <c r="C322" s="117">
        <v>56</v>
      </c>
      <c r="D322" s="135">
        <v>1.78</v>
      </c>
      <c r="E322" s="117">
        <v>75</v>
      </c>
      <c r="F322" s="136">
        <f>E322/(D322*D322)</f>
        <v>23.6712536295922</v>
      </c>
      <c r="G322" s="117">
        <v>6</v>
      </c>
      <c r="I322" s="158">
        <v>44415</v>
      </c>
      <c r="J322" s="158">
        <v>44421</v>
      </c>
      <c r="L322" s="137">
        <v>8</v>
      </c>
      <c r="M322" s="138">
        <f>J322-I322</f>
        <v>6</v>
      </c>
      <c r="N322" s="139" t="s">
        <v>920</v>
      </c>
      <c r="O322" s="114"/>
      <c r="P322" s="114">
        <v>1</v>
      </c>
      <c r="Q322" s="114"/>
      <c r="R322" s="114"/>
      <c r="S322" s="114"/>
      <c r="T322" s="114">
        <v>0</v>
      </c>
      <c r="U322" s="114">
        <v>0</v>
      </c>
      <c r="V322" s="114">
        <v>0</v>
      </c>
      <c r="W322" s="114">
        <v>0</v>
      </c>
      <c r="X322" s="114">
        <v>1</v>
      </c>
      <c r="Y322" s="114">
        <v>1</v>
      </c>
      <c r="Z322" s="114" t="s">
        <v>58</v>
      </c>
      <c r="AA322" s="114">
        <v>1</v>
      </c>
      <c r="AB322" s="114">
        <f>_xlfn.IFS(AT322&gt;51,3,AT322&gt;=34,2,AT322&lt;34,1)</f>
        <v>1</v>
      </c>
      <c r="AC322" s="114">
        <f>_xlfn.IFS(AS322&gt;35,1,AS322&gt;=28,2,AS322&lt;28,3)</f>
        <v>1</v>
      </c>
      <c r="AD322" s="114">
        <f>_xlfn.IFS(AR322&gt;2.3,3,AR322&gt;=1.7,2,AR322&lt;1.7,1)</f>
        <v>1</v>
      </c>
      <c r="AE322" s="114">
        <f>Y322+AA322+AB322+AC322+AD322</f>
        <v>5</v>
      </c>
      <c r="AF322" s="116" t="s">
        <v>59</v>
      </c>
      <c r="AG322" s="114">
        <f>AT322/17.1</f>
        <v>0.871345029239766</v>
      </c>
      <c r="AH322" s="114">
        <f>AU322/88.4</f>
        <v>0.690045248868778</v>
      </c>
      <c r="AI322" s="114">
        <f>AR322</f>
        <v>1.02</v>
      </c>
      <c r="AJ322" s="159">
        <f>LN(IF(AG322&gt;=1,AG322,1))*3.8+LN(IF(AH322&gt;=1,AH322,1))*9.6+11.2*LN(IF(AI322&gt;=1,AI322,1))+6.4*AN322</f>
        <v>0.221789425717213</v>
      </c>
      <c r="AK322" s="160">
        <f>IF(AND(AG322&gt;0,AH322&gt;0,AI322&gt;0),AJ322,"")</f>
        <v>0.221789425717213</v>
      </c>
      <c r="AL322" s="160">
        <f>AK322+1.59*(135-AM322)</f>
        <v>0.221789425717213</v>
      </c>
      <c r="AM322" s="160">
        <f>IF(AV322&gt;135,135,IF(AV322&lt;120,120,AV322))</f>
        <v>135</v>
      </c>
      <c r="AN322" s="114">
        <v>0</v>
      </c>
      <c r="AO322" s="114">
        <f>_xlfn.IFS(AJ322&lt;15,1,AJ322=15-18,2,AJ322&gt;18,3)</f>
        <v>1</v>
      </c>
      <c r="AP322" s="114">
        <v>4.51</v>
      </c>
      <c r="AQ322" s="114">
        <v>160</v>
      </c>
      <c r="AR322" s="114">
        <v>1.02</v>
      </c>
      <c r="AS322" s="160">
        <v>39</v>
      </c>
      <c r="AT322" s="161">
        <v>14.9</v>
      </c>
      <c r="AU322" s="114">
        <v>61</v>
      </c>
      <c r="AV322" s="114">
        <v>140</v>
      </c>
      <c r="AZ322" s="119" t="s">
        <v>921</v>
      </c>
    </row>
    <row r="323" spans="1:52">
      <c r="A323" s="117" t="s">
        <v>922</v>
      </c>
      <c r="B323" s="117" t="s">
        <v>48</v>
      </c>
      <c r="C323" s="117">
        <v>62</v>
      </c>
      <c r="D323" s="135">
        <v>1.67</v>
      </c>
      <c r="E323" s="117">
        <v>88</v>
      </c>
      <c r="F323" s="136">
        <f>E323/(D323*D323)</f>
        <v>31.5536591487683</v>
      </c>
      <c r="G323" s="117">
        <v>6</v>
      </c>
      <c r="I323" s="158">
        <v>44398</v>
      </c>
      <c r="J323" s="158">
        <v>44404</v>
      </c>
      <c r="L323" s="137">
        <v>3</v>
      </c>
      <c r="M323" s="138">
        <f>J323-I323</f>
        <v>6</v>
      </c>
      <c r="N323" s="139" t="s">
        <v>923</v>
      </c>
      <c r="O323" s="114"/>
      <c r="P323" s="114">
        <v>1</v>
      </c>
      <c r="Q323" s="114"/>
      <c r="R323" s="114"/>
      <c r="S323" s="114"/>
      <c r="T323" s="114">
        <v>1</v>
      </c>
      <c r="U323" s="114">
        <v>0</v>
      </c>
      <c r="V323" s="114">
        <v>1</v>
      </c>
      <c r="W323" s="114">
        <v>0</v>
      </c>
      <c r="X323" s="114">
        <v>1</v>
      </c>
      <c r="Y323" s="114">
        <v>1</v>
      </c>
      <c r="Z323" s="114" t="s">
        <v>300</v>
      </c>
      <c r="AA323" s="114">
        <v>2</v>
      </c>
      <c r="AB323" s="114">
        <f>_xlfn.IFS(AT323&gt;51,3,AT323&gt;=34,2,AT323&lt;34,1)</f>
        <v>1</v>
      </c>
      <c r="AC323" s="114">
        <f>_xlfn.IFS(AS323&gt;35,1,AS323&gt;=28,2,AS323&lt;28,3)</f>
        <v>3</v>
      </c>
      <c r="AD323" s="114">
        <f>_xlfn.IFS(AR323&gt;2.3,3,AR323&gt;=1.7,2,AR323&lt;1.7,1)</f>
        <v>1</v>
      </c>
      <c r="AE323" s="114">
        <f>Y323+AA323+AB323+AC323+AD323</f>
        <v>8</v>
      </c>
      <c r="AF323" s="116" t="s">
        <v>63</v>
      </c>
      <c r="AG323" s="114">
        <f>AT323/17.1</f>
        <v>1.53216374269006</v>
      </c>
      <c r="AH323" s="114">
        <f>AU323/88.4</f>
        <v>0.588235294117647</v>
      </c>
      <c r="AI323" s="114">
        <f>AR323</f>
        <v>1.24</v>
      </c>
      <c r="AJ323" s="159">
        <f>LN(IF(AG323&gt;=1,AG323,1))*3.8+LN(IF(AH323&gt;=1,AH323,1))*9.6+11.2*LN(IF(AI323&gt;=1,AI323,1))+6.4*AN323</f>
        <v>4.03063505129185</v>
      </c>
      <c r="AK323" s="160">
        <f>IF(AND(AG323&gt;0,AH323&gt;0,AI323&gt;0),AJ323,"")</f>
        <v>4.03063505129185</v>
      </c>
      <c r="AL323" s="160">
        <f>AK323+1.59*(135-AM323)</f>
        <v>4.03063505129185</v>
      </c>
      <c r="AM323" s="160">
        <f>IF(AV323&gt;135,135,IF(AV323&lt;120,120,AV323))</f>
        <v>135</v>
      </c>
      <c r="AN323" s="114">
        <v>0</v>
      </c>
      <c r="AO323" s="114">
        <f>_xlfn.IFS(AJ323&lt;15,1,AJ323=15-18,2,AJ323&gt;18,3)</f>
        <v>1</v>
      </c>
      <c r="AP323" s="114">
        <v>3.91</v>
      </c>
      <c r="AQ323" s="114">
        <v>124</v>
      </c>
      <c r="AR323" s="114">
        <v>1.24</v>
      </c>
      <c r="AS323" s="160">
        <v>26</v>
      </c>
      <c r="AT323" s="161">
        <v>26.2</v>
      </c>
      <c r="AU323" s="114">
        <v>52</v>
      </c>
      <c r="AV323" s="114">
        <v>142</v>
      </c>
      <c r="AZ323" s="119" t="s">
        <v>924</v>
      </c>
    </row>
    <row r="324" s="125" customFormat="1" spans="1:52">
      <c r="A324" s="125" t="s">
        <v>925</v>
      </c>
      <c r="B324" s="125" t="s">
        <v>48</v>
      </c>
      <c r="C324" s="125">
        <v>64</v>
      </c>
      <c r="D324" s="185">
        <v>1.7</v>
      </c>
      <c r="E324" s="125">
        <v>70</v>
      </c>
      <c r="F324" s="216">
        <f>E324/(D324*D324)</f>
        <v>24.2214532871972</v>
      </c>
      <c r="G324" s="125">
        <v>2</v>
      </c>
      <c r="I324" s="186">
        <v>44400</v>
      </c>
      <c r="J324" s="186">
        <v>44406</v>
      </c>
      <c r="L324" s="187">
        <v>1</v>
      </c>
      <c r="M324" s="187">
        <f>J324-I324</f>
        <v>6</v>
      </c>
      <c r="N324" s="188" t="s">
        <v>926</v>
      </c>
      <c r="O324" s="114">
        <v>1</v>
      </c>
      <c r="P324" s="114"/>
      <c r="Q324" s="114"/>
      <c r="R324" s="114"/>
      <c r="S324" s="114"/>
      <c r="T324" s="114">
        <v>1</v>
      </c>
      <c r="U324" s="114">
        <v>0</v>
      </c>
      <c r="V324" s="114">
        <v>0</v>
      </c>
      <c r="W324" s="114">
        <v>0</v>
      </c>
      <c r="X324" s="114">
        <v>0</v>
      </c>
      <c r="Y324" s="114">
        <v>1</v>
      </c>
      <c r="Z324" s="114" t="s">
        <v>307</v>
      </c>
      <c r="AA324" s="114">
        <v>3</v>
      </c>
      <c r="AB324" s="114">
        <f>_xlfn.IFS(AT324&gt;51,3,AT324&gt;=34,2,AT324&lt;34,1)</f>
        <v>3</v>
      </c>
      <c r="AC324" s="114">
        <f>_xlfn.IFS(AS324&gt;35,1,AS324&gt;=28,2,AS324&lt;28,3)</f>
        <v>3</v>
      </c>
      <c r="AD324" s="230">
        <f>_xlfn.IFS(AR324&gt;2.3,3,AR324&gt;=1.7,2,AR324&lt;1.7,1)</f>
        <v>3</v>
      </c>
      <c r="AE324" s="114">
        <f>Y324+AA324+AB324+AC324+AD324</f>
        <v>13</v>
      </c>
      <c r="AF324" s="116" t="s">
        <v>50</v>
      </c>
      <c r="AG324" s="114">
        <f>AT324/17.1</f>
        <v>4.29824561403509</v>
      </c>
      <c r="AH324" s="114">
        <f>AU324/88.4</f>
        <v>0.938914027149321</v>
      </c>
      <c r="AI324" s="114">
        <f>AR324</f>
        <v>2.42</v>
      </c>
      <c r="AJ324" s="159">
        <f>LN(IF(AG324&gt;=1,AG324,1))*3.8+LN(IF(AH324&gt;=1,AH324,1))*9.6+11.2*LN(IF(AI324&gt;=1,AI324,1))+6.4*AN324</f>
        <v>15.4393828321869</v>
      </c>
      <c r="AK324" s="160">
        <f>IF(AND(AG324&gt;0,AH324&gt;0,AI324&gt;0),AJ324,"")</f>
        <v>15.4393828321869</v>
      </c>
      <c r="AL324" s="160">
        <f>AK324+1.59*(135-AM324)</f>
        <v>15.4393828321869</v>
      </c>
      <c r="AM324" s="160">
        <f>IF(AV324&gt;135,135,IF(AV324&lt;120,120,AV324))</f>
        <v>135</v>
      </c>
      <c r="AN324" s="114"/>
      <c r="AO324" s="114"/>
      <c r="AP324" s="114">
        <v>1.48</v>
      </c>
      <c r="AQ324" s="114">
        <v>48</v>
      </c>
      <c r="AR324" s="114">
        <v>2.42</v>
      </c>
      <c r="AS324" s="160">
        <v>27</v>
      </c>
      <c r="AT324" s="161">
        <v>73.5</v>
      </c>
      <c r="AU324" s="114">
        <v>83</v>
      </c>
      <c r="AV324" s="114">
        <v>142</v>
      </c>
      <c r="AZ324" s="131" t="s">
        <v>927</v>
      </c>
    </row>
    <row r="325" spans="1:52">
      <c r="A325" s="117" t="s">
        <v>577</v>
      </c>
      <c r="B325" s="117" t="s">
        <v>48</v>
      </c>
      <c r="C325" s="117">
        <v>79</v>
      </c>
      <c r="D325" s="135">
        <v>1.62</v>
      </c>
      <c r="E325" s="117">
        <v>64</v>
      </c>
      <c r="F325" s="136">
        <f>E325/(D325*D325)</f>
        <v>24.3865264441396</v>
      </c>
      <c r="G325" s="117">
        <v>2</v>
      </c>
      <c r="I325" s="158">
        <v>44397</v>
      </c>
      <c r="J325" s="158">
        <v>44404</v>
      </c>
      <c r="L325" s="137">
        <v>7</v>
      </c>
      <c r="M325" s="138">
        <f>J325-I325</f>
        <v>7</v>
      </c>
      <c r="N325" s="139" t="s">
        <v>928</v>
      </c>
      <c r="O325" s="114"/>
      <c r="P325" s="114"/>
      <c r="Q325" s="114"/>
      <c r="R325" s="114"/>
      <c r="S325" s="114">
        <v>1</v>
      </c>
      <c r="T325" s="114">
        <v>0</v>
      </c>
      <c r="U325" s="114">
        <v>0</v>
      </c>
      <c r="V325" s="114">
        <v>1</v>
      </c>
      <c r="W325" s="114">
        <v>0</v>
      </c>
      <c r="X325" s="114">
        <v>1</v>
      </c>
      <c r="Y325" s="114">
        <v>1</v>
      </c>
      <c r="Z325" s="114" t="s">
        <v>58</v>
      </c>
      <c r="AA325" s="114">
        <v>1</v>
      </c>
      <c r="AB325" s="114">
        <f>_xlfn.IFS(AT325&gt;51,3,AT325&gt;=34,2,AT325&lt;34,1)</f>
        <v>1</v>
      </c>
      <c r="AC325" s="114">
        <f>_xlfn.IFS(AS325&gt;35,1,AS325&gt;=28,2,AS325&lt;28,3)</f>
        <v>1</v>
      </c>
      <c r="AD325" s="114">
        <f>_xlfn.IFS(AR325&gt;2.3,3,AR325&gt;=1.7,2,AR325&lt;1.7,1)</f>
        <v>1</v>
      </c>
      <c r="AE325" s="114">
        <f>Y325+AA325+AB325+AC325+AD325</f>
        <v>5</v>
      </c>
      <c r="AF325" s="116" t="s">
        <v>59</v>
      </c>
      <c r="AG325" s="114">
        <f>AT325/17.1</f>
        <v>0.508771929824561</v>
      </c>
      <c r="AH325" s="114">
        <f>AU325/88.4</f>
        <v>0.701357466063348</v>
      </c>
      <c r="AI325" s="114">
        <f>AR325</f>
        <v>1.14</v>
      </c>
      <c r="AJ325" s="159">
        <f>LN(IF(AG325&gt;=1,AG325,1))*3.8+LN(IF(AH325&gt;=1,AH325,1))*9.6+11.2*LN(IF(AI325&gt;=1,AI325,1))+6.4*AN325</f>
        <v>1.46751653895172</v>
      </c>
      <c r="AK325" s="160">
        <f>IF(AND(AG325&gt;0,AH325&gt;0,AI325&gt;0),AJ325,"")</f>
        <v>1.46751653895172</v>
      </c>
      <c r="AL325" s="160">
        <f>AK325+1.59*(135-AM325)</f>
        <v>1.46751653895172</v>
      </c>
      <c r="AM325" s="160">
        <f>IF(AV325&gt;135,135,IF(AV325&lt;120,120,AV325))</f>
        <v>135</v>
      </c>
      <c r="AN325" s="114"/>
      <c r="AO325" s="114"/>
      <c r="AP325" s="114"/>
      <c r="AQ325" s="114"/>
      <c r="AR325" s="114">
        <v>1.14</v>
      </c>
      <c r="AS325" s="160">
        <v>36</v>
      </c>
      <c r="AT325" s="161">
        <v>8.7</v>
      </c>
      <c r="AU325" s="114">
        <v>62</v>
      </c>
      <c r="AV325" s="114">
        <v>141</v>
      </c>
      <c r="AZ325" s="119" t="s">
        <v>929</v>
      </c>
    </row>
    <row r="326" spans="1:52">
      <c r="A326" s="117" t="s">
        <v>930</v>
      </c>
      <c r="B326" s="117" t="s">
        <v>53</v>
      </c>
      <c r="C326" s="117">
        <v>81</v>
      </c>
      <c r="D326" s="135">
        <v>1.47</v>
      </c>
      <c r="E326" s="117">
        <v>50</v>
      </c>
      <c r="F326" s="136">
        <f>E326/(D326*D326)</f>
        <v>23.1385071035217</v>
      </c>
      <c r="G326" s="117">
        <v>5</v>
      </c>
      <c r="I326" s="158">
        <v>44408</v>
      </c>
      <c r="J326" s="158">
        <v>44438</v>
      </c>
      <c r="L326" s="137">
        <v>1</v>
      </c>
      <c r="M326" s="138">
        <f>J326-I326</f>
        <v>30</v>
      </c>
      <c r="N326" s="139" t="s">
        <v>931</v>
      </c>
      <c r="O326" s="114"/>
      <c r="P326" s="114"/>
      <c r="Q326" s="114"/>
      <c r="R326" s="114"/>
      <c r="S326" s="114">
        <v>1</v>
      </c>
      <c r="T326" s="114">
        <v>1</v>
      </c>
      <c r="U326" s="114">
        <v>0</v>
      </c>
      <c r="V326" s="114">
        <v>1</v>
      </c>
      <c r="W326" s="114">
        <v>0</v>
      </c>
      <c r="X326" s="114">
        <v>1</v>
      </c>
      <c r="Y326" s="114">
        <v>1</v>
      </c>
      <c r="Z326" s="114" t="s">
        <v>300</v>
      </c>
      <c r="AA326" s="114">
        <v>2</v>
      </c>
      <c r="AB326" s="114">
        <f>_xlfn.IFS(AT326&gt;51,3,AT326&gt;=34,2,AT326&lt;34,1)</f>
        <v>1</v>
      </c>
      <c r="AC326" s="114">
        <f>_xlfn.IFS(AS326&gt;35,1,AS326&gt;=28,2,AS326&lt;28,3)</f>
        <v>3</v>
      </c>
      <c r="AD326" s="114">
        <f>_xlfn.IFS(AR326&gt;2.3,3,AR326&gt;=1.7,2,AR326&lt;1.7,1)</f>
        <v>1</v>
      </c>
      <c r="AE326" s="114">
        <f>Y326+AA326+AB326+AC326+AD326</f>
        <v>8</v>
      </c>
      <c r="AF326" s="116" t="s">
        <v>63</v>
      </c>
      <c r="AG326" s="114">
        <f>AT326/17.1</f>
        <v>0.588304093567251</v>
      </c>
      <c r="AH326" s="114">
        <f>AU326/88.4</f>
        <v>0.712669683257918</v>
      </c>
      <c r="AI326" s="114">
        <f>AR326</f>
        <v>1.14</v>
      </c>
      <c r="AJ326" s="159">
        <f>LN(IF(AG326&gt;=1,AG326,1))*3.8+LN(IF(AH326&gt;=1,AH326,1))*9.6+11.2*LN(IF(AI326&gt;=1,AI326,1))+6.4*AN326</f>
        <v>1.46751653895172</v>
      </c>
      <c r="AK326" s="160">
        <f>IF(AND(AG326&gt;0,AH326&gt;0,AI326&gt;0),AJ326,"")</f>
        <v>1.46751653895172</v>
      </c>
      <c r="AL326" s="160">
        <f>AK326+1.59*(135-AM326)</f>
        <v>1.46751653895172</v>
      </c>
      <c r="AM326" s="160">
        <f>IF(AV326&gt;135,135,IF(AV326&lt;120,120,AV326))</f>
        <v>135</v>
      </c>
      <c r="AN326" s="114"/>
      <c r="AO326" s="114"/>
      <c r="AP326" s="114">
        <v>3.36</v>
      </c>
      <c r="AQ326" s="114">
        <v>72</v>
      </c>
      <c r="AR326" s="114">
        <v>1.14</v>
      </c>
      <c r="AS326" s="160">
        <v>24</v>
      </c>
      <c r="AT326" s="161">
        <v>10.06</v>
      </c>
      <c r="AU326" s="114">
        <v>63</v>
      </c>
      <c r="AV326" s="114">
        <v>137</v>
      </c>
      <c r="AZ326" s="119" t="s">
        <v>932</v>
      </c>
    </row>
    <row r="327" spans="1:52">
      <c r="A327" s="117" t="s">
        <v>933</v>
      </c>
      <c r="B327" s="117" t="s">
        <v>53</v>
      </c>
      <c r="C327" s="117">
        <v>84</v>
      </c>
      <c r="D327" s="135">
        <v>1.5</v>
      </c>
      <c r="E327" s="117">
        <v>45</v>
      </c>
      <c r="F327" s="136">
        <f>E327/(D327*D327)</f>
        <v>20</v>
      </c>
      <c r="G327" s="117">
        <v>4</v>
      </c>
      <c r="I327" s="158">
        <v>44404</v>
      </c>
      <c r="J327" s="158">
        <v>44412</v>
      </c>
      <c r="L327" s="137">
        <v>1</v>
      </c>
      <c r="M327" s="138">
        <f>J327-I327</f>
        <v>8</v>
      </c>
      <c r="N327" s="139" t="s">
        <v>934</v>
      </c>
      <c r="O327" s="114"/>
      <c r="P327" s="114"/>
      <c r="Q327" s="114"/>
      <c r="R327" s="114"/>
      <c r="S327" s="114">
        <v>1</v>
      </c>
      <c r="T327" s="114">
        <v>0</v>
      </c>
      <c r="U327" s="114">
        <v>0</v>
      </c>
      <c r="V327" s="114">
        <v>0</v>
      </c>
      <c r="W327" s="114">
        <v>0</v>
      </c>
      <c r="X327" s="114">
        <v>0</v>
      </c>
      <c r="Y327" s="114">
        <v>1</v>
      </c>
      <c r="Z327" s="114" t="s">
        <v>58</v>
      </c>
      <c r="AA327" s="114">
        <v>1</v>
      </c>
      <c r="AB327" s="114">
        <f>_xlfn.IFS(AT327&gt;51,3,AT327&gt;=34,2,AT327&lt;34,1)</f>
        <v>3</v>
      </c>
      <c r="AC327" s="114">
        <f>_xlfn.IFS(AS327&gt;35,1,AS327&gt;=28,2,AS327&lt;28,3)</f>
        <v>3</v>
      </c>
      <c r="AD327" s="114">
        <f>_xlfn.IFS(AR327&gt;2.3,3,AR327&gt;=1.7,2,AR327&lt;1.7,1)</f>
        <v>1</v>
      </c>
      <c r="AE327" s="114">
        <f>Y327+AA327+AB327+AC327+AD327</f>
        <v>9</v>
      </c>
      <c r="AF327" s="116" t="s">
        <v>63</v>
      </c>
      <c r="AG327" s="114">
        <f>AT327/17.1</f>
        <v>6.19298245614035</v>
      </c>
      <c r="AH327" s="114">
        <f>AU327/88.4</f>
        <v>0.85972850678733</v>
      </c>
      <c r="AI327" s="114">
        <f>AR327</f>
        <v>1.47</v>
      </c>
      <c r="AJ327" s="159">
        <f>LN(IF(AG327&gt;=1,AG327,1))*3.8+LN(IF(AH327&gt;=1,AH327,1))*9.6+11.2*LN(IF(AI327&gt;=1,AI327,1))+6.4*AN327</f>
        <v>11.2439226874305</v>
      </c>
      <c r="AK327" s="160">
        <f>IF(AND(AG327&gt;0,AH327&gt;0,AI327&gt;0),AJ327,"")</f>
        <v>11.2439226874305</v>
      </c>
      <c r="AL327" s="160">
        <f>AK327+1.59*(135-AM327)</f>
        <v>11.2439226874305</v>
      </c>
      <c r="AM327" s="160">
        <f>IF(AV327&gt;135,135,IF(AV327&lt;120,120,AV327))</f>
        <v>135</v>
      </c>
      <c r="AN327" s="114"/>
      <c r="AO327" s="114"/>
      <c r="AP327" s="114">
        <v>4.27</v>
      </c>
      <c r="AQ327" s="114">
        <v>115</v>
      </c>
      <c r="AR327" s="114">
        <v>1.47</v>
      </c>
      <c r="AS327" s="160">
        <v>27</v>
      </c>
      <c r="AT327" s="161">
        <v>105.9</v>
      </c>
      <c r="AU327" s="114">
        <v>76</v>
      </c>
      <c r="AV327" s="114">
        <v>139</v>
      </c>
      <c r="AZ327" s="119" t="s">
        <v>935</v>
      </c>
    </row>
    <row r="328" spans="1:52">
      <c r="A328" s="117" t="s">
        <v>936</v>
      </c>
      <c r="B328" s="117" t="s">
        <v>48</v>
      </c>
      <c r="C328" s="117">
        <v>39</v>
      </c>
      <c r="D328" s="135">
        <v>1.8</v>
      </c>
      <c r="E328" s="117">
        <v>80</v>
      </c>
      <c r="F328" s="136">
        <f>E328/(D328*D328)</f>
        <v>24.6913580246914</v>
      </c>
      <c r="G328" s="117">
        <v>6</v>
      </c>
      <c r="I328" s="158">
        <v>44426</v>
      </c>
      <c r="J328" s="158">
        <v>44435</v>
      </c>
      <c r="L328" s="137">
        <v>1</v>
      </c>
      <c r="M328" s="138">
        <f>J328-I328</f>
        <v>9</v>
      </c>
      <c r="N328" s="139" t="s">
        <v>937</v>
      </c>
      <c r="O328" s="114"/>
      <c r="P328" s="114">
        <v>1</v>
      </c>
      <c r="Q328" s="114"/>
      <c r="R328" s="114"/>
      <c r="S328" s="114"/>
      <c r="T328" s="114">
        <v>1</v>
      </c>
      <c r="U328" s="114">
        <v>0</v>
      </c>
      <c r="V328" s="114">
        <v>1</v>
      </c>
      <c r="W328" s="114">
        <v>0</v>
      </c>
      <c r="X328" s="114">
        <v>1</v>
      </c>
      <c r="Y328" s="114">
        <v>1</v>
      </c>
      <c r="Z328" s="114" t="s">
        <v>300</v>
      </c>
      <c r="AA328" s="114">
        <v>2</v>
      </c>
      <c r="AB328" s="114">
        <f>_xlfn.IFS(AT328&gt;51,3,AT328&gt;=34,2,AT328&lt;34,1)</f>
        <v>3</v>
      </c>
      <c r="AC328" s="114">
        <f>_xlfn.IFS(AS328&gt;35,1,AS328&gt;=28,2,AS328&lt;28,3)</f>
        <v>3</v>
      </c>
      <c r="AD328" s="114">
        <v>2</v>
      </c>
      <c r="AE328" s="114">
        <f>Y328+AA328+AB328+AC328+AD328</f>
        <v>11</v>
      </c>
      <c r="AF328" s="116" t="s">
        <v>50</v>
      </c>
      <c r="AG328" s="114">
        <f>AT328/17.1</f>
        <v>5.29239766081871</v>
      </c>
      <c r="AH328" s="114">
        <f>AU328/88.4</f>
        <v>0.565610859728507</v>
      </c>
      <c r="AI328" s="114">
        <f>AR328</f>
        <v>2.06</v>
      </c>
      <c r="AJ328" s="159">
        <f>LN(IF(AG328&gt;=1,AG328,1))*3.8+LN(IF(AH328&gt;=1,AH328,1))*9.6+11.2*LN(IF(AI328&gt;=1,AI328,1))+6.4*AN328</f>
        <v>14.4261382787263</v>
      </c>
      <c r="AK328" s="160">
        <f>IF(AND(AG328&gt;0,AH328&gt;0,AI328&gt;0),AJ328,"")</f>
        <v>14.4261382787263</v>
      </c>
      <c r="AL328" s="160">
        <f>AK328+1.59*(135-AM328)</f>
        <v>14.4261382787263</v>
      </c>
      <c r="AM328" s="160">
        <f>IF(AV328&gt;135,135,IF(AV328&lt;120,120,AV328))</f>
        <v>135</v>
      </c>
      <c r="AN328" s="114">
        <v>0</v>
      </c>
      <c r="AO328" s="114">
        <v>2</v>
      </c>
      <c r="AP328" s="114">
        <v>3.39</v>
      </c>
      <c r="AQ328" s="114">
        <v>84</v>
      </c>
      <c r="AR328" s="114">
        <v>2.06</v>
      </c>
      <c r="AS328" s="160">
        <v>23</v>
      </c>
      <c r="AT328" s="161">
        <v>90.5</v>
      </c>
      <c r="AU328" s="114">
        <v>50</v>
      </c>
      <c r="AV328" s="114">
        <v>137</v>
      </c>
      <c r="AZ328" s="119" t="s">
        <v>938</v>
      </c>
    </row>
    <row r="329" s="123" customFormat="1" spans="1:52">
      <c r="A329" s="123" t="s">
        <v>939</v>
      </c>
      <c r="B329" s="123" t="s">
        <v>48</v>
      </c>
      <c r="C329" s="123">
        <v>54</v>
      </c>
      <c r="D329" s="176">
        <v>1.67</v>
      </c>
      <c r="E329" s="123">
        <v>70</v>
      </c>
      <c r="F329" s="189">
        <f>E329/(D329*D329)</f>
        <v>25.0995015956112</v>
      </c>
      <c r="G329" s="123">
        <v>4</v>
      </c>
      <c r="I329" s="177">
        <v>44426</v>
      </c>
      <c r="J329" s="177">
        <v>44435</v>
      </c>
      <c r="L329" s="178">
        <v>1</v>
      </c>
      <c r="M329" s="178">
        <f>J329-I329</f>
        <v>9</v>
      </c>
      <c r="N329" s="179" t="s">
        <v>940</v>
      </c>
      <c r="O329" s="114"/>
      <c r="P329" s="114">
        <v>1</v>
      </c>
      <c r="Q329" s="114"/>
      <c r="R329" s="114"/>
      <c r="S329" s="114"/>
      <c r="T329" s="114">
        <v>1</v>
      </c>
      <c r="U329" s="114">
        <v>0</v>
      </c>
      <c r="V329" s="114">
        <v>0</v>
      </c>
      <c r="W329" s="114">
        <v>0</v>
      </c>
      <c r="X329" s="114">
        <v>1</v>
      </c>
      <c r="Y329" s="114">
        <v>1</v>
      </c>
      <c r="Z329" s="114" t="s">
        <v>300</v>
      </c>
      <c r="AA329" s="114">
        <v>2</v>
      </c>
      <c r="AB329" s="114">
        <f>_xlfn.IFS(AT329&gt;51,3,AT329&gt;=34,2,AT329&lt;34,1)</f>
        <v>2</v>
      </c>
      <c r="AC329" s="114">
        <f>_xlfn.IFS(AS329&gt;35,1,AS329&gt;=28,2,AS329&lt;28,3)</f>
        <v>3</v>
      </c>
      <c r="AD329" s="114">
        <f>_xlfn.IFS(AR329&gt;2.3,3,AR329&gt;=1.7,2,AR329&lt;1.7,1)</f>
        <v>1</v>
      </c>
      <c r="AE329" s="114">
        <f>Y329+AA329+AB329+AC329+AD329</f>
        <v>9</v>
      </c>
      <c r="AF329" s="116" t="s">
        <v>63</v>
      </c>
      <c r="AG329" s="114">
        <f>AT329/17.1</f>
        <v>2.15204678362573</v>
      </c>
      <c r="AH329" s="114">
        <f>AU329/88.4</f>
        <v>1.02941176470588</v>
      </c>
      <c r="AI329" s="114">
        <f>AR329</f>
        <v>1.58</v>
      </c>
      <c r="AJ329" s="159">
        <f>LN(IF(AG329&gt;=1,AG329,1))*3.8+LN(IF(AH329&gt;=1,AH329,1))*9.6+11.2*LN(IF(AI329&gt;=1,AI329,1))+6.4*AN329</f>
        <v>8.31383229115045</v>
      </c>
      <c r="AK329" s="160">
        <f>IF(AND(AG329&gt;0,AH329&gt;0,AI329&gt;0),AJ329,"")</f>
        <v>8.31383229115045</v>
      </c>
      <c r="AL329" s="160">
        <f>AK329+1.59*(135-AM329)</f>
        <v>8.31383229115045</v>
      </c>
      <c r="AM329" s="160">
        <f>IF(AV329&gt;135,135,IF(AV329&lt;120,120,AV329))</f>
        <v>135</v>
      </c>
      <c r="AN329" s="114">
        <v>0</v>
      </c>
      <c r="AO329" s="114">
        <f>_xlfn.IFS(AJ329&lt;15,1,AJ329=15-18,2,AJ329&gt;18,3)</f>
        <v>1</v>
      </c>
      <c r="AP329" s="114">
        <v>3.05</v>
      </c>
      <c r="AQ329" s="114">
        <v>58</v>
      </c>
      <c r="AR329" s="114">
        <v>1.58</v>
      </c>
      <c r="AS329" s="160">
        <v>26</v>
      </c>
      <c r="AT329" s="161">
        <v>36.8</v>
      </c>
      <c r="AU329" s="114">
        <v>91</v>
      </c>
      <c r="AV329" s="114">
        <v>142</v>
      </c>
      <c r="AZ329" s="132" t="s">
        <v>941</v>
      </c>
    </row>
    <row r="330" spans="1:52">
      <c r="A330" s="117" t="s">
        <v>942</v>
      </c>
      <c r="B330" s="117" t="s">
        <v>48</v>
      </c>
      <c r="C330" s="117">
        <v>60</v>
      </c>
      <c r="D330" s="135">
        <v>1.63</v>
      </c>
      <c r="E330" s="117">
        <v>53</v>
      </c>
      <c r="F330" s="136">
        <f>E330/(D330*D330)</f>
        <v>19.9480597689036</v>
      </c>
      <c r="G330" s="117">
        <v>1</v>
      </c>
      <c r="I330" s="158">
        <v>44429</v>
      </c>
      <c r="J330" s="158">
        <v>44434</v>
      </c>
      <c r="L330" s="137">
        <v>1</v>
      </c>
      <c r="M330" s="138">
        <f>J330-I330</f>
        <v>5</v>
      </c>
      <c r="N330" s="139" t="s">
        <v>943</v>
      </c>
      <c r="O330" s="114"/>
      <c r="P330" s="114"/>
      <c r="Q330" s="114">
        <v>1</v>
      </c>
      <c r="R330" s="114">
        <v>1</v>
      </c>
      <c r="S330" s="114"/>
      <c r="T330" s="114">
        <v>1</v>
      </c>
      <c r="U330" s="114">
        <v>0</v>
      </c>
      <c r="V330" s="114">
        <v>0</v>
      </c>
      <c r="W330" s="114">
        <v>0</v>
      </c>
      <c r="X330" s="114">
        <v>1</v>
      </c>
      <c r="Y330" s="114">
        <v>1</v>
      </c>
      <c r="Z330" s="114" t="s">
        <v>307</v>
      </c>
      <c r="AA330" s="114">
        <v>3</v>
      </c>
      <c r="AB330" s="114">
        <f>_xlfn.IFS(AT330&gt;51,3,AT330&gt;=34,2,AT330&lt;34,1)</f>
        <v>1</v>
      </c>
      <c r="AC330" s="114">
        <f>_xlfn.IFS(AS330&gt;35,1,AS330&gt;=28,2,AS330&lt;28,3)</f>
        <v>3</v>
      </c>
      <c r="AD330" s="114">
        <f>_xlfn.IFS(AR330&gt;2.3,3,AR330&gt;=1.7,2,AR330&lt;1.7,1)</f>
        <v>1</v>
      </c>
      <c r="AE330" s="114">
        <f>Y330+AA330+AB330+AC330+AD330</f>
        <v>9</v>
      </c>
      <c r="AF330" s="116" t="s">
        <v>63</v>
      </c>
      <c r="AG330" s="114">
        <f>AT330/17.1</f>
        <v>0.713450292397661</v>
      </c>
      <c r="AH330" s="114">
        <f>AU330/88.4</f>
        <v>0.463800904977376</v>
      </c>
      <c r="AI330" s="114">
        <f>AR330</f>
        <v>1.33</v>
      </c>
      <c r="AJ330" s="159">
        <f>LN(IF(AG330&gt;=1,AG330,1))*3.8+LN(IF(AH330&gt;=1,AH330,1))*9.6+11.2*LN(IF(AI330&gt;=1,AI330,1))+6.4*AN330</f>
        <v>3.19400415301702</v>
      </c>
      <c r="AK330" s="160">
        <f>IF(AND(AG330&gt;0,AH330&gt;0,AI330&gt;0),AJ330,"")</f>
        <v>3.19400415301702</v>
      </c>
      <c r="AL330" s="160">
        <f>AK330+1.59*(135-AM330)</f>
        <v>3.19400415301702</v>
      </c>
      <c r="AM330" s="160">
        <f>IF(AV330&gt;135,135,IF(AV330&lt;120,120,AV330))</f>
        <v>135</v>
      </c>
      <c r="AN330" s="114">
        <v>0</v>
      </c>
      <c r="AO330" s="114">
        <v>1</v>
      </c>
      <c r="AP330" s="114">
        <v>1.23</v>
      </c>
      <c r="AQ330" s="114">
        <v>94</v>
      </c>
      <c r="AR330" s="114">
        <v>1.33</v>
      </c>
      <c r="AS330" s="160">
        <v>26</v>
      </c>
      <c r="AT330" s="161">
        <v>12.2</v>
      </c>
      <c r="AU330" s="114">
        <v>41</v>
      </c>
      <c r="AV330" s="114">
        <v>140</v>
      </c>
      <c r="AZ330" s="119" t="s">
        <v>944</v>
      </c>
    </row>
    <row r="331" s="132" customFormat="1" spans="1:52">
      <c r="A331" s="132" t="s">
        <v>662</v>
      </c>
      <c r="B331" s="132" t="s">
        <v>53</v>
      </c>
      <c r="C331" s="132">
        <v>63</v>
      </c>
      <c r="D331" s="250">
        <v>1.5</v>
      </c>
      <c r="E331" s="132">
        <v>52.5</v>
      </c>
      <c r="F331" s="251">
        <f>E331/(D331*D331)</f>
        <v>23.3333333333333</v>
      </c>
      <c r="G331" s="132">
        <v>1</v>
      </c>
      <c r="I331" s="252">
        <v>44403</v>
      </c>
      <c r="J331" s="252">
        <v>44417</v>
      </c>
      <c r="L331" s="253">
        <v>3</v>
      </c>
      <c r="M331" s="253">
        <f>J331-I331</f>
        <v>14</v>
      </c>
      <c r="N331" s="254" t="s">
        <v>945</v>
      </c>
      <c r="O331" s="116"/>
      <c r="P331" s="116"/>
      <c r="Q331" s="116"/>
      <c r="R331" s="116"/>
      <c r="S331" s="116">
        <v>1</v>
      </c>
      <c r="T331" s="116">
        <v>1</v>
      </c>
      <c r="U331" s="116">
        <v>1</v>
      </c>
      <c r="V331" s="116">
        <v>1</v>
      </c>
      <c r="W331" s="116">
        <v>0</v>
      </c>
      <c r="X331" s="116">
        <v>1</v>
      </c>
      <c r="Y331" s="116">
        <v>2</v>
      </c>
      <c r="Z331" s="116" t="s">
        <v>321</v>
      </c>
      <c r="AA331" s="116">
        <v>3</v>
      </c>
      <c r="AB331" s="116">
        <f>_xlfn.IFS(AT331&gt;51,3,AT331&gt;=34,2,AT331&lt;34,1)</f>
        <v>1</v>
      </c>
      <c r="AC331" s="116">
        <f>_xlfn.IFS(AS331&gt;35,1,AS331&gt;=28,2,AS331&lt;28,3)</f>
        <v>2</v>
      </c>
      <c r="AD331" s="114">
        <f>_xlfn.IFS(AR331&gt;2.3,3,AR331&gt;=1.7,2,AR331&lt;1.7,1)</f>
        <v>1</v>
      </c>
      <c r="AE331" s="116">
        <f>Y331+AA331+AB331+AC331+AD331</f>
        <v>9</v>
      </c>
      <c r="AF331" s="116" t="s">
        <v>63</v>
      </c>
      <c r="AG331" s="114">
        <f>AT331/17.1</f>
        <v>1.87719298245614</v>
      </c>
      <c r="AH331" s="114">
        <f>AU331/88.4</f>
        <v>0.588235294117647</v>
      </c>
      <c r="AI331" s="114">
        <f>AR331</f>
        <v>1.59</v>
      </c>
      <c r="AJ331" s="159">
        <f>LN(IF(AG331&gt;=1,AG331,1))*3.8+LN(IF(AH331&gt;=1,AH331,1))*9.6+11.2*LN(IF(AI331&gt;=1,AI331,1))+6.4*AN331</f>
        <v>7.58697573498392</v>
      </c>
      <c r="AK331" s="160">
        <f>IF(AND(AG331&gt;0,AH331&gt;0,AI331&gt;0),AJ331,"")</f>
        <v>7.58697573498392</v>
      </c>
      <c r="AL331" s="160">
        <f>AK331+1.59*(135-AM331)</f>
        <v>7.58697573498392</v>
      </c>
      <c r="AM331" s="160">
        <f>IF(AV331&gt;135,135,IF(AV331&lt;120,120,AV331))</f>
        <v>135</v>
      </c>
      <c r="AN331" s="116"/>
      <c r="AO331" s="116"/>
      <c r="AP331" s="116">
        <v>4.67</v>
      </c>
      <c r="AQ331" s="116">
        <v>72</v>
      </c>
      <c r="AR331" s="116">
        <v>1.59</v>
      </c>
      <c r="AS331" s="202">
        <v>29</v>
      </c>
      <c r="AT331" s="203">
        <v>32.1</v>
      </c>
      <c r="AU331" s="116">
        <v>52</v>
      </c>
      <c r="AV331" s="116">
        <v>148</v>
      </c>
      <c r="AZ331" s="132" t="s">
        <v>946</v>
      </c>
    </row>
    <row r="332" spans="1:52">
      <c r="A332" s="117" t="s">
        <v>153</v>
      </c>
      <c r="B332" s="117" t="s">
        <v>48</v>
      </c>
      <c r="C332" s="117">
        <v>64</v>
      </c>
      <c r="D332" s="135">
        <v>1.65</v>
      </c>
      <c r="E332" s="117">
        <v>60</v>
      </c>
      <c r="F332" s="136">
        <f>E332/(D332*D332)</f>
        <v>22.038567493113</v>
      </c>
      <c r="G332" s="117">
        <v>6</v>
      </c>
      <c r="I332" s="158">
        <v>44441</v>
      </c>
      <c r="J332" s="158">
        <v>44446</v>
      </c>
      <c r="L332" s="137">
        <v>5</v>
      </c>
      <c r="M332" s="138">
        <f>J332-I332</f>
        <v>5</v>
      </c>
      <c r="N332" s="139" t="s">
        <v>947</v>
      </c>
      <c r="O332" s="114">
        <v>1</v>
      </c>
      <c r="P332" s="114"/>
      <c r="Q332" s="114"/>
      <c r="R332" s="114"/>
      <c r="S332" s="114"/>
      <c r="T332" s="114">
        <v>0</v>
      </c>
      <c r="U332" s="114">
        <v>0</v>
      </c>
      <c r="V332" s="114">
        <v>1</v>
      </c>
      <c r="W332" s="114">
        <v>0</v>
      </c>
      <c r="X332" s="114">
        <v>1</v>
      </c>
      <c r="Y332" s="114">
        <v>1</v>
      </c>
      <c r="Z332" s="114" t="s">
        <v>58</v>
      </c>
      <c r="AA332" s="114">
        <v>1</v>
      </c>
      <c r="AB332" s="114">
        <f>_xlfn.IFS(AT332&gt;51,3,AT332&gt;=34,2,AT332&lt;34,1)</f>
        <v>1</v>
      </c>
      <c r="AC332" s="114">
        <f>_xlfn.IFS(AS332&gt;35,1,AS332&gt;=28,2,AS332&lt;28,3)</f>
        <v>1</v>
      </c>
      <c r="AD332" s="114">
        <f>_xlfn.IFS(AR332&gt;2.3,3,AR332&gt;=1.7,2,AR332&lt;1.7,1)</f>
        <v>1</v>
      </c>
      <c r="AE332" s="114">
        <f>Y332+AA332+AB332+AC332+AD332</f>
        <v>5</v>
      </c>
      <c r="AF332" s="116" t="s">
        <v>59</v>
      </c>
      <c r="AG332" s="114">
        <f>AT332/17.1</f>
        <v>0.795321637426901</v>
      </c>
      <c r="AH332" s="114">
        <f>AU332/88.4</f>
        <v>0.735294117647059</v>
      </c>
      <c r="AI332" s="114">
        <f>AR332</f>
        <v>1.25</v>
      </c>
      <c r="AJ332" s="159">
        <f>LN(IF(AG332&gt;=1,AG332,1))*3.8+LN(IF(AH332&gt;=1,AH332,1))*9.6+11.2*LN(IF(AI332&gt;=1,AI332,1))+6.4*AN332</f>
        <v>8.89920777471915</v>
      </c>
      <c r="AK332" s="160">
        <f>IF(AND(AG332&gt;0,AH332&gt;0,AI332&gt;0),AJ332,"")</f>
        <v>8.89920777471915</v>
      </c>
      <c r="AL332" s="160">
        <f>AK332+1.59*(135-AM332)</f>
        <v>8.89920777471915</v>
      </c>
      <c r="AM332" s="160">
        <f>IF(AV332&gt;135,135,IF(AV332&lt;120,120,AV332))</f>
        <v>135</v>
      </c>
      <c r="AN332" s="114">
        <v>1</v>
      </c>
      <c r="AO332" s="114">
        <f>_xlfn.IFS(AJ332&lt;15,1,AJ332=15-18,2,AJ332&gt;18,3)</f>
        <v>1</v>
      </c>
      <c r="AP332" s="114">
        <v>1.22</v>
      </c>
      <c r="AQ332" s="114">
        <v>108</v>
      </c>
      <c r="AR332" s="114">
        <v>1.25</v>
      </c>
      <c r="AS332" s="160">
        <v>39</v>
      </c>
      <c r="AT332" s="161">
        <v>13.6</v>
      </c>
      <c r="AU332" s="114">
        <v>65</v>
      </c>
      <c r="AV332" s="114">
        <v>137</v>
      </c>
      <c r="AZ332" s="119" t="s">
        <v>58</v>
      </c>
    </row>
    <row r="333" s="123" customFormat="1" spans="1:52">
      <c r="A333" s="123" t="s">
        <v>824</v>
      </c>
      <c r="B333" s="123" t="s">
        <v>53</v>
      </c>
      <c r="C333" s="123">
        <v>71</v>
      </c>
      <c r="D333" s="176">
        <v>1.6</v>
      </c>
      <c r="E333" s="123">
        <v>58</v>
      </c>
      <c r="F333" s="189">
        <f>E333/(D333*D333)</f>
        <v>22.65625</v>
      </c>
      <c r="G333" s="123">
        <v>1</v>
      </c>
      <c r="I333" s="177">
        <v>44441</v>
      </c>
      <c r="J333" s="177">
        <v>44446</v>
      </c>
      <c r="L333" s="178">
        <v>2</v>
      </c>
      <c r="M333" s="178">
        <f>J333-I333</f>
        <v>5</v>
      </c>
      <c r="N333" s="179" t="s">
        <v>948</v>
      </c>
      <c r="O333" s="114">
        <v>1</v>
      </c>
      <c r="P333" s="114"/>
      <c r="Q333" s="114"/>
      <c r="R333" s="114"/>
      <c r="S333" s="114"/>
      <c r="T333" s="114">
        <v>0</v>
      </c>
      <c r="U333" s="114">
        <v>0</v>
      </c>
      <c r="V333" s="114">
        <v>1</v>
      </c>
      <c r="W333" s="114">
        <v>0</v>
      </c>
      <c r="X333" s="114">
        <v>1</v>
      </c>
      <c r="Y333" s="114">
        <v>1</v>
      </c>
      <c r="Z333" s="114" t="s">
        <v>58</v>
      </c>
      <c r="AA333" s="114">
        <v>1</v>
      </c>
      <c r="AB333" s="114">
        <f>_xlfn.IFS(AT333&gt;51,3,AT333&gt;=34,2,AT333&lt;34,1)</f>
        <v>1</v>
      </c>
      <c r="AC333" s="114">
        <f>_xlfn.IFS(AS333&gt;35,1,AS333&gt;=28,2,AS333&lt;28,3)</f>
        <v>1</v>
      </c>
      <c r="AD333" s="114">
        <f>_xlfn.IFS(AR333&gt;2.3,3,AR333&gt;=1.7,2,AR333&lt;1.7,1)</f>
        <v>1</v>
      </c>
      <c r="AE333" s="114">
        <f>Y333+AA333+AB333+AC333+AD333</f>
        <v>5</v>
      </c>
      <c r="AF333" s="116" t="s">
        <v>59</v>
      </c>
      <c r="AG333" s="114">
        <f>AT333/17.1</f>
        <v>0.619883040935672</v>
      </c>
      <c r="AH333" s="114">
        <f>AU333/88.4</f>
        <v>0.463800904977376</v>
      </c>
      <c r="AI333" s="114">
        <f>AR333</f>
        <v>1.18</v>
      </c>
      <c r="AJ333" s="159">
        <f t="shared" ref="AJ333:AJ347" si="66">LN(IF(AG333&gt;=1,AG333,1))*3.8+LN(IF(AH333&gt;=1,AH333,1))*9.6+11.2*LN(IF(AI333&gt;=1,AI333,1))+6.4*AN333</f>
        <v>8.25376171094882</v>
      </c>
      <c r="AK333" s="160">
        <f>IF(AND(AG333&gt;0,AH333&gt;0,AI333&gt;0),AJ333,"")</f>
        <v>8.25376171094882</v>
      </c>
      <c r="AL333" s="160">
        <f>AK333+1.59*(135-AM333)</f>
        <v>8.25376171094882</v>
      </c>
      <c r="AM333" s="160">
        <f>IF(AV333&gt;135,135,IF(AV333&lt;120,120,AV333))</f>
        <v>135</v>
      </c>
      <c r="AN333" s="114">
        <v>1</v>
      </c>
      <c r="AO333" s="114">
        <f>_xlfn.IFS(AJ333&lt;15,1,AJ333=15-18,2,AJ333&gt;18,3)</f>
        <v>1</v>
      </c>
      <c r="AP333" s="114">
        <v>2.59</v>
      </c>
      <c r="AQ333" s="114">
        <v>81</v>
      </c>
      <c r="AR333" s="114">
        <v>1.18</v>
      </c>
      <c r="AS333" s="160">
        <v>37</v>
      </c>
      <c r="AT333" s="161">
        <v>10.6</v>
      </c>
      <c r="AU333" s="114">
        <v>41</v>
      </c>
      <c r="AV333" s="114">
        <v>139</v>
      </c>
      <c r="AZ333" s="132" t="s">
        <v>949</v>
      </c>
    </row>
    <row r="334" s="125" customFormat="1" spans="1:52">
      <c r="A334" s="125" t="s">
        <v>950</v>
      </c>
      <c r="B334" s="125" t="s">
        <v>53</v>
      </c>
      <c r="C334" s="125">
        <v>78</v>
      </c>
      <c r="D334" s="185">
        <v>1.56</v>
      </c>
      <c r="E334" s="125">
        <v>40</v>
      </c>
      <c r="F334" s="216">
        <f>E334/(D334*D334)</f>
        <v>16.4365548980934</v>
      </c>
      <c r="G334" s="125">
        <v>6</v>
      </c>
      <c r="I334" s="186">
        <v>44721</v>
      </c>
      <c r="J334" s="186">
        <v>44727</v>
      </c>
      <c r="K334" s="255" t="s">
        <v>951</v>
      </c>
      <c r="L334" s="187">
        <v>7</v>
      </c>
      <c r="M334" s="187">
        <v>6</v>
      </c>
      <c r="N334" s="188" t="s">
        <v>952</v>
      </c>
      <c r="O334" s="114">
        <v>1</v>
      </c>
      <c r="P334" s="114"/>
      <c r="Q334" s="114"/>
      <c r="R334" s="114"/>
      <c r="S334" s="114"/>
      <c r="T334" s="114">
        <v>1</v>
      </c>
      <c r="U334" s="114">
        <v>0</v>
      </c>
      <c r="V334" s="114"/>
      <c r="W334" s="114"/>
      <c r="X334" s="114"/>
      <c r="Y334" s="114">
        <v>1</v>
      </c>
      <c r="Z334" s="114" t="s">
        <v>321</v>
      </c>
      <c r="AA334" s="114">
        <v>3</v>
      </c>
      <c r="AB334" s="114">
        <f>_xlfn.IFS(AT334&gt;51,3,AT334&gt;=34,2,AT334&lt;34,1)</f>
        <v>1</v>
      </c>
      <c r="AC334" s="114">
        <f>_xlfn.IFS(AS334&gt;35,1,AS334&gt;=28,2,AS334&lt;28,3)</f>
        <v>3</v>
      </c>
      <c r="AD334" s="114">
        <f>_xlfn.IFS(AR334&gt;2.3,3,AR334&gt;=1.7,2,AR334&lt;1.7,1)</f>
        <v>1</v>
      </c>
      <c r="AE334" s="114">
        <f>Y334+AA334+AB334+AC334+AD334</f>
        <v>9</v>
      </c>
      <c r="AF334" s="116" t="s">
        <v>63</v>
      </c>
      <c r="AG334" s="114">
        <f>AT334/17.1</f>
        <v>1.04093567251462</v>
      </c>
      <c r="AH334" s="114">
        <f>AU334/88.4</f>
        <v>1.25565610859729</v>
      </c>
      <c r="AI334" s="114">
        <f>AR334</f>
        <v>1.08</v>
      </c>
      <c r="AJ334" s="159">
        <f t="shared" si="66"/>
        <v>9.59993866114432</v>
      </c>
      <c r="AK334" s="160">
        <f>IF(AND(AG334&gt;0,AH334&gt;0,AI334&gt;0),AJ334,"")</f>
        <v>9.59993866114432</v>
      </c>
      <c r="AL334" s="160">
        <f>AK334+1.59*(135-AM334)</f>
        <v>9.59993866114432</v>
      </c>
      <c r="AM334" s="160">
        <f>IF(AV334&gt;135,135,IF(AV334&lt;120,120,AV334))</f>
        <v>135</v>
      </c>
      <c r="AN334" s="114">
        <v>1</v>
      </c>
      <c r="AO334" s="114">
        <f>_xlfn.IFS(AJ334&lt;15,1,AJ334=15-18,2,AJ334&gt;18,3)</f>
        <v>1</v>
      </c>
      <c r="AP334" s="114">
        <v>11.38</v>
      </c>
      <c r="AQ334" s="114">
        <v>140</v>
      </c>
      <c r="AR334" s="114">
        <v>1.08</v>
      </c>
      <c r="AS334" s="160">
        <v>20</v>
      </c>
      <c r="AT334" s="161">
        <v>17.8</v>
      </c>
      <c r="AU334" s="114">
        <v>111</v>
      </c>
      <c r="AV334" s="114">
        <v>141</v>
      </c>
      <c r="AZ334" s="131" t="s">
        <v>953</v>
      </c>
    </row>
    <row r="335" ht="14" customHeight="1" spans="1:52">
      <c r="A335" s="256" t="s">
        <v>954</v>
      </c>
      <c r="B335" s="117" t="s">
        <v>48</v>
      </c>
      <c r="C335" s="117">
        <v>54</v>
      </c>
      <c r="D335" s="135">
        <v>1.72</v>
      </c>
      <c r="E335" s="117">
        <v>75</v>
      </c>
      <c r="F335" s="136">
        <v>25.35</v>
      </c>
      <c r="G335" s="117">
        <v>6</v>
      </c>
      <c r="I335" s="158">
        <v>44714</v>
      </c>
      <c r="J335" s="158">
        <v>44723</v>
      </c>
      <c r="L335" s="137">
        <v>1</v>
      </c>
      <c r="M335" s="138">
        <v>9</v>
      </c>
      <c r="N335" s="139" t="s">
        <v>955</v>
      </c>
      <c r="O335" s="114"/>
      <c r="P335" s="114">
        <v>1</v>
      </c>
      <c r="Q335" s="114"/>
      <c r="R335" s="114"/>
      <c r="S335" s="114"/>
      <c r="T335" s="114">
        <v>1</v>
      </c>
      <c r="U335" s="114">
        <v>0</v>
      </c>
      <c r="V335" s="114">
        <v>1</v>
      </c>
      <c r="W335" s="114">
        <v>0</v>
      </c>
      <c r="X335" s="114">
        <v>1</v>
      </c>
      <c r="Y335" s="114">
        <v>1</v>
      </c>
      <c r="Z335" s="114" t="s">
        <v>307</v>
      </c>
      <c r="AA335" s="114">
        <v>3</v>
      </c>
      <c r="AB335" s="114">
        <f>_xlfn.IFS(AT335&gt;51,3,AT335&gt;=34,2,AT335&lt;34,1)</f>
        <v>2</v>
      </c>
      <c r="AC335" s="114">
        <f>_xlfn.IFS(AS335&gt;35,1,AS335&gt;=28,2,AS335&lt;28,3)</f>
        <v>3</v>
      </c>
      <c r="AD335" s="114">
        <f>_xlfn.IFS(AR335&gt;2.3,3,AR335&gt;=1.7,2,AR335&lt;1.7,1)</f>
        <v>1</v>
      </c>
      <c r="AE335" s="114">
        <f>Y335+AA335+AB335+AC335+AD335</f>
        <v>10</v>
      </c>
      <c r="AF335" s="116" t="s">
        <v>50</v>
      </c>
      <c r="AG335" s="114">
        <f>AT335/17.1</f>
        <v>2.59649122807017</v>
      </c>
      <c r="AH335" s="114">
        <f>AU335/88.4</f>
        <v>0.554298642533937</v>
      </c>
      <c r="AI335" s="114">
        <f>AR335</f>
        <v>1.41</v>
      </c>
      <c r="AJ335" s="159">
        <f t="shared" si="66"/>
        <v>7.47401651170121</v>
      </c>
      <c r="AK335" s="160">
        <f>IF(AND(AG335&gt;0,AH335&gt;0,AI335&gt;0),AJ335,"")</f>
        <v>7.47401651170121</v>
      </c>
      <c r="AL335" s="160">
        <f>AK335+1.59*(135-AM335)</f>
        <v>15.4240165117012</v>
      </c>
      <c r="AM335" s="160">
        <f>IF(AV335&gt;135,135,IF(AV335&lt;120,120,AV335))</f>
        <v>130</v>
      </c>
      <c r="AN335" s="114">
        <v>0</v>
      </c>
      <c r="AO335" s="114">
        <f>_xlfn.IFS(AJ335&lt;15,1,AJ335=15-18,2,AJ335&gt;18,3)</f>
        <v>1</v>
      </c>
      <c r="AP335" s="114">
        <v>7.74</v>
      </c>
      <c r="AQ335" s="114">
        <v>131</v>
      </c>
      <c r="AR335" s="114">
        <v>1.41</v>
      </c>
      <c r="AS335" s="160">
        <v>26</v>
      </c>
      <c r="AT335" s="161">
        <v>44.4</v>
      </c>
      <c r="AU335" s="114">
        <v>49</v>
      </c>
      <c r="AV335" s="114">
        <v>130</v>
      </c>
      <c r="AZ335" s="119" t="s">
        <v>956</v>
      </c>
    </row>
    <row r="336" s="124" customFormat="1" ht="14" customHeight="1" spans="1:52">
      <c r="A336" s="124" t="s">
        <v>957</v>
      </c>
      <c r="B336" s="124" t="s">
        <v>53</v>
      </c>
      <c r="C336" s="124">
        <v>64</v>
      </c>
      <c r="D336" s="180">
        <v>1.62</v>
      </c>
      <c r="E336" s="124">
        <v>59</v>
      </c>
      <c r="F336" s="181">
        <v>22.48</v>
      </c>
      <c r="G336" s="124">
        <v>3</v>
      </c>
      <c r="I336" s="182">
        <v>44712</v>
      </c>
      <c r="J336" s="182">
        <v>44730</v>
      </c>
      <c r="L336" s="183">
        <v>1</v>
      </c>
      <c r="M336" s="183">
        <v>18</v>
      </c>
      <c r="N336" s="184" t="s">
        <v>958</v>
      </c>
      <c r="O336" s="114"/>
      <c r="P336" s="114"/>
      <c r="Q336" s="114">
        <v>1</v>
      </c>
      <c r="R336" s="114">
        <v>1</v>
      </c>
      <c r="S336" s="114"/>
      <c r="T336" s="114">
        <v>1</v>
      </c>
      <c r="U336" s="114">
        <v>0</v>
      </c>
      <c r="V336" s="114">
        <v>1</v>
      </c>
      <c r="W336" s="114">
        <v>0</v>
      </c>
      <c r="X336" s="114">
        <v>1</v>
      </c>
      <c r="Y336" s="114">
        <v>1</v>
      </c>
      <c r="Z336" s="114" t="s">
        <v>300</v>
      </c>
      <c r="AA336" s="114">
        <v>2</v>
      </c>
      <c r="AB336" s="114">
        <f>_xlfn.IFS(AT336&gt;51,3,AT336&gt;=34,2,AT336&lt;34,1)</f>
        <v>3</v>
      </c>
      <c r="AC336" s="114">
        <f>_xlfn.IFS(AS336&gt;35,1,AS336&gt;=28,2,AS336&lt;28,3)</f>
        <v>3</v>
      </c>
      <c r="AD336" s="114">
        <f>_xlfn.IFS(AR336&gt;2.3,3,AR336&gt;=1.7,2,AR336&lt;1.7,1)</f>
        <v>1</v>
      </c>
      <c r="AE336" s="114">
        <f>Y336+AA336+AB336+AC336+AD336</f>
        <v>10</v>
      </c>
      <c r="AF336" s="116" t="s">
        <v>50</v>
      </c>
      <c r="AG336" s="114">
        <f>AT336/17.1</f>
        <v>5.0233918128655</v>
      </c>
      <c r="AH336" s="114">
        <f>AU336/88.4</f>
        <v>0.441176470588235</v>
      </c>
      <c r="AI336" s="114">
        <f>AR336</f>
        <v>1.37</v>
      </c>
      <c r="AJ336" s="159">
        <f t="shared" si="66"/>
        <v>9.65948067503844</v>
      </c>
      <c r="AK336" s="160">
        <f>IF(AND(AG336&gt;0,AH336&gt;0,AI336&gt;0),AJ336,"")</f>
        <v>9.65948067503844</v>
      </c>
      <c r="AL336" s="160">
        <f>AK336+1.59*(135-AM336)</f>
        <v>9.65948067503844</v>
      </c>
      <c r="AM336" s="160">
        <f>IF(AV336&gt;135,135,IF(AV336&lt;120,120,AV336))</f>
        <v>135</v>
      </c>
      <c r="AN336" s="114">
        <v>0</v>
      </c>
      <c r="AO336" s="114">
        <v>1</v>
      </c>
      <c r="AP336" s="114">
        <v>3.87</v>
      </c>
      <c r="AQ336" s="114">
        <v>81</v>
      </c>
      <c r="AR336" s="114">
        <v>1.37</v>
      </c>
      <c r="AS336" s="160">
        <v>25</v>
      </c>
      <c r="AT336" s="161">
        <v>85.9</v>
      </c>
      <c r="AU336" s="114">
        <v>39</v>
      </c>
      <c r="AV336" s="114">
        <v>143</v>
      </c>
      <c r="AZ336" s="127" t="s">
        <v>959</v>
      </c>
    </row>
    <row r="337" spans="1:52">
      <c r="A337" s="117" t="s">
        <v>187</v>
      </c>
      <c r="B337" s="117" t="s">
        <v>53</v>
      </c>
      <c r="C337" s="117">
        <v>56</v>
      </c>
      <c r="D337" s="135">
        <v>1.67</v>
      </c>
      <c r="E337" s="117">
        <v>53</v>
      </c>
      <c r="F337" s="136">
        <v>19</v>
      </c>
      <c r="G337" s="117">
        <v>1</v>
      </c>
      <c r="I337" s="158">
        <v>44716</v>
      </c>
      <c r="J337" s="158">
        <v>44733</v>
      </c>
      <c r="L337" s="137">
        <v>5</v>
      </c>
      <c r="M337" s="138">
        <v>17</v>
      </c>
      <c r="N337" s="139" t="s">
        <v>960</v>
      </c>
      <c r="O337" s="114">
        <v>1</v>
      </c>
      <c r="P337" s="114"/>
      <c r="Q337" s="114"/>
      <c r="R337" s="114"/>
      <c r="S337" s="114"/>
      <c r="T337" s="114">
        <v>1</v>
      </c>
      <c r="U337" s="114">
        <v>0</v>
      </c>
      <c r="V337" s="114">
        <v>1</v>
      </c>
      <c r="W337" s="114">
        <v>0</v>
      </c>
      <c r="X337" s="114">
        <v>1</v>
      </c>
      <c r="Y337" s="114">
        <v>1</v>
      </c>
      <c r="Z337" s="114" t="s">
        <v>300</v>
      </c>
      <c r="AA337" s="114">
        <v>2</v>
      </c>
      <c r="AB337" s="114">
        <f>_xlfn.IFS(AT337&gt;51,3,AT337&gt;=34,2,AT337&lt;34,1)</f>
        <v>1</v>
      </c>
      <c r="AC337" s="114">
        <f>_xlfn.IFS(AS337&gt;35,1,AS337&gt;=28,2,AS337&lt;28,3)</f>
        <v>2</v>
      </c>
      <c r="AD337" s="114">
        <f>_xlfn.IFS(AR337&gt;2.3,3,AR337&gt;=1.7,2,AR337&lt;1.7,1)</f>
        <v>1</v>
      </c>
      <c r="AE337" s="114">
        <f>Y337+AA337+AB337+AC337+AD337</f>
        <v>7</v>
      </c>
      <c r="AF337" s="116" t="s">
        <v>63</v>
      </c>
      <c r="AG337" s="114">
        <f>AT337/17.1</f>
        <v>0.596491228070175</v>
      </c>
      <c r="AH337" s="114">
        <f>AU337/88.4</f>
        <v>0.463800904977376</v>
      </c>
      <c r="AI337" s="114">
        <f>AR337</f>
        <v>1.2</v>
      </c>
      <c r="AJ337" s="159">
        <f t="shared" si="66"/>
        <v>2.04200143609229</v>
      </c>
      <c r="AK337" s="160">
        <f>IF(AND(AG337&gt;0,AH337&gt;0,AI337&gt;0),AJ337,"")</f>
        <v>2.04200143609229</v>
      </c>
      <c r="AL337" s="160">
        <f>AK337+1.59*(135-AM337)</f>
        <v>2.04200143609229</v>
      </c>
      <c r="AM337" s="160">
        <f>IF(AV337&gt;135,135,IF(AV337&lt;120,120,AV337))</f>
        <v>135</v>
      </c>
      <c r="AN337" s="114"/>
      <c r="AO337" s="114"/>
      <c r="AP337" s="114">
        <v>2.22</v>
      </c>
      <c r="AQ337" s="114">
        <v>82</v>
      </c>
      <c r="AR337" s="114">
        <v>1.2</v>
      </c>
      <c r="AS337" s="160">
        <v>35</v>
      </c>
      <c r="AT337" s="161">
        <v>10.2</v>
      </c>
      <c r="AU337" s="114">
        <v>41</v>
      </c>
      <c r="AV337" s="114">
        <v>143</v>
      </c>
      <c r="AZ337" s="119" t="s">
        <v>961</v>
      </c>
    </row>
    <row r="338" spans="1:52">
      <c r="A338" s="117" t="s">
        <v>413</v>
      </c>
      <c r="B338" s="117" t="s">
        <v>48</v>
      </c>
      <c r="C338" s="117">
        <v>43</v>
      </c>
      <c r="D338" s="135">
        <v>1.65</v>
      </c>
      <c r="E338" s="117">
        <v>77.5</v>
      </c>
      <c r="F338" s="136">
        <v>33.84</v>
      </c>
      <c r="G338" s="117">
        <v>3</v>
      </c>
      <c r="I338" s="158">
        <v>44685</v>
      </c>
      <c r="J338" s="158">
        <v>44697</v>
      </c>
      <c r="L338" s="137">
        <v>3</v>
      </c>
      <c r="M338" s="137">
        <v>12</v>
      </c>
      <c r="N338" s="139" t="s">
        <v>962</v>
      </c>
      <c r="O338" s="114">
        <v>1</v>
      </c>
      <c r="P338" s="114"/>
      <c r="Q338" s="114"/>
      <c r="R338" s="114"/>
      <c r="S338" s="114"/>
      <c r="T338" s="114">
        <v>1</v>
      </c>
      <c r="U338" s="114"/>
      <c r="V338" s="114">
        <v>1</v>
      </c>
      <c r="W338" s="114"/>
      <c r="X338" s="114">
        <v>1</v>
      </c>
      <c r="Y338" s="114">
        <v>0</v>
      </c>
      <c r="Z338" s="114" t="s">
        <v>321</v>
      </c>
      <c r="AA338" s="114">
        <v>3</v>
      </c>
      <c r="AB338" s="114">
        <f>_xlfn.IFS(AT338&gt;51,3,AT338&gt;=34,2,AT338&lt;34,1)</f>
        <v>1</v>
      </c>
      <c r="AC338" s="114">
        <f>_xlfn.IFS(AS338&gt;35,1,AS338&gt;=28,2,AS338&lt;28,3)</f>
        <v>2</v>
      </c>
      <c r="AD338" s="114">
        <f>_xlfn.IFS(AR338&gt;2.3,3,AR338&gt;=1.7,2,AR338&lt;1.7,1)</f>
        <v>1</v>
      </c>
      <c r="AE338" s="114">
        <f>Y338+AA338+AB338+AC338+AD338</f>
        <v>7</v>
      </c>
      <c r="AF338" s="116" t="s">
        <v>63</v>
      </c>
      <c r="AG338" s="114">
        <f>AT338/17.1</f>
        <v>1.50292397660819</v>
      </c>
      <c r="AH338" s="114">
        <f>AU338/88.4</f>
        <v>0.984162895927602</v>
      </c>
      <c r="AI338" s="114">
        <f>AR338</f>
        <v>1.49</v>
      </c>
      <c r="AJ338" s="159">
        <f t="shared" si="66"/>
        <v>6.01446015141425</v>
      </c>
      <c r="AK338" s="160">
        <f>IF(AND(AG338&gt;0,AH338&gt;0,AI338&gt;0),AJ338,"")</f>
        <v>6.01446015141425</v>
      </c>
      <c r="AL338" s="160">
        <f>AK338+1.59*(135-AM338)</f>
        <v>6.01446015141425</v>
      </c>
      <c r="AM338" s="160">
        <f>IF(AV338&gt;135,135,IF(AV338&lt;120,120,AV338))</f>
        <v>135</v>
      </c>
      <c r="AN338" s="114"/>
      <c r="AO338" s="114"/>
      <c r="AP338" s="114">
        <v>2.51</v>
      </c>
      <c r="AQ338" s="114">
        <v>84</v>
      </c>
      <c r="AR338" s="114">
        <v>1.49</v>
      </c>
      <c r="AS338" s="160">
        <v>30</v>
      </c>
      <c r="AT338" s="161">
        <v>25.7</v>
      </c>
      <c r="AU338" s="114">
        <v>87</v>
      </c>
      <c r="AV338" s="114">
        <v>139</v>
      </c>
      <c r="AZ338" s="119" t="s">
        <v>963</v>
      </c>
    </row>
    <row r="339" spans="1:52">
      <c r="A339" s="117" t="s">
        <v>964</v>
      </c>
      <c r="B339" s="117" t="s">
        <v>53</v>
      </c>
      <c r="C339" s="117">
        <v>65</v>
      </c>
      <c r="D339" s="135">
        <v>1.5</v>
      </c>
      <c r="E339" s="117">
        <v>65</v>
      </c>
      <c r="F339" s="136">
        <v>28.89</v>
      </c>
      <c r="G339" s="117">
        <v>2</v>
      </c>
      <c r="I339" s="158">
        <v>44683</v>
      </c>
      <c r="J339" s="158">
        <v>44701</v>
      </c>
      <c r="L339" s="137">
        <v>2</v>
      </c>
      <c r="M339" s="137">
        <v>18</v>
      </c>
      <c r="N339" s="139" t="s">
        <v>965</v>
      </c>
      <c r="O339" s="114"/>
      <c r="P339" s="114"/>
      <c r="Q339" s="114">
        <v>1</v>
      </c>
      <c r="R339" s="114"/>
      <c r="S339" s="114"/>
      <c r="T339" s="114">
        <v>0</v>
      </c>
      <c r="U339" s="114">
        <v>1</v>
      </c>
      <c r="V339" s="114">
        <v>1</v>
      </c>
      <c r="W339" s="114">
        <v>0</v>
      </c>
      <c r="X339" s="114">
        <v>1</v>
      </c>
      <c r="Y339" s="114">
        <v>2</v>
      </c>
      <c r="Z339" s="116" t="s">
        <v>58</v>
      </c>
      <c r="AA339" s="114">
        <v>1</v>
      </c>
      <c r="AB339" s="114">
        <f>_xlfn.IFS(AT339&gt;51,3,AT339&gt;=34,2,AT339&lt;34,1)</f>
        <v>1</v>
      </c>
      <c r="AC339" s="114">
        <f>_xlfn.IFS(AS339&gt;35,1,AS339&gt;=28,2,AS339&lt;28,3)</f>
        <v>2</v>
      </c>
      <c r="AD339" s="114">
        <f>_xlfn.IFS(AR339&gt;2.3,3,AR339&gt;=1.7,2,AR339&lt;1.7,1)</f>
        <v>1</v>
      </c>
      <c r="AE339" s="114">
        <f>Y339+AA339+AB339+AC339+AD339</f>
        <v>7</v>
      </c>
      <c r="AF339" s="116" t="s">
        <v>63</v>
      </c>
      <c r="AG339" s="114">
        <f>AT339/17.1</f>
        <v>1.74853801169591</v>
      </c>
      <c r="AH339" s="114">
        <f>AU339/88.4</f>
        <v>0.791855203619909</v>
      </c>
      <c r="AI339" s="114">
        <f>AR339</f>
        <v>1.28</v>
      </c>
      <c r="AJ339" s="159">
        <f t="shared" si="66"/>
        <v>4.88819693700759</v>
      </c>
      <c r="AK339" s="160">
        <f>IF(AND(AG339&gt;0,AH339&gt;0,AI339&gt;0),AJ339,"")</f>
        <v>4.88819693700759</v>
      </c>
      <c r="AL339" s="160">
        <f>AK339+1.59*(135-AM339)</f>
        <v>4.88819693700759</v>
      </c>
      <c r="AM339" s="160">
        <f>IF(AV339&gt;135,135,IF(AV339&lt;120,120,AV339))</f>
        <v>135</v>
      </c>
      <c r="AN339" s="114"/>
      <c r="AO339" s="114"/>
      <c r="AP339" s="114">
        <v>5.64</v>
      </c>
      <c r="AQ339" s="114">
        <v>112</v>
      </c>
      <c r="AR339" s="114">
        <v>1.28</v>
      </c>
      <c r="AS339" s="160">
        <v>29</v>
      </c>
      <c r="AT339" s="161">
        <v>29.9</v>
      </c>
      <c r="AU339" s="114">
        <v>70</v>
      </c>
      <c r="AV339" s="114">
        <v>137</v>
      </c>
      <c r="AZ339" s="119" t="s">
        <v>966</v>
      </c>
    </row>
    <row r="340" spans="1:52">
      <c r="A340" s="117" t="s">
        <v>967</v>
      </c>
      <c r="B340" s="117" t="s">
        <v>53</v>
      </c>
      <c r="C340" s="117">
        <v>76</v>
      </c>
      <c r="D340" s="135">
        <v>1.6</v>
      </c>
      <c r="E340" s="117">
        <v>65</v>
      </c>
      <c r="F340" s="136">
        <v>25.39</v>
      </c>
      <c r="G340" s="117">
        <v>2</v>
      </c>
      <c r="I340" s="158">
        <v>44673</v>
      </c>
      <c r="J340" s="158">
        <v>44688</v>
      </c>
      <c r="L340" s="137">
        <v>1</v>
      </c>
      <c r="M340" s="138">
        <v>15</v>
      </c>
      <c r="N340" s="139" t="s">
        <v>968</v>
      </c>
      <c r="O340" s="114"/>
      <c r="P340" s="114"/>
      <c r="Q340" s="114">
        <v>1</v>
      </c>
      <c r="R340" s="114"/>
      <c r="S340" s="114"/>
      <c r="T340" s="114">
        <v>1</v>
      </c>
      <c r="U340" s="114">
        <v>0</v>
      </c>
      <c r="V340" s="114">
        <v>1</v>
      </c>
      <c r="W340" s="114">
        <v>0</v>
      </c>
      <c r="X340" s="114">
        <v>1</v>
      </c>
      <c r="Y340" s="114">
        <v>1</v>
      </c>
      <c r="Z340" s="114" t="s">
        <v>300</v>
      </c>
      <c r="AA340" s="114">
        <v>2</v>
      </c>
      <c r="AB340" s="114">
        <f>_xlfn.IFS(AT340&gt;51,3,AT340&gt;=34,2,AT340&lt;34,1)</f>
        <v>2</v>
      </c>
      <c r="AC340" s="114">
        <f>_xlfn.IFS(AS340&gt;35,1,AS340&gt;=28,2,AS340&lt;28,3)</f>
        <v>3</v>
      </c>
      <c r="AD340" s="114">
        <f>_xlfn.IFS(AR340&gt;2.3,3,AR340&gt;=1.7,2,AR340&lt;1.7,1)</f>
        <v>1</v>
      </c>
      <c r="AE340" s="114">
        <f>Y340+AA340+AB340+AC340+AD340</f>
        <v>9</v>
      </c>
      <c r="AF340" s="116" t="s">
        <v>63</v>
      </c>
      <c r="AG340" s="114">
        <f>AT340/17.1</f>
        <v>2.41520467836257</v>
      </c>
      <c r="AH340" s="114">
        <f>AU340/88.4</f>
        <v>0.904977375565611</v>
      </c>
      <c r="AI340" s="114">
        <f>AR340</f>
        <v>1.2</v>
      </c>
      <c r="AJ340" s="159">
        <f t="shared" si="66"/>
        <v>5.39278077463411</v>
      </c>
      <c r="AK340" s="160">
        <f>IF(AND(AG340&gt;0,AH340&gt;0,AI340&gt;0),AJ340,"")</f>
        <v>5.39278077463411</v>
      </c>
      <c r="AL340" s="160">
        <f>AK340+1.59*(135-AM340)</f>
        <v>5.39278077463411</v>
      </c>
      <c r="AM340" s="160">
        <f>IF(AV340&gt;135,135,IF(AV340&lt;120,120,AV340))</f>
        <v>135</v>
      </c>
      <c r="AN340" s="114"/>
      <c r="AO340" s="114"/>
      <c r="AP340" s="114">
        <v>11.27</v>
      </c>
      <c r="AQ340" s="114">
        <v>65</v>
      </c>
      <c r="AR340" s="114">
        <v>1.2</v>
      </c>
      <c r="AS340" s="160">
        <v>23</v>
      </c>
      <c r="AT340" s="161">
        <v>41.3</v>
      </c>
      <c r="AU340" s="114">
        <v>80</v>
      </c>
      <c r="AV340" s="114">
        <v>151</v>
      </c>
      <c r="AZ340" s="119" t="s">
        <v>969</v>
      </c>
    </row>
    <row r="341" spans="1:52">
      <c r="A341" s="117" t="s">
        <v>970</v>
      </c>
      <c r="B341" s="117" t="s">
        <v>53</v>
      </c>
      <c r="C341" s="117">
        <v>67</v>
      </c>
      <c r="D341" s="135">
        <v>1.62</v>
      </c>
      <c r="E341" s="117">
        <v>60</v>
      </c>
      <c r="F341" s="136">
        <v>22.86</v>
      </c>
      <c r="G341" s="117">
        <v>2</v>
      </c>
      <c r="I341" s="158">
        <v>44670</v>
      </c>
      <c r="J341" s="158">
        <v>44683</v>
      </c>
      <c r="L341" s="137">
        <v>1</v>
      </c>
      <c r="M341" s="137">
        <v>13</v>
      </c>
      <c r="N341" s="139" t="s">
        <v>971</v>
      </c>
      <c r="O341" s="114"/>
      <c r="P341" s="114"/>
      <c r="Q341" s="114">
        <v>1</v>
      </c>
      <c r="R341" s="114"/>
      <c r="S341" s="114"/>
      <c r="T341" s="114">
        <v>1</v>
      </c>
      <c r="U341" s="114">
        <v>0</v>
      </c>
      <c r="V341" s="114">
        <v>1</v>
      </c>
      <c r="W341" s="114">
        <v>0</v>
      </c>
      <c r="X341" s="114">
        <v>1</v>
      </c>
      <c r="Y341" s="114">
        <v>1</v>
      </c>
      <c r="Z341" s="114" t="s">
        <v>300</v>
      </c>
      <c r="AA341" s="114">
        <v>2</v>
      </c>
      <c r="AB341" s="114">
        <f>_xlfn.IFS(AT341&gt;51,3,AT341&gt;=34,2,AT341&lt;34,1)</f>
        <v>1</v>
      </c>
      <c r="AC341" s="114">
        <f>_xlfn.IFS(AS341&gt;35,1,AS341&gt;=28,2,AS341&lt;28,3)</f>
        <v>2</v>
      </c>
      <c r="AD341" s="114">
        <f>_xlfn.IFS(AR341&gt;2.3,3,AR341&gt;=1.7,2,AR341&lt;1.7,1)</f>
        <v>1</v>
      </c>
      <c r="AE341" s="114">
        <f>Y341+AA341+AB341+AC341+AD341</f>
        <v>7</v>
      </c>
      <c r="AF341" s="116" t="s">
        <v>63</v>
      </c>
      <c r="AG341" s="114">
        <f>AT341/17.1</f>
        <v>1.03508771929825</v>
      </c>
      <c r="AH341" s="114">
        <f>AU341/88.4</f>
        <v>0.565610859728507</v>
      </c>
      <c r="AI341" s="114">
        <f>AR341</f>
        <v>1.21</v>
      </c>
      <c r="AJ341" s="159">
        <f>LN(IF(AG341&gt;=1,AG341,1))*3.8+LN(IF(AH341&gt;=1,AH341,1))*9.6+11.2*LN(IF(AI341&gt;=1,AI341,1))+6.4*AN341</f>
        <v>2.26599549668732</v>
      </c>
      <c r="AK341" s="160">
        <f>IF(AND(AG341&gt;0,AH341&gt;0,AI341&gt;0),AJ341,"")</f>
        <v>2.26599549668732</v>
      </c>
      <c r="AL341" s="160">
        <f>AK341+1.59*(135-AM341)</f>
        <v>2.26599549668732</v>
      </c>
      <c r="AM341" s="160">
        <f>IF(AV341&gt;135,135,IF(AV341&lt;120,120,AV341))</f>
        <v>135</v>
      </c>
      <c r="AN341" s="114"/>
      <c r="AO341" s="114"/>
      <c r="AP341" s="114">
        <v>10.43</v>
      </c>
      <c r="AQ341" s="114">
        <v>133</v>
      </c>
      <c r="AR341" s="114">
        <v>1.21</v>
      </c>
      <c r="AS341" s="160">
        <v>34</v>
      </c>
      <c r="AT341" s="161">
        <v>17.7</v>
      </c>
      <c r="AU341" s="114">
        <v>50</v>
      </c>
      <c r="AV341" s="114">
        <v>141</v>
      </c>
      <c r="AZ341" s="119" t="s">
        <v>972</v>
      </c>
    </row>
    <row r="342" spans="1:52">
      <c r="A342" s="117" t="s">
        <v>973</v>
      </c>
      <c r="B342" s="117" t="s">
        <v>53</v>
      </c>
      <c r="C342" s="117">
        <v>65</v>
      </c>
      <c r="D342" s="135">
        <v>1.6</v>
      </c>
      <c r="E342" s="117">
        <v>50</v>
      </c>
      <c r="F342" s="136">
        <v>19.53</v>
      </c>
      <c r="G342" s="117">
        <v>2</v>
      </c>
      <c r="I342" s="158">
        <v>44669</v>
      </c>
      <c r="J342" s="158">
        <v>44688</v>
      </c>
      <c r="L342" s="137">
        <v>2</v>
      </c>
      <c r="M342" s="137">
        <v>19</v>
      </c>
      <c r="N342" s="139" t="s">
        <v>974</v>
      </c>
      <c r="O342" s="114"/>
      <c r="P342" s="114"/>
      <c r="Q342" s="114">
        <v>1</v>
      </c>
      <c r="R342" s="114"/>
      <c r="S342" s="114"/>
      <c r="T342" s="114">
        <v>0</v>
      </c>
      <c r="U342" s="114">
        <v>0</v>
      </c>
      <c r="V342" s="114">
        <v>0</v>
      </c>
      <c r="W342" s="114">
        <v>0</v>
      </c>
      <c r="X342" s="114">
        <v>1</v>
      </c>
      <c r="Y342" s="114">
        <v>1</v>
      </c>
      <c r="Z342" s="114" t="s">
        <v>58</v>
      </c>
      <c r="AA342" s="114">
        <v>1</v>
      </c>
      <c r="AB342" s="114">
        <f>_xlfn.IFS(AT342&gt;51,3,AT342&gt;=34,2,AT342&lt;34,1)</f>
        <v>1</v>
      </c>
      <c r="AC342" s="114">
        <f>_xlfn.IFS(AS342&gt;35,1,AS342&gt;=28,2,AS342&lt;28,3)</f>
        <v>2</v>
      </c>
      <c r="AD342" s="114">
        <f>_xlfn.IFS(AR342&gt;2.3,3,AR342&gt;=1.7,2,AR342&lt;1.7,1)</f>
        <v>1</v>
      </c>
      <c r="AE342" s="114">
        <f>Y342+AA342+AB342+AC342+AD342</f>
        <v>6</v>
      </c>
      <c r="AF342" s="116" t="s">
        <v>59</v>
      </c>
      <c r="AG342" s="114">
        <f>AT342/17.1</f>
        <v>0.807017543859649</v>
      </c>
      <c r="AH342" s="114">
        <f>AU342/88.4</f>
        <v>0.542986425339366</v>
      </c>
      <c r="AI342" s="114">
        <f>AR342</f>
        <v>1.12</v>
      </c>
      <c r="AJ342" s="159">
        <f>LN(IF(AG342&gt;=1,AG342,1))*3.8+LN(IF(AH342&gt;=1,AH342,1))*9.6+11.2*LN(IF(AI342&gt;=1,AI342,1))+6.4*AN342</f>
        <v>1.26928127543844</v>
      </c>
      <c r="AK342" s="160">
        <f>IF(AND(AG342&gt;0,AH342&gt;0,AI342&gt;0),AJ342,"")</f>
        <v>1.26928127543844</v>
      </c>
      <c r="AL342" s="160">
        <f>AK342+1.59*(135-AM342)</f>
        <v>1.26928127543844</v>
      </c>
      <c r="AM342" s="160">
        <f>IF(AV342&gt;135,135,IF(AV342&lt;120,120,AV342))</f>
        <v>135</v>
      </c>
      <c r="AN342" s="114"/>
      <c r="AO342" s="114"/>
      <c r="AP342" s="114">
        <v>1.52</v>
      </c>
      <c r="AQ342" s="114">
        <v>60</v>
      </c>
      <c r="AR342" s="114">
        <v>1.12</v>
      </c>
      <c r="AS342" s="160">
        <v>30</v>
      </c>
      <c r="AT342" s="161">
        <v>13.8</v>
      </c>
      <c r="AU342" s="114">
        <v>48</v>
      </c>
      <c r="AV342" s="114">
        <v>141</v>
      </c>
      <c r="AZ342" s="119" t="s">
        <v>975</v>
      </c>
    </row>
    <row r="343" s="125" customFormat="1" spans="1:52">
      <c r="A343" s="125" t="s">
        <v>976</v>
      </c>
      <c r="B343" s="125" t="s">
        <v>53</v>
      </c>
      <c r="C343" s="125">
        <v>69</v>
      </c>
      <c r="D343" s="185">
        <v>1.56</v>
      </c>
      <c r="E343" s="125">
        <v>48.5</v>
      </c>
      <c r="F343" s="216">
        <v>31.58</v>
      </c>
      <c r="G343" s="125">
        <v>5</v>
      </c>
      <c r="H343" s="125"/>
      <c r="I343" s="186">
        <v>44660</v>
      </c>
      <c r="J343" s="186">
        <v>44672</v>
      </c>
      <c r="K343" s="125"/>
      <c r="L343" s="187">
        <v>2</v>
      </c>
      <c r="M343" s="187">
        <v>12</v>
      </c>
      <c r="N343" s="188" t="s">
        <v>977</v>
      </c>
      <c r="O343" s="125"/>
      <c r="P343" s="125">
        <v>1</v>
      </c>
      <c r="Q343" s="125"/>
      <c r="R343" s="125"/>
      <c r="S343" s="125"/>
      <c r="T343" s="125">
        <v>0</v>
      </c>
      <c r="U343" s="125">
        <v>0</v>
      </c>
      <c r="V343" s="125">
        <v>1</v>
      </c>
      <c r="W343" s="125">
        <v>0</v>
      </c>
      <c r="X343" s="125">
        <v>1</v>
      </c>
      <c r="Y343" s="125">
        <v>1</v>
      </c>
      <c r="Z343" s="125" t="s">
        <v>58</v>
      </c>
      <c r="AA343" s="125">
        <v>1</v>
      </c>
      <c r="AB343" s="125">
        <f t="shared" ref="AB343:AB362" si="67">_xlfn.IFS(AT343&gt;51,3,AT343&gt;=34,2,AT343&lt;34,1)</f>
        <v>1</v>
      </c>
      <c r="AC343" s="125">
        <f t="shared" ref="AC343:AC362" si="68">_xlfn.IFS(AS343&gt;35,1,AS343&gt;=28,2,AS343&lt;28,3)</f>
        <v>2</v>
      </c>
      <c r="AD343" s="125">
        <f t="shared" ref="AD343:AD362" si="69">_xlfn.IFS(AR343&gt;2.3,3,AR343&gt;=1.7,2,AR343&lt;1.7,1)</f>
        <v>1</v>
      </c>
      <c r="AE343" s="125">
        <f t="shared" ref="AE343:AE353" si="70">Y343+AA343+AB343+AC343+AD343</f>
        <v>6</v>
      </c>
      <c r="AF343" s="131" t="s">
        <v>59</v>
      </c>
      <c r="AG343" s="125">
        <f t="shared" ref="AG343:AG367" si="71">AT343/17.1</f>
        <v>0.649122807017544</v>
      </c>
      <c r="AH343" s="125">
        <f t="shared" ref="AH343:AH367" si="72">AU343/88.4</f>
        <v>0.882352941176471</v>
      </c>
      <c r="AI343" s="125">
        <f t="shared" ref="AI343:AI367" si="73">AR343</f>
        <v>1.08</v>
      </c>
      <c r="AJ343" s="240">
        <f>LN(IF(AG343&gt;=1,AG343,1))*3.8+LN(IF(AH343&gt;=1,AH343,1))*9.6+11.2*LN(IF(AI343&gt;=1,AI343,1))+6.4*AN343</f>
        <v>0.861963660724638</v>
      </c>
      <c r="AK343" s="241">
        <f>IF(AND(AG343&gt;0,AH343&gt;0,AI343&gt;0),AJ343,"")</f>
        <v>0.861963660724638</v>
      </c>
      <c r="AL343" s="241">
        <f>AK343+1.59*(135-AM343)</f>
        <v>2.45196366072464</v>
      </c>
      <c r="AM343" s="241">
        <f>IF(AV343&gt;135,135,IF(AV343&lt;120,120,AV343))</f>
        <v>134</v>
      </c>
      <c r="AN343" s="125">
        <v>0</v>
      </c>
      <c r="AO343" s="125">
        <v>1</v>
      </c>
      <c r="AP343" s="125">
        <v>3.96</v>
      </c>
      <c r="AQ343" s="125">
        <v>128</v>
      </c>
      <c r="AR343" s="125">
        <v>1.08</v>
      </c>
      <c r="AS343" s="241">
        <v>32</v>
      </c>
      <c r="AT343" s="242">
        <v>11.1</v>
      </c>
      <c r="AU343" s="125">
        <v>78</v>
      </c>
      <c r="AV343" s="125">
        <v>134</v>
      </c>
      <c r="AW343" s="125"/>
      <c r="AX343" s="125"/>
      <c r="AY343" s="125"/>
      <c r="AZ343" s="131" t="s">
        <v>978</v>
      </c>
    </row>
    <row r="344" s="123" customFormat="1" spans="1:52">
      <c r="A344" s="123" t="s">
        <v>979</v>
      </c>
      <c r="B344" s="123" t="s">
        <v>48</v>
      </c>
      <c r="C344" s="123">
        <v>56</v>
      </c>
      <c r="D344" s="176">
        <v>1.7</v>
      </c>
      <c r="E344" s="123">
        <v>75</v>
      </c>
      <c r="F344" s="189">
        <v>32.58</v>
      </c>
      <c r="G344" s="123">
        <v>6</v>
      </c>
      <c r="I344" s="177">
        <v>44657</v>
      </c>
      <c r="J344" s="177">
        <v>44666</v>
      </c>
      <c r="L344" s="178">
        <v>1</v>
      </c>
      <c r="M344" s="178">
        <v>9</v>
      </c>
      <c r="N344" s="179" t="s">
        <v>980</v>
      </c>
      <c r="O344" s="114"/>
      <c r="P344" s="114">
        <v>1</v>
      </c>
      <c r="Q344" s="114"/>
      <c r="R344" s="114"/>
      <c r="S344" s="114"/>
      <c r="T344" s="114">
        <v>1</v>
      </c>
      <c r="U344" s="114">
        <v>0</v>
      </c>
      <c r="V344" s="114">
        <v>1</v>
      </c>
      <c r="W344" s="114">
        <v>0</v>
      </c>
      <c r="X344" s="114">
        <v>0</v>
      </c>
      <c r="Y344" s="114">
        <v>1</v>
      </c>
      <c r="Z344" s="114" t="s">
        <v>300</v>
      </c>
      <c r="AA344" s="114">
        <v>2</v>
      </c>
      <c r="AB344" s="114">
        <f t="shared" si="67"/>
        <v>1</v>
      </c>
      <c r="AC344" s="114">
        <f t="shared" si="68"/>
        <v>2</v>
      </c>
      <c r="AD344" s="114">
        <f t="shared" si="69"/>
        <v>1</v>
      </c>
      <c r="AE344" s="114">
        <f t="shared" si="70"/>
        <v>7</v>
      </c>
      <c r="AF344" s="116" t="s">
        <v>63</v>
      </c>
      <c r="AG344" s="114">
        <f t="shared" si="71"/>
        <v>0.672514619883041</v>
      </c>
      <c r="AH344" s="114">
        <f t="shared" si="72"/>
        <v>0.509049773755656</v>
      </c>
      <c r="AI344" s="114">
        <f t="shared" si="73"/>
        <v>1.37</v>
      </c>
      <c r="AJ344" s="159">
        <f>LN(IF(AG344&gt;=1,AG344,1))*3.8+LN(IF(AH344&gt;=1,AH344,1))*9.6+11.2*LN(IF(AI344&gt;=1,AI344,1))+6.4*AN344</f>
        <v>3.52588028620838</v>
      </c>
      <c r="AK344" s="160">
        <f>IF(AND(AG344&gt;0,AH344&gt;0,AI344&gt;0),AJ344,"")</f>
        <v>3.52588028620838</v>
      </c>
      <c r="AL344" s="160">
        <f>AK344+1.59*(135-AM344)</f>
        <v>3.52588028620838</v>
      </c>
      <c r="AM344" s="160">
        <f>IF(AV344&gt;135,135,IF(AV344&lt;120,120,AV344))</f>
        <v>135</v>
      </c>
      <c r="AN344" s="114">
        <v>0</v>
      </c>
      <c r="AO344" s="114">
        <v>1</v>
      </c>
      <c r="AP344" s="114">
        <v>1.44</v>
      </c>
      <c r="AQ344" s="114">
        <v>62</v>
      </c>
      <c r="AR344" s="114">
        <v>1.37</v>
      </c>
      <c r="AS344" s="160">
        <v>33</v>
      </c>
      <c r="AT344" s="161">
        <v>11.5</v>
      </c>
      <c r="AU344" s="114">
        <v>45</v>
      </c>
      <c r="AV344" s="114">
        <v>138</v>
      </c>
      <c r="AZ344" s="132" t="s">
        <v>981</v>
      </c>
    </row>
    <row r="345" ht="15" customHeight="1" spans="1:52">
      <c r="A345" s="257" t="s">
        <v>982</v>
      </c>
      <c r="B345" s="117" t="s">
        <v>48</v>
      </c>
      <c r="C345" s="117">
        <v>54</v>
      </c>
      <c r="D345" s="135">
        <v>1.81</v>
      </c>
      <c r="E345" s="117">
        <v>95</v>
      </c>
      <c r="F345" s="136">
        <v>33.58</v>
      </c>
      <c r="G345" s="117">
        <v>6</v>
      </c>
      <c r="I345" s="158">
        <v>44652</v>
      </c>
      <c r="J345" s="158">
        <v>44659</v>
      </c>
      <c r="L345" s="137">
        <v>3</v>
      </c>
      <c r="M345" s="137">
        <v>7</v>
      </c>
      <c r="N345" s="139" t="s">
        <v>983</v>
      </c>
      <c r="O345" s="114"/>
      <c r="P345" s="114">
        <v>1</v>
      </c>
      <c r="Q345" s="114"/>
      <c r="R345" s="114"/>
      <c r="S345" s="114"/>
      <c r="T345" s="114">
        <v>1</v>
      </c>
      <c r="U345" s="114">
        <v>1</v>
      </c>
      <c r="V345" s="114">
        <v>1</v>
      </c>
      <c r="W345" s="114">
        <v>0</v>
      </c>
      <c r="X345" s="114">
        <v>0</v>
      </c>
      <c r="Y345" s="114">
        <v>2</v>
      </c>
      <c r="Z345" s="114" t="s">
        <v>321</v>
      </c>
      <c r="AA345" s="114">
        <v>3</v>
      </c>
      <c r="AB345" s="114">
        <f t="shared" si="67"/>
        <v>3</v>
      </c>
      <c r="AC345" s="114">
        <f t="shared" si="68"/>
        <v>3</v>
      </c>
      <c r="AD345" s="114">
        <v>2</v>
      </c>
      <c r="AE345" s="114">
        <f t="shared" si="70"/>
        <v>13</v>
      </c>
      <c r="AF345" s="116" t="s">
        <v>50</v>
      </c>
      <c r="AG345" s="114">
        <f t="shared" si="71"/>
        <v>3.26315789473684</v>
      </c>
      <c r="AH345" s="114">
        <f t="shared" si="72"/>
        <v>0.83710407239819</v>
      </c>
      <c r="AI345" s="114">
        <f t="shared" si="73"/>
        <v>1.82</v>
      </c>
      <c r="AJ345" s="159">
        <f>LN(IF(AG345&gt;=1,AG345,1))*3.8+LN(IF(AH345&gt;=1,AH345,1))*9.6+11.2*LN(IF(AI345&gt;=1,AI345,1))+6.4*AN345</f>
        <v>11.2012113545324</v>
      </c>
      <c r="AK345" s="160">
        <f>IF(AND(AG345&gt;0,AH345&gt;0,AI345&gt;0),AJ345,"")</f>
        <v>11.2012113545324</v>
      </c>
      <c r="AL345" s="160">
        <f>AK345+1.59*(135-AM345)</f>
        <v>14.3812113545324</v>
      </c>
      <c r="AM345" s="160">
        <f>IF(AV345&gt;135,135,IF(AV345&lt;120,120,AV345))</f>
        <v>133</v>
      </c>
      <c r="AN345" s="114">
        <v>0</v>
      </c>
      <c r="AO345" s="114">
        <v>1</v>
      </c>
      <c r="AP345" s="258">
        <v>8.2</v>
      </c>
      <c r="AQ345" s="114">
        <v>78</v>
      </c>
      <c r="AR345" s="114">
        <v>1.82</v>
      </c>
      <c r="AS345" s="160">
        <v>27</v>
      </c>
      <c r="AT345" s="161">
        <v>55.8</v>
      </c>
      <c r="AU345" s="114">
        <v>74</v>
      </c>
      <c r="AV345" s="114">
        <v>133</v>
      </c>
      <c r="AZ345" s="119" t="s">
        <v>984</v>
      </c>
    </row>
    <row r="346" s="131" customFormat="1" spans="1:52">
      <c r="A346" s="131" t="s">
        <v>867</v>
      </c>
      <c r="B346" s="131" t="s">
        <v>53</v>
      </c>
      <c r="C346" s="131">
        <v>52</v>
      </c>
      <c r="D346" s="244">
        <v>1.56</v>
      </c>
      <c r="E346" s="131">
        <v>35</v>
      </c>
      <c r="F346" s="245">
        <v>34.58</v>
      </c>
      <c r="G346" s="131">
        <v>4</v>
      </c>
      <c r="I346" s="246">
        <v>44652</v>
      </c>
      <c r="J346" s="246">
        <v>44660</v>
      </c>
      <c r="L346" s="247">
        <v>6</v>
      </c>
      <c r="M346" s="247">
        <v>8</v>
      </c>
      <c r="N346" s="248" t="s">
        <v>985</v>
      </c>
      <c r="O346" s="116"/>
      <c r="P346" s="116"/>
      <c r="Q346" s="116">
        <v>1</v>
      </c>
      <c r="R346" s="116"/>
      <c r="S346" s="116"/>
      <c r="T346" s="116">
        <v>0</v>
      </c>
      <c r="U346" s="116">
        <v>0</v>
      </c>
      <c r="V346" s="116">
        <v>1</v>
      </c>
      <c r="W346" s="116">
        <v>0</v>
      </c>
      <c r="X346" s="116">
        <v>0</v>
      </c>
      <c r="Y346" s="116">
        <v>1</v>
      </c>
      <c r="Z346" s="116" t="s">
        <v>58</v>
      </c>
      <c r="AA346" s="116">
        <v>1</v>
      </c>
      <c r="AB346" s="116">
        <f t="shared" si="67"/>
        <v>2</v>
      </c>
      <c r="AC346" s="116">
        <f t="shared" si="68"/>
        <v>2</v>
      </c>
      <c r="AD346" s="114">
        <f t="shared" si="69"/>
        <v>1</v>
      </c>
      <c r="AE346" s="116">
        <f t="shared" si="70"/>
        <v>7</v>
      </c>
      <c r="AF346" s="116" t="s">
        <v>63</v>
      </c>
      <c r="AG346" s="114">
        <f t="shared" si="71"/>
        <v>2.21052631578947</v>
      </c>
      <c r="AH346" s="114">
        <f t="shared" si="72"/>
        <v>0.441176470588235</v>
      </c>
      <c r="AI346" s="114">
        <f t="shared" si="73"/>
        <v>1.23</v>
      </c>
      <c r="AJ346" s="159">
        <f>LN(IF(AG346&gt;=1,AG346,1))*3.8+LN(IF(AH346&gt;=1,AH346,1))*9.6+11.2*LN(IF(AI346&gt;=1,AI346,1))+6.4*AN346</f>
        <v>5.33283512574878</v>
      </c>
      <c r="AK346" s="160">
        <f>IF(AND(AG346&gt;0,AH346&gt;0,AI346&gt;0),AJ346,"")</f>
        <v>5.33283512574878</v>
      </c>
      <c r="AL346" s="160">
        <f>AK346+1.59*(135-AM346)</f>
        <v>5.33283512574878</v>
      </c>
      <c r="AM346" s="160">
        <f>IF(AV346&gt;135,135,IF(AV346&lt;120,120,AV346))</f>
        <v>135</v>
      </c>
      <c r="AN346" s="116"/>
      <c r="AO346" s="114"/>
      <c r="AP346" s="116">
        <v>1.53</v>
      </c>
      <c r="AQ346" s="116">
        <v>56</v>
      </c>
      <c r="AR346" s="116">
        <v>1.23</v>
      </c>
      <c r="AS346" s="202">
        <v>29</v>
      </c>
      <c r="AT346" s="203">
        <v>37.8</v>
      </c>
      <c r="AU346" s="116">
        <v>39</v>
      </c>
      <c r="AV346" s="116">
        <v>139</v>
      </c>
      <c r="AZ346" s="131" t="s">
        <v>986</v>
      </c>
    </row>
    <row r="347" spans="1:52">
      <c r="A347" s="117" t="s">
        <v>987</v>
      </c>
      <c r="B347" s="117" t="s">
        <v>53</v>
      </c>
      <c r="C347" s="117">
        <v>63</v>
      </c>
      <c r="D347" s="135">
        <v>1.65</v>
      </c>
      <c r="E347" s="117">
        <v>70</v>
      </c>
      <c r="F347" s="136">
        <v>35.58</v>
      </c>
      <c r="G347" s="117">
        <v>2</v>
      </c>
      <c r="I347" s="158">
        <v>44646</v>
      </c>
      <c r="J347" s="158">
        <v>44653</v>
      </c>
      <c r="L347" s="137">
        <v>1</v>
      </c>
      <c r="M347" s="137">
        <v>7</v>
      </c>
      <c r="N347" s="139" t="s">
        <v>988</v>
      </c>
      <c r="O347" s="114">
        <v>1</v>
      </c>
      <c r="P347" s="114"/>
      <c r="Q347" s="114"/>
      <c r="R347" s="114"/>
      <c r="S347" s="114"/>
      <c r="T347" s="114">
        <v>1</v>
      </c>
      <c r="U347" s="114">
        <v>0</v>
      </c>
      <c r="V347" s="114">
        <v>1</v>
      </c>
      <c r="W347" s="114">
        <v>0</v>
      </c>
      <c r="X347" s="114">
        <v>1</v>
      </c>
      <c r="Y347" s="114">
        <v>1</v>
      </c>
      <c r="Z347" s="114" t="s">
        <v>321</v>
      </c>
      <c r="AA347" s="114">
        <v>3</v>
      </c>
      <c r="AB347" s="114">
        <f t="shared" si="67"/>
        <v>1</v>
      </c>
      <c r="AC347" s="114">
        <f t="shared" si="68"/>
        <v>2</v>
      </c>
      <c r="AD347" s="114">
        <f t="shared" si="69"/>
        <v>1</v>
      </c>
      <c r="AE347" s="114">
        <f t="shared" si="70"/>
        <v>8</v>
      </c>
      <c r="AF347" s="116" t="s">
        <v>63</v>
      </c>
      <c r="AG347" s="114">
        <f t="shared" si="71"/>
        <v>1.70175438596491</v>
      </c>
      <c r="AH347" s="114">
        <f t="shared" si="72"/>
        <v>0.339366515837104</v>
      </c>
      <c r="AI347" s="114">
        <f t="shared" si="73"/>
        <v>1.59</v>
      </c>
      <c r="AJ347" s="159">
        <f>LN(IF(AG347&gt;=1,AG347,1))*3.8+LN(IF(AH347&gt;=1,AH347,1))*9.6+11.2*LN(IF(AI347&gt;=1,AI347,1))+6.4*AN347</f>
        <v>7.21412788234153</v>
      </c>
      <c r="AK347" s="160">
        <f>IF(AND(AG347&gt;0,AH347&gt;0,AI347&gt;0),AJ347,"")</f>
        <v>7.21412788234153</v>
      </c>
      <c r="AL347" s="160">
        <f>AK347+1.59*(135-AM347)</f>
        <v>7.21412788234153</v>
      </c>
      <c r="AM347" s="160">
        <f>IF(AV347&gt;135,135,IF(AV347&lt;120,120,AV347))</f>
        <v>135</v>
      </c>
      <c r="AN347" s="114"/>
      <c r="AO347" s="114"/>
      <c r="AP347" s="114">
        <v>1.42</v>
      </c>
      <c r="AQ347" s="114">
        <v>87</v>
      </c>
      <c r="AR347" s="114">
        <v>1.59</v>
      </c>
      <c r="AS347" s="160">
        <v>29</v>
      </c>
      <c r="AT347" s="161">
        <v>29.1</v>
      </c>
      <c r="AU347" s="114">
        <v>30</v>
      </c>
      <c r="AV347" s="114">
        <v>143</v>
      </c>
      <c r="AZ347" s="119" t="s">
        <v>989</v>
      </c>
    </row>
    <row r="348" spans="1:52">
      <c r="A348" s="117" t="s">
        <v>990</v>
      </c>
      <c r="B348" s="117" t="s">
        <v>53</v>
      </c>
      <c r="C348" s="117">
        <v>84</v>
      </c>
      <c r="D348" s="135">
        <v>1.6</v>
      </c>
      <c r="E348" s="117">
        <v>45</v>
      </c>
      <c r="F348" s="136">
        <v>36.58</v>
      </c>
      <c r="G348" s="117">
        <v>3</v>
      </c>
      <c r="I348" s="158">
        <v>44643</v>
      </c>
      <c r="J348" s="158">
        <v>44652</v>
      </c>
      <c r="L348" s="137">
        <v>1</v>
      </c>
      <c r="M348" s="137">
        <v>9</v>
      </c>
      <c r="N348" s="139" t="s">
        <v>991</v>
      </c>
      <c r="O348" s="114"/>
      <c r="P348" s="114"/>
      <c r="Q348" s="114">
        <v>1</v>
      </c>
      <c r="R348" s="114">
        <v>1</v>
      </c>
      <c r="S348" s="114"/>
      <c r="T348" s="114">
        <v>1</v>
      </c>
      <c r="U348" s="114">
        <v>0</v>
      </c>
      <c r="V348" s="114">
        <v>0</v>
      </c>
      <c r="W348" s="114">
        <v>0</v>
      </c>
      <c r="X348" s="114">
        <v>0</v>
      </c>
      <c r="Y348" s="114">
        <v>1</v>
      </c>
      <c r="Z348" s="114" t="s">
        <v>300</v>
      </c>
      <c r="AA348" s="114">
        <v>2</v>
      </c>
      <c r="AB348" s="114">
        <f t="shared" si="67"/>
        <v>1</v>
      </c>
      <c r="AC348" s="114">
        <f t="shared" si="68"/>
        <v>2</v>
      </c>
      <c r="AD348" s="114">
        <f t="shared" si="69"/>
        <v>1</v>
      </c>
      <c r="AE348" s="114">
        <f t="shared" si="70"/>
        <v>7</v>
      </c>
      <c r="AF348" s="116" t="s">
        <v>63</v>
      </c>
      <c r="AG348" s="114">
        <f t="shared" si="71"/>
        <v>0.684210526315789</v>
      </c>
      <c r="AH348" s="114">
        <f t="shared" si="72"/>
        <v>1.34615384615385</v>
      </c>
      <c r="AI348" s="114">
        <f t="shared" si="73"/>
        <v>1.18</v>
      </c>
      <c r="AJ348" s="159">
        <f>LN(IF(AG348&gt;=1,AG348,1))*3.8+LN(IF(AH348&gt;=1,AH348,1))*9.6+11.2*LN(IF(AI348&gt;=1,AI348,1))+6.4*AN348</f>
        <v>4.70737633624096</v>
      </c>
      <c r="AK348" s="160">
        <f>IF(AND(AG348&gt;0,AH348&gt;0,AI348&gt;0),AJ348,"")</f>
        <v>4.70737633624096</v>
      </c>
      <c r="AL348" s="160">
        <f>AK348+1.59*(135-AM348)</f>
        <v>4.70737633624096</v>
      </c>
      <c r="AM348" s="160">
        <f>IF(AV348&gt;135,135,IF(AV348&lt;120,120,AV348))</f>
        <v>135</v>
      </c>
      <c r="AN348" s="114">
        <v>0</v>
      </c>
      <c r="AO348" s="114">
        <v>1</v>
      </c>
      <c r="AP348" s="114">
        <v>1.25</v>
      </c>
      <c r="AQ348" s="114">
        <v>53</v>
      </c>
      <c r="AR348" s="114">
        <v>1.18</v>
      </c>
      <c r="AS348" s="160">
        <v>30</v>
      </c>
      <c r="AT348" s="161">
        <v>11.7</v>
      </c>
      <c r="AU348" s="114">
        <v>119</v>
      </c>
      <c r="AV348" s="114">
        <v>139</v>
      </c>
      <c r="AZ348" s="119" t="s">
        <v>992</v>
      </c>
    </row>
    <row r="349" spans="1:52">
      <c r="A349" s="117" t="s">
        <v>690</v>
      </c>
      <c r="B349" s="117" t="s">
        <v>53</v>
      </c>
      <c r="C349" s="117">
        <v>70</v>
      </c>
      <c r="D349" s="135">
        <v>1.6</v>
      </c>
      <c r="E349" s="117">
        <v>78</v>
      </c>
      <c r="F349" s="136">
        <v>37.58</v>
      </c>
      <c r="G349" s="117">
        <v>0</v>
      </c>
      <c r="I349" s="158">
        <v>44644</v>
      </c>
      <c r="J349" s="158">
        <v>44655</v>
      </c>
      <c r="L349" s="137">
        <v>3</v>
      </c>
      <c r="M349" s="137">
        <v>11</v>
      </c>
      <c r="N349" s="139" t="s">
        <v>993</v>
      </c>
      <c r="O349" s="114"/>
      <c r="P349" s="114"/>
      <c r="Q349" s="114">
        <v>1</v>
      </c>
      <c r="R349" s="114"/>
      <c r="S349" s="114">
        <v>1</v>
      </c>
      <c r="T349" s="114">
        <v>0</v>
      </c>
      <c r="U349" s="114">
        <v>0</v>
      </c>
      <c r="V349" s="114">
        <v>1</v>
      </c>
      <c r="W349" s="114">
        <v>0</v>
      </c>
      <c r="X349" s="114">
        <v>0</v>
      </c>
      <c r="Y349" s="114">
        <v>1</v>
      </c>
      <c r="Z349" s="114" t="s">
        <v>58</v>
      </c>
      <c r="AA349" s="114">
        <v>1</v>
      </c>
      <c r="AB349" s="114">
        <f t="shared" si="67"/>
        <v>1</v>
      </c>
      <c r="AC349" s="114">
        <f t="shared" si="68"/>
        <v>2</v>
      </c>
      <c r="AD349" s="114">
        <f t="shared" si="69"/>
        <v>1</v>
      </c>
      <c r="AE349" s="114">
        <f t="shared" si="70"/>
        <v>6</v>
      </c>
      <c r="AF349" s="116" t="s">
        <v>59</v>
      </c>
      <c r="AG349" s="114">
        <f t="shared" si="71"/>
        <v>1.14619883040936</v>
      </c>
      <c r="AH349" s="114">
        <f t="shared" si="72"/>
        <v>0.452488687782805</v>
      </c>
      <c r="AI349" s="114">
        <f t="shared" si="73"/>
        <v>1.27</v>
      </c>
      <c r="AJ349" s="159">
        <f>LN(IF(AG349&gt;=1,AG349,1))*3.8+LN(IF(AH349&gt;=1,AH349,1))*9.6+11.2*LN(IF(AI349&gt;=1,AI349,1))+6.4*AN349</f>
        <v>3.19550347563546</v>
      </c>
      <c r="AK349" s="160">
        <f>IF(AND(AG349&gt;0,AH349&gt;0,AI349&gt;0),AJ349,"")</f>
        <v>3.19550347563546</v>
      </c>
      <c r="AL349" s="160">
        <f>AK349+1.59*(135-AM349)</f>
        <v>3.19550347563546</v>
      </c>
      <c r="AM349" s="160">
        <f>IF(AV349&gt;135,135,IF(AV349&lt;120,120,AV349))</f>
        <v>135</v>
      </c>
      <c r="AN349" s="114"/>
      <c r="AO349" s="114"/>
      <c r="AP349" s="114">
        <v>1.36</v>
      </c>
      <c r="AQ349" s="114">
        <v>125</v>
      </c>
      <c r="AR349" s="114">
        <v>1.27</v>
      </c>
      <c r="AS349" s="160">
        <v>35</v>
      </c>
      <c r="AT349" s="161">
        <v>19.6</v>
      </c>
      <c r="AU349" s="114">
        <v>40</v>
      </c>
      <c r="AV349" s="114">
        <v>144</v>
      </c>
      <c r="AZ349" s="119" t="s">
        <v>994</v>
      </c>
    </row>
    <row r="350" s="125" customFormat="1" spans="1:52">
      <c r="A350" s="125" t="s">
        <v>995</v>
      </c>
      <c r="B350" s="125" t="s">
        <v>48</v>
      </c>
      <c r="C350" s="125">
        <v>47</v>
      </c>
      <c r="D350" s="185">
        <v>1.75</v>
      </c>
      <c r="E350" s="125">
        <v>50</v>
      </c>
      <c r="F350" s="216">
        <v>38.58</v>
      </c>
      <c r="G350" s="125">
        <v>6</v>
      </c>
      <c r="I350" s="186">
        <v>44642</v>
      </c>
      <c r="J350" s="186">
        <v>44658</v>
      </c>
      <c r="L350" s="187">
        <v>1</v>
      </c>
      <c r="M350" s="187">
        <v>16</v>
      </c>
      <c r="N350" s="188" t="s">
        <v>996</v>
      </c>
      <c r="O350" s="114"/>
      <c r="P350" s="114">
        <v>1</v>
      </c>
      <c r="Q350" s="114"/>
      <c r="R350" s="114"/>
      <c r="S350" s="114"/>
      <c r="T350" s="114">
        <v>1</v>
      </c>
      <c r="U350" s="114">
        <v>0</v>
      </c>
      <c r="V350" s="114">
        <v>1</v>
      </c>
      <c r="W350" s="114">
        <v>0</v>
      </c>
      <c r="X350" s="114">
        <v>0</v>
      </c>
      <c r="Y350" s="114">
        <v>1</v>
      </c>
      <c r="Z350" s="114" t="s">
        <v>300</v>
      </c>
      <c r="AA350" s="114">
        <v>2</v>
      </c>
      <c r="AB350" s="114">
        <f t="shared" si="67"/>
        <v>1</v>
      </c>
      <c r="AC350" s="114">
        <f t="shared" si="68"/>
        <v>2</v>
      </c>
      <c r="AD350" s="114">
        <f t="shared" si="69"/>
        <v>1</v>
      </c>
      <c r="AE350" s="114">
        <f t="shared" si="70"/>
        <v>7</v>
      </c>
      <c r="AF350" s="116" t="s">
        <v>63</v>
      </c>
      <c r="AG350" s="114">
        <f t="shared" si="71"/>
        <v>1.72514619883041</v>
      </c>
      <c r="AH350" s="114">
        <f t="shared" si="72"/>
        <v>0.757918552036199</v>
      </c>
      <c r="AI350" s="114">
        <f t="shared" si="73"/>
        <v>1.41</v>
      </c>
      <c r="AJ350" s="159">
        <f>LN(IF(AG350&gt;=1,AG350,1))*3.8+LN(IF(AH350&gt;=1,AH350,1))*9.6+11.2*LN(IF(AI350&gt;=1,AI350,1))+6.4*AN350</f>
        <v>5.92038952855007</v>
      </c>
      <c r="AK350" s="160">
        <f>IF(AND(AG350&gt;0,AH350&gt;0,AI350&gt;0),AJ350,"")</f>
        <v>5.92038952855007</v>
      </c>
      <c r="AL350" s="160">
        <f>AK350+1.59*(135-AM350)</f>
        <v>5.92038952855007</v>
      </c>
      <c r="AM350" s="160">
        <f>IF(AV350&gt;135,135,IF(AV350&lt;120,120,AV350))</f>
        <v>135</v>
      </c>
      <c r="AN350" s="114">
        <v>0</v>
      </c>
      <c r="AO350" s="114">
        <v>1</v>
      </c>
      <c r="AP350" s="114">
        <v>626</v>
      </c>
      <c r="AQ350" s="114">
        <v>35</v>
      </c>
      <c r="AR350" s="114">
        <v>1.41</v>
      </c>
      <c r="AS350" s="160">
        <v>29</v>
      </c>
      <c r="AT350" s="161">
        <v>29.5</v>
      </c>
      <c r="AU350" s="114">
        <v>67</v>
      </c>
      <c r="AV350" s="114">
        <v>140</v>
      </c>
      <c r="AZ350" s="131" t="s">
        <v>997</v>
      </c>
    </row>
    <row r="351" s="123" customFormat="1" spans="1:52">
      <c r="A351" s="123" t="s">
        <v>998</v>
      </c>
      <c r="B351" s="123" t="s">
        <v>53</v>
      </c>
      <c r="C351" s="123">
        <v>67</v>
      </c>
      <c r="D351" s="176">
        <v>1.55</v>
      </c>
      <c r="E351" s="123">
        <v>37.5</v>
      </c>
      <c r="F351" s="189">
        <v>39.58</v>
      </c>
      <c r="G351" s="123">
        <v>5</v>
      </c>
      <c r="I351" s="177">
        <v>44637</v>
      </c>
      <c r="J351" s="177">
        <v>44648</v>
      </c>
      <c r="L351" s="178">
        <v>1</v>
      </c>
      <c r="M351" s="178">
        <v>11</v>
      </c>
      <c r="N351" s="179" t="s">
        <v>999</v>
      </c>
      <c r="O351" s="114">
        <v>1</v>
      </c>
      <c r="P351" s="114"/>
      <c r="Q351" s="114"/>
      <c r="R351" s="114"/>
      <c r="S351" s="114"/>
      <c r="T351" s="114">
        <v>1</v>
      </c>
      <c r="U351" s="114">
        <v>0</v>
      </c>
      <c r="V351" s="114">
        <v>0</v>
      </c>
      <c r="W351" s="114">
        <v>0</v>
      </c>
      <c r="X351" s="114">
        <v>0</v>
      </c>
      <c r="Y351" s="114">
        <v>1</v>
      </c>
      <c r="Z351" s="114" t="s">
        <v>321</v>
      </c>
      <c r="AA351" s="114">
        <v>3</v>
      </c>
      <c r="AB351" s="114">
        <f t="shared" si="67"/>
        <v>1</v>
      </c>
      <c r="AC351" s="114">
        <f t="shared" si="68"/>
        <v>3</v>
      </c>
      <c r="AD351" s="114">
        <f t="shared" si="69"/>
        <v>1</v>
      </c>
      <c r="AE351" s="114">
        <f t="shared" si="70"/>
        <v>9</v>
      </c>
      <c r="AF351" s="116" t="s">
        <v>63</v>
      </c>
      <c r="AG351" s="114">
        <f t="shared" si="71"/>
        <v>1.30994152046784</v>
      </c>
      <c r="AH351" s="114">
        <f t="shared" si="72"/>
        <v>0.101809954751131</v>
      </c>
      <c r="AI351" s="114">
        <f t="shared" si="73"/>
        <v>1.18</v>
      </c>
      <c r="AJ351" s="159">
        <f>LN(IF(AG351&gt;=1,AG351,1))*3.8+LN(IF(AH351&gt;=1,AH351,1))*9.6+11.2*LN(IF(AI351&gt;=1,AI351,1))+6.4*AN351</f>
        <v>2.87969519328786</v>
      </c>
      <c r="AK351" s="160">
        <f>IF(AND(AG351&gt;0,AH351&gt;0,AI351&gt;0),AJ351,"")</f>
        <v>2.87969519328786</v>
      </c>
      <c r="AL351" s="160">
        <f>AK351+1.59*(135-AM351)</f>
        <v>15.5996951932879</v>
      </c>
      <c r="AM351" s="160">
        <f>IF(AV351&gt;135,135,IF(AV351&lt;120,120,AV351))</f>
        <v>127</v>
      </c>
      <c r="AN351" s="114"/>
      <c r="AO351" s="114"/>
      <c r="AP351" s="114">
        <v>4.52</v>
      </c>
      <c r="AQ351" s="114">
        <v>121</v>
      </c>
      <c r="AR351" s="114">
        <v>1.18</v>
      </c>
      <c r="AS351" s="160">
        <v>27</v>
      </c>
      <c r="AT351" s="161">
        <v>22.4</v>
      </c>
      <c r="AU351" s="114">
        <v>9</v>
      </c>
      <c r="AV351" s="114">
        <v>127</v>
      </c>
      <c r="AZ351" s="132" t="s">
        <v>1000</v>
      </c>
    </row>
    <row r="352" s="125" customFormat="1" spans="1:52">
      <c r="A352" s="125" t="s">
        <v>1001</v>
      </c>
      <c r="B352" s="125" t="s">
        <v>48</v>
      </c>
      <c r="C352" s="125">
        <v>58</v>
      </c>
      <c r="D352" s="185">
        <v>1.76</v>
      </c>
      <c r="E352" s="125">
        <v>88</v>
      </c>
      <c r="F352" s="216">
        <v>40.58</v>
      </c>
      <c r="G352" s="125">
        <v>6</v>
      </c>
      <c r="I352" s="186">
        <v>44636</v>
      </c>
      <c r="J352" s="186">
        <v>44650</v>
      </c>
      <c r="L352" s="187">
        <v>1</v>
      </c>
      <c r="M352" s="187">
        <v>14</v>
      </c>
      <c r="N352" s="188" t="s">
        <v>1002</v>
      </c>
      <c r="O352" s="114"/>
      <c r="P352" s="114">
        <v>1</v>
      </c>
      <c r="Q352" s="114"/>
      <c r="R352" s="114"/>
      <c r="S352" s="114"/>
      <c r="T352" s="114">
        <v>1</v>
      </c>
      <c r="U352" s="114">
        <v>0</v>
      </c>
      <c r="V352" s="114">
        <v>1</v>
      </c>
      <c r="W352" s="114">
        <v>0</v>
      </c>
      <c r="X352" s="114">
        <v>0</v>
      </c>
      <c r="Y352" s="114">
        <v>1</v>
      </c>
      <c r="Z352" s="114" t="s">
        <v>321</v>
      </c>
      <c r="AA352" s="114">
        <v>3</v>
      </c>
      <c r="AB352" s="114">
        <f t="shared" si="67"/>
        <v>2</v>
      </c>
      <c r="AC352" s="114">
        <f t="shared" si="68"/>
        <v>3</v>
      </c>
      <c r="AD352" s="114">
        <f t="shared" si="69"/>
        <v>1</v>
      </c>
      <c r="AE352" s="114">
        <f t="shared" si="70"/>
        <v>10</v>
      </c>
      <c r="AF352" s="116" t="s">
        <v>50</v>
      </c>
      <c r="AG352" s="114">
        <f t="shared" si="71"/>
        <v>2.53801169590643</v>
      </c>
      <c r="AH352" s="114"/>
      <c r="AI352" s="114">
        <f t="shared" si="73"/>
        <v>1.57</v>
      </c>
      <c r="AJ352" s="159">
        <f>LN(IF(AG352&gt;=1,AG352,1))*3.8+LN(IF(AH352&gt;=1,AH352,1))*9.6+11.2*LN(IF(AI352&gt;=1,AI352,1))+6.4*AN352</f>
        <v>8.59129465170586</v>
      </c>
      <c r="AK352" s="160" t="str">
        <f>IF(AND(AG352&gt;0,AH352&gt;0,AI352&gt;0),AJ352,"")</f>
        <v/>
      </c>
      <c r="AL352" s="160"/>
      <c r="AM352" s="160">
        <f>IF(AV352&gt;135,135,IF(AV352&lt;120,120,AV352))</f>
        <v>135</v>
      </c>
      <c r="AN352" s="114">
        <v>0</v>
      </c>
      <c r="AO352" s="114"/>
      <c r="AP352" s="114">
        <v>3.16</v>
      </c>
      <c r="AQ352" s="114">
        <v>123</v>
      </c>
      <c r="AR352" s="114">
        <v>1.57</v>
      </c>
      <c r="AS352" s="160">
        <v>27</v>
      </c>
      <c r="AT352" s="161">
        <v>43.4</v>
      </c>
      <c r="AU352" s="114"/>
      <c r="AV352" s="114">
        <v>140</v>
      </c>
      <c r="AZ352" s="131" t="s">
        <v>1003</v>
      </c>
    </row>
    <row r="353" s="125" customFormat="1" spans="1:52">
      <c r="A353" s="125" t="s">
        <v>1004</v>
      </c>
      <c r="B353" s="125" t="s">
        <v>53</v>
      </c>
      <c r="C353" s="125">
        <v>75</v>
      </c>
      <c r="D353" s="185">
        <v>1.66</v>
      </c>
      <c r="E353" s="125">
        <v>70</v>
      </c>
      <c r="F353" s="216">
        <f>E:E/(D:D^2)</f>
        <v>25.4028160836116</v>
      </c>
      <c r="G353" s="125">
        <v>6</v>
      </c>
      <c r="I353" s="186">
        <v>44642</v>
      </c>
      <c r="J353" s="186">
        <v>44659</v>
      </c>
      <c r="L353" s="187">
        <v>1</v>
      </c>
      <c r="M353" s="187">
        <v>17</v>
      </c>
      <c r="N353" s="188" t="s">
        <v>1005</v>
      </c>
      <c r="Q353" s="125">
        <v>1</v>
      </c>
      <c r="T353" s="125">
        <v>1</v>
      </c>
      <c r="U353" s="125">
        <v>1</v>
      </c>
      <c r="V353" s="125">
        <v>1</v>
      </c>
      <c r="X353" s="125">
        <v>1</v>
      </c>
      <c r="Y353" s="125">
        <v>2</v>
      </c>
      <c r="Z353" s="125" t="s">
        <v>300</v>
      </c>
      <c r="AA353" s="125">
        <v>2</v>
      </c>
      <c r="AB353" s="125">
        <f t="shared" si="67"/>
        <v>2</v>
      </c>
      <c r="AC353" s="125">
        <f t="shared" si="68"/>
        <v>3</v>
      </c>
      <c r="AD353" s="125">
        <f t="shared" si="69"/>
        <v>1</v>
      </c>
      <c r="AE353" s="125">
        <f t="shared" si="70"/>
        <v>10</v>
      </c>
      <c r="AF353" s="131" t="s">
        <v>50</v>
      </c>
      <c r="AG353" s="125">
        <f t="shared" si="71"/>
        <v>1.99415204678363</v>
      </c>
      <c r="AH353" s="125">
        <f t="shared" si="72"/>
        <v>1.10859728506787</v>
      </c>
      <c r="AI353" s="125">
        <f t="shared" si="73"/>
        <v>1.6</v>
      </c>
      <c r="AJ353" s="240">
        <f>LN(IF(AG353&gt;=1,AG353,1))*3.8+LN(IF(AH353&gt;=1,AH353,1))*9.6+11.2*LN(IF(AI353&gt;=1,AI353,1))+6.4*AN353</f>
        <v>15.2765894331784</v>
      </c>
      <c r="AK353" s="241">
        <f>IF(AND(AG353&gt;0,AH353&gt;0,AI353&gt;0),AJ353,"")</f>
        <v>15.2765894331784</v>
      </c>
      <c r="AL353" s="241">
        <f>AK353+1.59*(135-AM353)</f>
        <v>15.2765894331784</v>
      </c>
      <c r="AM353" s="241">
        <f>IF(AV353&gt;135,135,IF(AV353&lt;120,120,AV353))</f>
        <v>135</v>
      </c>
      <c r="AN353" s="125">
        <v>1</v>
      </c>
      <c r="AO353" s="125">
        <v>2</v>
      </c>
      <c r="AP353" s="125">
        <v>6.6</v>
      </c>
      <c r="AQ353" s="125">
        <v>96</v>
      </c>
      <c r="AR353" s="125">
        <v>1.6</v>
      </c>
      <c r="AS353" s="241">
        <v>26</v>
      </c>
      <c r="AT353" s="242">
        <v>34.1</v>
      </c>
      <c r="AU353" s="125">
        <v>98</v>
      </c>
      <c r="AV353" s="125">
        <v>137</v>
      </c>
      <c r="AZ353" s="131" t="s">
        <v>1006</v>
      </c>
    </row>
    <row r="354" s="123" customFormat="1" spans="1:52">
      <c r="A354" s="123" t="s">
        <v>659</v>
      </c>
      <c r="B354" s="123" t="s">
        <v>48</v>
      </c>
      <c r="C354" s="123">
        <v>58</v>
      </c>
      <c r="D354" s="176">
        <v>1.6</v>
      </c>
      <c r="E354" s="123">
        <v>60</v>
      </c>
      <c r="F354" s="189">
        <f>E:E/(D:D^2)</f>
        <v>23.4375</v>
      </c>
      <c r="G354" s="123">
        <v>6</v>
      </c>
      <c r="I354" s="177">
        <v>44628</v>
      </c>
      <c r="J354" s="177">
        <v>44636</v>
      </c>
      <c r="L354" s="178">
        <v>3</v>
      </c>
      <c r="M354" s="178">
        <v>8</v>
      </c>
      <c r="N354" s="179" t="s">
        <v>1007</v>
      </c>
      <c r="O354" s="114"/>
      <c r="P354" s="114">
        <v>1</v>
      </c>
      <c r="Q354" s="114"/>
      <c r="R354" s="114"/>
      <c r="S354" s="114"/>
      <c r="T354" s="114">
        <v>0</v>
      </c>
      <c r="U354" s="114">
        <v>1</v>
      </c>
      <c r="V354" s="114">
        <v>1</v>
      </c>
      <c r="W354" s="114"/>
      <c r="X354" s="114">
        <v>1</v>
      </c>
      <c r="Y354" s="114">
        <v>2</v>
      </c>
      <c r="Z354" s="114" t="s">
        <v>58</v>
      </c>
      <c r="AA354" s="114">
        <v>1</v>
      </c>
      <c r="AB354" s="114">
        <f>_xlfn.IFS(AT354&gt;51,3,AT354&gt;=34,2,AT354&lt;34,1)</f>
        <v>2</v>
      </c>
      <c r="AC354" s="114">
        <f>_xlfn.IFS(AS354&gt;35,1,AS354&gt;=28,2,AS354&lt;28,3)</f>
        <v>2</v>
      </c>
      <c r="AD354" s="114">
        <f>_xlfn.IFS(AR354&gt;2.3,3,AR354&gt;=1.7,2,AR354&lt;1.7,1)</f>
        <v>1</v>
      </c>
      <c r="AE354" s="114">
        <f>Y354+AA354+AB354+AC354+AD354</f>
        <v>8</v>
      </c>
      <c r="AF354" s="116" t="s">
        <v>63</v>
      </c>
      <c r="AG354" s="114">
        <f>AT354/17.1</f>
        <v>2.54970760233918</v>
      </c>
      <c r="AH354" s="114">
        <f>AU354/88.4</f>
        <v>1.15384615384615</v>
      </c>
      <c r="AI354" s="114">
        <f>AR354</f>
        <v>1.51</v>
      </c>
      <c r="AJ354" s="159">
        <f>LN(IF(AG354&gt;=1,AG354,1))*3.8+LN(IF(AH354&gt;=1,AH354,1))*9.6+11.2*LN(IF(AI354&gt;=1,AI354,1))+6.4*AN354</f>
        <v>9.54611519822721</v>
      </c>
      <c r="AK354" s="160">
        <f>IF(AND(AG354&gt;0,AH354&gt;0,AI354&gt;0),AJ354,"")</f>
        <v>9.54611519822721</v>
      </c>
      <c r="AL354" s="160">
        <f>AK354+1.59*(135-AM354)</f>
        <v>9.54611519822721</v>
      </c>
      <c r="AM354" s="160">
        <f>IF(AV354&gt;135,135,IF(AV354&lt;120,120,AV354))</f>
        <v>135</v>
      </c>
      <c r="AN354" s="114">
        <v>0</v>
      </c>
      <c r="AO354" s="114">
        <f>_xlfn.IFS(AJ354&lt;15,1,AJ354=15-18,2,AJ354&gt;18,3)</f>
        <v>1</v>
      </c>
      <c r="AP354" s="114">
        <v>4.68</v>
      </c>
      <c r="AQ354" s="114">
        <v>135</v>
      </c>
      <c r="AR354" s="114">
        <v>1.51</v>
      </c>
      <c r="AS354" s="160">
        <v>32</v>
      </c>
      <c r="AT354" s="161">
        <v>43.6</v>
      </c>
      <c r="AU354" s="114">
        <v>102</v>
      </c>
      <c r="AV354" s="114">
        <v>137</v>
      </c>
      <c r="AZ354" s="132" t="s">
        <v>1008</v>
      </c>
    </row>
    <row r="355" s="117" customFormat="1" spans="1:52">
      <c r="A355" s="117" t="s">
        <v>1009</v>
      </c>
      <c r="B355" s="117" t="s">
        <v>53</v>
      </c>
      <c r="C355" s="117">
        <v>55</v>
      </c>
      <c r="D355" s="135">
        <v>1.56</v>
      </c>
      <c r="E355" s="117">
        <v>55</v>
      </c>
      <c r="F355" s="136">
        <f>E:E/(D:D^2)</f>
        <v>22.6002629848784</v>
      </c>
      <c r="G355" s="117">
        <v>0</v>
      </c>
      <c r="I355" s="158">
        <v>44627</v>
      </c>
      <c r="J355" s="158">
        <v>44631</v>
      </c>
      <c r="L355" s="137">
        <v>2</v>
      </c>
      <c r="M355" s="138">
        <v>4</v>
      </c>
      <c r="N355" s="139" t="s">
        <v>1010</v>
      </c>
      <c r="O355" s="114"/>
      <c r="P355" s="114"/>
      <c r="Q355" s="114">
        <v>1</v>
      </c>
      <c r="R355" s="114"/>
      <c r="S355" s="114"/>
      <c r="T355" s="114">
        <v>0</v>
      </c>
      <c r="U355" s="114">
        <v>0</v>
      </c>
      <c r="V355" s="114">
        <v>1</v>
      </c>
      <c r="W355" s="114">
        <v>0</v>
      </c>
      <c r="X355" s="114">
        <v>1</v>
      </c>
      <c r="Y355" s="114">
        <v>1</v>
      </c>
      <c r="Z355" s="114" t="s">
        <v>58</v>
      </c>
      <c r="AA355" s="114">
        <v>1</v>
      </c>
      <c r="AB355" s="114">
        <f>_xlfn.IFS(AT355&gt;51,3,AT355&gt;=34,2,AT355&lt;34,1)</f>
        <v>1</v>
      </c>
      <c r="AC355" s="114">
        <f>_xlfn.IFS(AS355&gt;35,1,AS355&gt;=28,2,AS355&lt;28,3)</f>
        <v>2</v>
      </c>
      <c r="AD355" s="114">
        <f>_xlfn.IFS(AR355&gt;2.3,3,AR355&gt;=1.7,2,AR355&lt;1.7,1)</f>
        <v>1</v>
      </c>
      <c r="AE355" s="114">
        <f>Y355+AA355+AB355+AC355+AD355</f>
        <v>6</v>
      </c>
      <c r="AF355" s="116" t="s">
        <v>59</v>
      </c>
      <c r="AG355" s="114">
        <f>AT355/17.1</f>
        <v>1.16374269005848</v>
      </c>
      <c r="AH355" s="114">
        <f>AU355/88.4</f>
        <v>0.475113122171946</v>
      </c>
      <c r="AI355" s="114">
        <f>AR355</f>
        <v>1.22</v>
      </c>
      <c r="AJ355" s="159">
        <f>LN(IF(AG355&gt;=1,AG355,1))*3.8+LN(IF(AH355&gt;=1,AH355,1))*9.6+11.2*LN(IF(AI355&gt;=1,AI355,1))+6.4*AN355</f>
        <v>2.80336643718881</v>
      </c>
      <c r="AK355" s="160">
        <f>IF(AND(AG355&gt;0,AH355&gt;0,AI355&gt;0),AJ355,"")</f>
        <v>2.80336643718881</v>
      </c>
      <c r="AL355" s="160">
        <f>AK355+1.59*(135-AM355)</f>
        <v>2.80336643718881</v>
      </c>
      <c r="AM355" s="160">
        <f>IF(AV355&gt;135,135,IF(AV355&lt;120,120,AV355))</f>
        <v>135</v>
      </c>
      <c r="AN355" s="114"/>
      <c r="AO355" s="114"/>
      <c r="AP355" s="114">
        <v>4.62</v>
      </c>
      <c r="AQ355" s="114">
        <v>92</v>
      </c>
      <c r="AR355" s="114">
        <v>1.22</v>
      </c>
      <c r="AS355" s="160">
        <v>31</v>
      </c>
      <c r="AT355" s="161">
        <v>19.9</v>
      </c>
      <c r="AU355" s="114">
        <v>42</v>
      </c>
      <c r="AV355" s="114">
        <v>142</v>
      </c>
      <c r="AZ355" s="119" t="s">
        <v>1011</v>
      </c>
    </row>
    <row r="356" s="117" customFormat="1" spans="1:52">
      <c r="A356" s="117" t="s">
        <v>281</v>
      </c>
      <c r="B356" s="117" t="s">
        <v>48</v>
      </c>
      <c r="C356" s="117">
        <v>68</v>
      </c>
      <c r="D356" s="135">
        <v>1.69</v>
      </c>
      <c r="E356" s="117">
        <v>60</v>
      </c>
      <c r="F356" s="136">
        <f>E:E/(D:D^2)</f>
        <v>21.0076677987465</v>
      </c>
      <c r="G356" s="117">
        <v>6</v>
      </c>
      <c r="I356" s="158">
        <v>44621</v>
      </c>
      <c r="J356" s="158">
        <v>44631</v>
      </c>
      <c r="L356" s="137">
        <v>4</v>
      </c>
      <c r="M356" s="137">
        <v>10</v>
      </c>
      <c r="N356" s="139" t="s">
        <v>1012</v>
      </c>
      <c r="O356" s="114"/>
      <c r="P356" s="114"/>
      <c r="Q356" s="114"/>
      <c r="R356" s="114"/>
      <c r="S356" s="114"/>
      <c r="T356" s="114">
        <v>1</v>
      </c>
      <c r="U356" s="114">
        <v>1</v>
      </c>
      <c r="V356" s="114">
        <v>1</v>
      </c>
      <c r="W356" s="114"/>
      <c r="X356" s="114">
        <v>1</v>
      </c>
      <c r="Y356" s="114">
        <v>2</v>
      </c>
      <c r="Z356" s="114" t="s">
        <v>300</v>
      </c>
      <c r="AA356" s="114">
        <v>2</v>
      </c>
      <c r="AB356" s="114">
        <f>_xlfn.IFS(AT356&gt;51,3,AT356&gt;=34,2,AT356&lt;34,1)</f>
        <v>1</v>
      </c>
      <c r="AC356" s="114">
        <f>_xlfn.IFS(AS356&gt;35,1,AS356&gt;=28,2,AS356&lt;28,3)</f>
        <v>3</v>
      </c>
      <c r="AD356" s="114">
        <f>_xlfn.IFS(AR356&gt;2.3,3,AR356&gt;=1.7,2,AR356&lt;1.7,1)</f>
        <v>1</v>
      </c>
      <c r="AE356" s="114">
        <f>Y356+AA356+AB356+AC356+AD356</f>
        <v>9</v>
      </c>
      <c r="AF356" s="116" t="s">
        <v>63</v>
      </c>
      <c r="AG356" s="114">
        <f>AT356/17.1</f>
        <v>1.93567251461988</v>
      </c>
      <c r="AH356" s="114">
        <f>AU356/88.4</f>
        <v>0.667420814479638</v>
      </c>
      <c r="AI356" s="114">
        <f>AR356</f>
        <v>1.44</v>
      </c>
      <c r="AJ356" s="159">
        <f>LN(IF(AG356&gt;=1,AG356,1))*3.8+LN(IF(AH356&gt;=1,AH356,1))*9.6+11.2*LN(IF(AI356&gt;=1,AI356,1))+6.4*AN356</f>
        <v>6.59373118390731</v>
      </c>
      <c r="AK356" s="160">
        <f>IF(AND(AG356&gt;0,AH356&gt;0,AI356&gt;0),AJ356,"")</f>
        <v>6.59373118390731</v>
      </c>
      <c r="AL356" s="160">
        <f>AK356+1.59*(135-AM356)</f>
        <v>6.59373118390731</v>
      </c>
      <c r="AM356" s="160">
        <f>IF(AV356&gt;135,135,IF(AV356&lt;120,120,AV356))</f>
        <v>135</v>
      </c>
      <c r="AN356" s="114"/>
      <c r="AO356" s="114"/>
      <c r="AP356" s="114">
        <v>4.42</v>
      </c>
      <c r="AQ356" s="114">
        <v>106</v>
      </c>
      <c r="AR356" s="114">
        <v>1.44</v>
      </c>
      <c r="AS356" s="160">
        <v>24</v>
      </c>
      <c r="AT356" s="161">
        <v>33.1</v>
      </c>
      <c r="AU356" s="114">
        <v>59</v>
      </c>
      <c r="AV356" s="114">
        <v>135</v>
      </c>
      <c r="AZ356" s="119" t="s">
        <v>1013</v>
      </c>
    </row>
    <row r="357" s="123" customFormat="1" spans="1:52">
      <c r="A357" s="123" t="s">
        <v>1014</v>
      </c>
      <c r="B357" s="123" t="s">
        <v>53</v>
      </c>
      <c r="C357" s="123">
        <v>37</v>
      </c>
      <c r="D357" s="176">
        <v>1.6</v>
      </c>
      <c r="E357" s="123">
        <v>53</v>
      </c>
      <c r="F357" s="189">
        <f>E:E/(D:D^2)</f>
        <v>20.703125</v>
      </c>
      <c r="G357" s="123">
        <v>3</v>
      </c>
      <c r="I357" s="177">
        <v>44659</v>
      </c>
      <c r="J357" s="177">
        <v>44670</v>
      </c>
      <c r="L357" s="178">
        <v>3</v>
      </c>
      <c r="M357" s="178">
        <v>11</v>
      </c>
      <c r="N357" s="179" t="s">
        <v>1015</v>
      </c>
      <c r="O357" s="114"/>
      <c r="P357" s="114"/>
      <c r="Q357" s="114">
        <v>1</v>
      </c>
      <c r="R357" s="114"/>
      <c r="S357" s="114"/>
      <c r="T357" s="114">
        <v>1</v>
      </c>
      <c r="U357" s="114">
        <v>0</v>
      </c>
      <c r="V357" s="114">
        <v>1</v>
      </c>
      <c r="W357" s="114">
        <v>0</v>
      </c>
      <c r="X357" s="114">
        <v>1</v>
      </c>
      <c r="Y357" s="114">
        <v>1</v>
      </c>
      <c r="Z357" s="114" t="s">
        <v>300</v>
      </c>
      <c r="AA357" s="114">
        <v>2</v>
      </c>
      <c r="AB357" s="114">
        <f>_xlfn.IFS(AT357&gt;51,3,AT357&gt;=34,2,AT357&lt;34,1)</f>
        <v>2</v>
      </c>
      <c r="AC357" s="114">
        <f>_xlfn.IFS(AS357&gt;35,1,AS357&gt;=28,2,AS357&lt;28,3)</f>
        <v>3</v>
      </c>
      <c r="AD357" s="114">
        <f>_xlfn.IFS(AR357&gt;2.3,3,AR357&gt;=1.7,2,AR357&lt;1.7,1)</f>
        <v>1</v>
      </c>
      <c r="AE357" s="114">
        <f>Y357+AA357+AB357+AC357+AD357</f>
        <v>9</v>
      </c>
      <c r="AF357" s="116" t="s">
        <v>63</v>
      </c>
      <c r="AG357" s="114">
        <f>AT357/17.1</f>
        <v>2.76608187134503</v>
      </c>
      <c r="AH357" s="114">
        <f>AU357/88.4</f>
        <v>0.576923076923077</v>
      </c>
      <c r="AI357" s="114">
        <f>AR357</f>
        <v>0.98</v>
      </c>
      <c r="AJ357" s="159">
        <f>LN(IF(AG357&gt;=1,AG357,1))*3.8+LN(IF(AH357&gt;=1,AH357,1))*9.6+11.2*LN(IF(AI357&gt;=1,AI357,1))+6.4*AN357</f>
        <v>3.86624096155924</v>
      </c>
      <c r="AK357" s="160">
        <f>IF(AND(AG357&gt;0,AH357&gt;0,AI357&gt;0),AJ357,"")</f>
        <v>3.86624096155924</v>
      </c>
      <c r="AL357" s="160">
        <f>AK357+1.59*(135-AM357)</f>
        <v>3.86624096155924</v>
      </c>
      <c r="AM357" s="160">
        <f>IF(AV357&gt;135,135,IF(AV357&lt;120,120,AV357))</f>
        <v>135</v>
      </c>
      <c r="AN357" s="114"/>
      <c r="AO357" s="114"/>
      <c r="AP357" s="114">
        <v>4.83</v>
      </c>
      <c r="AQ357" s="114">
        <v>57</v>
      </c>
      <c r="AR357" s="114">
        <v>0.98</v>
      </c>
      <c r="AS357" s="160">
        <v>24</v>
      </c>
      <c r="AT357" s="161">
        <v>47.3</v>
      </c>
      <c r="AU357" s="114">
        <v>51</v>
      </c>
      <c r="AV357" s="114">
        <v>137</v>
      </c>
      <c r="AZ357" s="132" t="s">
        <v>1016</v>
      </c>
    </row>
    <row r="358" s="117" customFormat="1" spans="1:52">
      <c r="A358" s="117" t="s">
        <v>1017</v>
      </c>
      <c r="B358" s="117" t="s">
        <v>53</v>
      </c>
      <c r="C358" s="117">
        <v>84</v>
      </c>
      <c r="D358" s="135">
        <v>1.65</v>
      </c>
      <c r="E358" s="117">
        <v>70</v>
      </c>
      <c r="F358" s="136">
        <f>E:E/(D:D^2)</f>
        <v>25.7116620752984</v>
      </c>
      <c r="G358" s="117">
        <v>5</v>
      </c>
      <c r="I358" s="158">
        <v>44659</v>
      </c>
      <c r="J358" s="158">
        <v>44679</v>
      </c>
      <c r="L358" s="137">
        <v>1</v>
      </c>
      <c r="M358" s="137">
        <v>20</v>
      </c>
      <c r="N358" s="139" t="s">
        <v>1018</v>
      </c>
      <c r="O358" s="114"/>
      <c r="P358" s="114"/>
      <c r="Q358" s="114">
        <v>1</v>
      </c>
      <c r="R358" s="114"/>
      <c r="S358" s="114"/>
      <c r="T358" s="114">
        <v>1</v>
      </c>
      <c r="U358" s="114">
        <v>0</v>
      </c>
      <c r="V358" s="114">
        <v>1</v>
      </c>
      <c r="W358" s="114">
        <v>0</v>
      </c>
      <c r="X358" s="114">
        <v>1</v>
      </c>
      <c r="Y358" s="114">
        <v>1</v>
      </c>
      <c r="Z358" s="114" t="s">
        <v>321</v>
      </c>
      <c r="AA358" s="114">
        <v>3</v>
      </c>
      <c r="AB358" s="114">
        <f>_xlfn.IFS(AT358&gt;51,3,AT358&gt;=34,2,AT358&lt;34,1)</f>
        <v>1</v>
      </c>
      <c r="AC358" s="114">
        <f>_xlfn.IFS(AS358&gt;35,1,AS358&gt;=28,2,AS358&lt;28,3)</f>
        <v>3</v>
      </c>
      <c r="AD358" s="114">
        <f>_xlfn.IFS(AR358&gt;2.3,3,AR358&gt;=1.7,2,AR358&lt;1.7,1)</f>
        <v>1</v>
      </c>
      <c r="AE358" s="114">
        <f>Y358+AA358+AB358+AC358+AD358</f>
        <v>9</v>
      </c>
      <c r="AF358" s="116" t="s">
        <v>63</v>
      </c>
      <c r="AG358" s="114">
        <f>AT358/17.1</f>
        <v>0.385964912280702</v>
      </c>
      <c r="AH358" s="114">
        <f>AU358/88.4</f>
        <v>0.8710407239819</v>
      </c>
      <c r="AI358" s="114">
        <f>AR358</f>
        <v>1.16</v>
      </c>
      <c r="AJ358" s="159">
        <f>LN(IF(AG358&gt;=1,AG358,1))*3.8+LN(IF(AH358&gt;=1,AH358,1))*9.6+11.2*LN(IF(AI358&gt;=1,AI358,1))+6.4*AN358</f>
        <v>1.66230405732466</v>
      </c>
      <c r="AK358" s="160">
        <f>IF(AND(AG358&gt;0,AH358&gt;0,AI358&gt;0),AJ358,"")</f>
        <v>1.66230405732466</v>
      </c>
      <c r="AL358" s="160">
        <f>AK358+1.59*(135-AM358)</f>
        <v>1.66230405732466</v>
      </c>
      <c r="AM358" s="160">
        <f>IF(AV358&gt;135,135,IF(AV358&lt;120,120,AV358))</f>
        <v>135</v>
      </c>
      <c r="AN358" s="114"/>
      <c r="AO358" s="114"/>
      <c r="AP358" s="114">
        <v>7.15</v>
      </c>
      <c r="AQ358" s="114">
        <v>105</v>
      </c>
      <c r="AR358" s="114">
        <v>1.16</v>
      </c>
      <c r="AS358" s="160">
        <v>25</v>
      </c>
      <c r="AT358" s="161">
        <v>6.6</v>
      </c>
      <c r="AU358" s="114">
        <v>77</v>
      </c>
      <c r="AV358" s="114">
        <v>139</v>
      </c>
      <c r="AZ358" s="119" t="s">
        <v>1019</v>
      </c>
    </row>
    <row r="359" s="117" customFormat="1" spans="1:52">
      <c r="A359" s="117" t="s">
        <v>1020</v>
      </c>
      <c r="B359" s="117" t="s">
        <v>53</v>
      </c>
      <c r="C359" s="117">
        <v>44</v>
      </c>
      <c r="D359" s="135">
        <v>1.6</v>
      </c>
      <c r="E359" s="117">
        <v>60</v>
      </c>
      <c r="F359" s="136">
        <f>E:E/(D:D^2)</f>
        <v>23.4375</v>
      </c>
      <c r="G359" s="117">
        <v>3</v>
      </c>
      <c r="I359" s="158">
        <v>44664</v>
      </c>
      <c r="J359" s="158">
        <v>44680</v>
      </c>
      <c r="L359" s="137">
        <v>1</v>
      </c>
      <c r="M359" s="138">
        <v>11</v>
      </c>
      <c r="N359" s="139" t="s">
        <v>1021</v>
      </c>
      <c r="O359" s="114"/>
      <c r="P359" s="114"/>
      <c r="Q359" s="114"/>
      <c r="R359" s="114"/>
      <c r="S359" s="114"/>
      <c r="T359" s="114">
        <v>0</v>
      </c>
      <c r="U359" s="114">
        <v>0</v>
      </c>
      <c r="V359" s="114">
        <v>1</v>
      </c>
      <c r="W359" s="114">
        <v>0</v>
      </c>
      <c r="X359" s="114">
        <v>1</v>
      </c>
      <c r="Y359" s="114">
        <v>1</v>
      </c>
      <c r="Z359" s="114" t="s">
        <v>58</v>
      </c>
      <c r="AA359" s="114">
        <v>1</v>
      </c>
      <c r="AB359" s="114">
        <f>_xlfn.IFS(AT359&gt;51,3,AT359&gt;=34,2,AT359&lt;34,1)</f>
        <v>1</v>
      </c>
      <c r="AC359" s="114">
        <f>_xlfn.IFS(AS359&gt;35,1,AS359&gt;=28,2,AS359&lt;28,3)</f>
        <v>2</v>
      </c>
      <c r="AD359" s="114">
        <f>_xlfn.IFS(AR359&gt;2.3,3,AR359&gt;=1.7,2,AR359&lt;1.7,1)</f>
        <v>1</v>
      </c>
      <c r="AE359" s="114">
        <f>Y359+AA359+AB359+AC359+AD359</f>
        <v>6</v>
      </c>
      <c r="AF359" s="116" t="s">
        <v>59</v>
      </c>
      <c r="AG359" s="114">
        <f>AT359/17.1</f>
        <v>0.210526315789474</v>
      </c>
      <c r="AH359" s="114">
        <f>AU359/88.4</f>
        <v>0.554298642533937</v>
      </c>
      <c r="AI359" s="114">
        <f>AR359</f>
        <v>1.59</v>
      </c>
      <c r="AJ359" s="159">
        <f>LN(IF(AG359&gt;=1,AG359,1))*3.8+LN(IF(AH359&gt;=1,AH359,1))*9.6+11.2*LN(IF(AI359&gt;=1,AI359,1))+6.4*AN359</f>
        <v>5.19382098179997</v>
      </c>
      <c r="AK359" s="160">
        <f>IF(AND(AG359&gt;0,AH359&gt;0,AI359&gt;0),AJ359,"")</f>
        <v>5.19382098179997</v>
      </c>
      <c r="AL359" s="160">
        <f>AK359+1.59*(135-AM359)</f>
        <v>5.19382098179997</v>
      </c>
      <c r="AM359" s="160">
        <f>IF(AV359&gt;135,135,IF(AV359&lt;120,120,AV359))</f>
        <v>135</v>
      </c>
      <c r="AN359" s="114"/>
      <c r="AO359" s="114"/>
      <c r="AP359" s="114">
        <v>26.53</v>
      </c>
      <c r="AQ359" s="114">
        <v>45</v>
      </c>
      <c r="AR359" s="114">
        <v>1.59</v>
      </c>
      <c r="AS359" s="160">
        <v>32</v>
      </c>
      <c r="AT359" s="161">
        <v>3.6</v>
      </c>
      <c r="AU359" s="114">
        <v>49</v>
      </c>
      <c r="AV359" s="114">
        <v>139</v>
      </c>
      <c r="AZ359" s="119" t="s">
        <v>1022</v>
      </c>
    </row>
    <row r="360" s="117" customFormat="1" spans="1:52">
      <c r="A360" s="117" t="s">
        <v>1023</v>
      </c>
      <c r="B360" s="117" t="s">
        <v>53</v>
      </c>
      <c r="C360" s="117">
        <v>51</v>
      </c>
      <c r="D360" s="135">
        <v>1.63</v>
      </c>
      <c r="E360" s="117">
        <v>60</v>
      </c>
      <c r="F360" s="136">
        <f>E:E/(D:D^2)</f>
        <v>22.5827091723437</v>
      </c>
      <c r="G360" s="117">
        <v>0</v>
      </c>
      <c r="I360" s="158">
        <v>44661</v>
      </c>
      <c r="J360" s="158">
        <v>44669</v>
      </c>
      <c r="L360" s="137">
        <v>1</v>
      </c>
      <c r="M360" s="138">
        <v>8</v>
      </c>
      <c r="N360" s="139" t="s">
        <v>1024</v>
      </c>
      <c r="O360" s="114">
        <v>1</v>
      </c>
      <c r="P360" s="114"/>
      <c r="Q360" s="114"/>
      <c r="R360" s="114"/>
      <c r="S360" s="114"/>
      <c r="T360" s="114">
        <v>1</v>
      </c>
      <c r="U360" s="114">
        <v>0</v>
      </c>
      <c r="V360" s="114">
        <v>1</v>
      </c>
      <c r="W360" s="114">
        <v>0</v>
      </c>
      <c r="X360" s="114">
        <v>1</v>
      </c>
      <c r="Y360" s="114">
        <v>1</v>
      </c>
      <c r="Z360" s="114" t="s">
        <v>307</v>
      </c>
      <c r="AA360" s="114">
        <v>3</v>
      </c>
      <c r="AB360" s="114">
        <f>_xlfn.IFS(AT360&gt;51,3,AT360&gt;=34,2,AT360&lt;34,1)</f>
        <v>1</v>
      </c>
      <c r="AC360" s="114">
        <f>_xlfn.IFS(AS360&gt;35,1,AS360&gt;=28,2,AS360&lt;28,3)</f>
        <v>1</v>
      </c>
      <c r="AD360" s="114">
        <f>_xlfn.IFS(AR360&gt;2.3,3,AR360&gt;=1.7,2,AR360&lt;1.7,1)</f>
        <v>1</v>
      </c>
      <c r="AE360" s="114">
        <f>Y360+AA360+AB360+AC360+AD360</f>
        <v>7</v>
      </c>
      <c r="AF360" s="116" t="s">
        <v>63</v>
      </c>
      <c r="AG360" s="114">
        <f>AT360/17.1</f>
        <v>0.994152046783626</v>
      </c>
      <c r="AH360" s="114">
        <f>AU360/88.4</f>
        <v>0.576923076923077</v>
      </c>
      <c r="AI360" s="114">
        <f>AR360</f>
        <v>1.21</v>
      </c>
      <c r="AJ360" s="159">
        <f>LN(IF(AG360&gt;=1,AG360,1))*3.8+LN(IF(AH360&gt;=1,AH360,1))*9.6+11.2*LN(IF(AI360&gt;=1,AI360,1))+6.4*AN360</f>
        <v>2.13494802761688</v>
      </c>
      <c r="AK360" s="160">
        <f>IF(AND(AG360&gt;0,AH360&gt;0,AI360&gt;0),AJ360,"")</f>
        <v>2.13494802761688</v>
      </c>
      <c r="AL360" s="160">
        <f>AK360+1.59*(135-AM360)</f>
        <v>2.13494802761688</v>
      </c>
      <c r="AM360" s="160">
        <f>IF(AV360&gt;135,135,IF(AV360&lt;120,120,AV360))</f>
        <v>135</v>
      </c>
      <c r="AN360" s="114"/>
      <c r="AO360" s="114"/>
      <c r="AP360" s="114">
        <v>1.79</v>
      </c>
      <c r="AQ360" s="114">
        <v>121</v>
      </c>
      <c r="AR360" s="114">
        <v>1.21</v>
      </c>
      <c r="AS360" s="160">
        <v>38</v>
      </c>
      <c r="AT360" s="161">
        <v>17</v>
      </c>
      <c r="AU360" s="114">
        <v>51</v>
      </c>
      <c r="AV360" s="114">
        <v>142</v>
      </c>
      <c r="AZ360" s="119" t="s">
        <v>1025</v>
      </c>
    </row>
    <row r="361" s="123" customFormat="1" spans="1:52">
      <c r="A361" s="123" t="s">
        <v>1026</v>
      </c>
      <c r="B361" s="123" t="s">
        <v>48</v>
      </c>
      <c r="C361" s="123">
        <v>59</v>
      </c>
      <c r="D361" s="176">
        <v>1.65</v>
      </c>
      <c r="E361" s="123">
        <v>70</v>
      </c>
      <c r="F361" s="189">
        <v>25.71166</v>
      </c>
      <c r="G361" s="123">
        <v>6</v>
      </c>
      <c r="I361" s="177">
        <v>44579</v>
      </c>
      <c r="J361" s="177">
        <v>44589</v>
      </c>
      <c r="L361" s="178">
        <v>1</v>
      </c>
      <c r="M361" s="178">
        <v>10</v>
      </c>
      <c r="N361" s="179" t="s">
        <v>1027</v>
      </c>
      <c r="O361" s="114"/>
      <c r="P361" s="114">
        <v>1</v>
      </c>
      <c r="Q361" s="114"/>
      <c r="R361" s="114"/>
      <c r="S361" s="114"/>
      <c r="T361" s="114">
        <v>0</v>
      </c>
      <c r="U361" s="114">
        <v>0</v>
      </c>
      <c r="V361" s="114">
        <v>1</v>
      </c>
      <c r="W361" s="114">
        <v>0</v>
      </c>
      <c r="X361" s="114">
        <v>1</v>
      </c>
      <c r="Y361" s="114">
        <v>1</v>
      </c>
      <c r="Z361" s="114" t="s">
        <v>58</v>
      </c>
      <c r="AA361" s="114">
        <v>1</v>
      </c>
      <c r="AB361" s="114">
        <f>_xlfn.IFS(AT361&gt;51,3,AT361&gt;=34,2,AT361&lt;34,1)</f>
        <v>1</v>
      </c>
      <c r="AC361" s="114">
        <f>_xlfn.IFS(AS361&gt;35,1,AS361&gt;=28,2,AS361&lt;28,3)</f>
        <v>2</v>
      </c>
      <c r="AD361" s="114">
        <f>_xlfn.IFS(AR361&gt;2.3,3,AR361&gt;=1.7,2,AR361&lt;1.7,1)</f>
        <v>1</v>
      </c>
      <c r="AE361" s="114">
        <f>Y361+AA361+AB361+AC361+AD361</f>
        <v>6</v>
      </c>
      <c r="AF361" s="116" t="s">
        <v>59</v>
      </c>
      <c r="AG361" s="114">
        <f>AT361/17.1</f>
        <v>0.549707602339181</v>
      </c>
      <c r="AH361" s="114">
        <f>AU361/88.4</f>
        <v>0.791855203619909</v>
      </c>
      <c r="AI361" s="114">
        <f>AR361</f>
        <v>1.1</v>
      </c>
      <c r="AJ361" s="159">
        <f>LN(IF(AG361&gt;=1,AG361,1))*3.8+LN(IF(AH361&gt;=1,AH361,1))*9.6+11.2*LN(IF(AI361&gt;=1,AI361,1))+6.4*AN361</f>
        <v>1.06747401380844</v>
      </c>
      <c r="AK361" s="160">
        <f>IF(AND(AG361&gt;0,AH361&gt;0,AI361&gt;0),AJ361,"")</f>
        <v>1.06747401380844</v>
      </c>
      <c r="AL361" s="160">
        <f>AK361+1.59*(135-AM361)</f>
        <v>1.06747401380844</v>
      </c>
      <c r="AM361" s="160">
        <f>IF(AV361&gt;135,135,IF(AV361&lt;120,120,AV361))</f>
        <v>135</v>
      </c>
      <c r="AN361" s="114">
        <v>0</v>
      </c>
      <c r="AO361" s="114">
        <f>_xlfn.IFS(AJ361&lt;15,1,AJ361=15-18,2,AJ361&gt;18,3)</f>
        <v>1</v>
      </c>
      <c r="AP361" s="114">
        <v>6.82</v>
      </c>
      <c r="AQ361" s="114">
        <v>110</v>
      </c>
      <c r="AR361" s="114">
        <v>1.1</v>
      </c>
      <c r="AS361" s="160">
        <v>34</v>
      </c>
      <c r="AT361" s="161">
        <v>9.4</v>
      </c>
      <c r="AU361" s="114">
        <v>70</v>
      </c>
      <c r="AV361" s="114">
        <v>137</v>
      </c>
      <c r="AZ361" s="132" t="s">
        <v>1028</v>
      </c>
    </row>
    <row r="362" s="123" customFormat="1" spans="1:52">
      <c r="A362" s="123" t="s">
        <v>1029</v>
      </c>
      <c r="B362" s="123" t="s">
        <v>48</v>
      </c>
      <c r="C362" s="123">
        <v>74</v>
      </c>
      <c r="D362" s="176">
        <v>1.72</v>
      </c>
      <c r="E362" s="123">
        <v>77.5</v>
      </c>
      <c r="F362" s="189">
        <v>26.19659</v>
      </c>
      <c r="G362" s="123">
        <v>0</v>
      </c>
      <c r="I362" s="177">
        <v>44581</v>
      </c>
      <c r="J362" s="177">
        <v>44595</v>
      </c>
      <c r="L362" s="178">
        <v>1</v>
      </c>
      <c r="M362" s="178">
        <v>14</v>
      </c>
      <c r="N362" s="179" t="s">
        <v>1030</v>
      </c>
      <c r="O362" s="114"/>
      <c r="P362" s="114">
        <v>1</v>
      </c>
      <c r="Q362" s="114"/>
      <c r="R362" s="114"/>
      <c r="S362" s="114"/>
      <c r="T362" s="114">
        <v>1</v>
      </c>
      <c r="U362" s="114">
        <v>0</v>
      </c>
      <c r="V362" s="114">
        <v>1</v>
      </c>
      <c r="W362" s="114">
        <v>1</v>
      </c>
      <c r="X362" s="114">
        <v>1</v>
      </c>
      <c r="Y362" s="114">
        <v>1</v>
      </c>
      <c r="Z362" s="114" t="s">
        <v>300</v>
      </c>
      <c r="AA362" s="114">
        <v>2</v>
      </c>
      <c r="AB362" s="114">
        <f>_xlfn.IFS(AT362&gt;51,3,AT362&gt;=34,2,AT362&lt;34,1)</f>
        <v>1</v>
      </c>
      <c r="AC362" s="114">
        <f>_xlfn.IFS(AS362&gt;35,1,AS362&gt;=28,2,AS362&lt;28,3)</f>
        <v>2</v>
      </c>
      <c r="AD362" s="114">
        <f>_xlfn.IFS(AR362&gt;2.3,3,AR362&gt;=1.7,2,AR362&lt;1.7,1)</f>
        <v>1</v>
      </c>
      <c r="AE362" s="114">
        <f>Y362+AA362+AB362+AC362+AD362</f>
        <v>7</v>
      </c>
      <c r="AF362" s="116" t="s">
        <v>63</v>
      </c>
      <c r="AG362" s="114">
        <f>AT362/17.1</f>
        <v>0.52046783625731</v>
      </c>
      <c r="AH362" s="114">
        <f>AU362/88.4</f>
        <v>1.5158371040724</v>
      </c>
      <c r="AI362" s="114">
        <f>AR362</f>
        <v>1.11</v>
      </c>
      <c r="AJ362" s="159">
        <f>LN(IF(AG362&gt;=1,AG362,1))*3.8+LN(IF(AH362&gt;=1,AH362,1))*9.6+11.2*LN(IF(AI362&gt;=1,AI362,1))+6.4*AN362</f>
        <v>5.16212334258173</v>
      </c>
      <c r="AK362" s="160">
        <f>IF(AND(AG362&gt;0,AH362&gt;0,AI362&gt;0),AJ362,"")</f>
        <v>5.16212334258173</v>
      </c>
      <c r="AL362" s="160">
        <f>AK362+1.59*(135-AM362)</f>
        <v>5.16212334258173</v>
      </c>
      <c r="AM362" s="160">
        <f>IF(AV362&gt;135,135,IF(AV362&lt;120,120,AV362))</f>
        <v>135</v>
      </c>
      <c r="AN362" s="114">
        <v>0</v>
      </c>
      <c r="AO362" s="116">
        <f>_xlfn.IFS(AJ362&lt;15,1,AJ362=15-18,2,AJ362&gt;18,3)</f>
        <v>1</v>
      </c>
      <c r="AP362" s="114">
        <v>4.65</v>
      </c>
      <c r="AQ362" s="114">
        <v>47</v>
      </c>
      <c r="AR362" s="114">
        <v>1.11</v>
      </c>
      <c r="AS362" s="160">
        <v>28</v>
      </c>
      <c r="AT362" s="161">
        <v>8.9</v>
      </c>
      <c r="AU362" s="114">
        <v>134</v>
      </c>
      <c r="AV362" s="114">
        <v>149</v>
      </c>
      <c r="AZ362" s="132" t="s">
        <v>1031</v>
      </c>
    </row>
    <row r="363" spans="1:52">
      <c r="A363" s="117" t="s">
        <v>187</v>
      </c>
      <c r="B363" s="117" t="s">
        <v>53</v>
      </c>
      <c r="C363" s="117">
        <v>55</v>
      </c>
      <c r="D363" s="135">
        <v>1.67</v>
      </c>
      <c r="E363" s="117">
        <v>53</v>
      </c>
      <c r="G363" s="114">
        <v>2</v>
      </c>
      <c r="H363" s="114"/>
      <c r="I363" s="210">
        <v>44585</v>
      </c>
      <c r="J363" s="210">
        <v>44602</v>
      </c>
      <c r="K363" s="114"/>
      <c r="L363" s="138">
        <v>4</v>
      </c>
      <c r="M363" s="138">
        <v>17</v>
      </c>
      <c r="N363" s="213" t="s">
        <v>1032</v>
      </c>
      <c r="O363" s="114">
        <v>1</v>
      </c>
      <c r="P363" s="114"/>
      <c r="Q363" s="114"/>
      <c r="R363" s="114"/>
      <c r="S363" s="114"/>
      <c r="T363" s="114">
        <v>0</v>
      </c>
      <c r="U363" s="114">
        <v>0</v>
      </c>
      <c r="V363" s="114">
        <v>1</v>
      </c>
      <c r="W363" s="114">
        <v>0</v>
      </c>
      <c r="X363" s="114">
        <v>1</v>
      </c>
      <c r="Y363" s="114">
        <v>1</v>
      </c>
      <c r="Z363" s="114" t="s">
        <v>58</v>
      </c>
      <c r="AA363" s="114">
        <v>1</v>
      </c>
      <c r="AB363" s="114">
        <f>_xlfn.IFS(AT363&gt;51,3,AT363&gt;=34,2,AT363&lt;34,1)</f>
        <v>1</v>
      </c>
      <c r="AC363" s="114">
        <f>_xlfn.IFS(AS363&gt;35,1,AS363&gt;=28,2,AS363&lt;28,3)</f>
        <v>2</v>
      </c>
      <c r="AD363" s="114">
        <f>_xlfn.IFS(AR363&gt;2.3,3,AR363&gt;=1.7,2,AR363&lt;1.7,1)</f>
        <v>1</v>
      </c>
      <c r="AE363" s="114">
        <f>Y363+AA363+AB363+AC363+AD363</f>
        <v>6</v>
      </c>
      <c r="AF363" s="116" t="s">
        <v>59</v>
      </c>
      <c r="AG363" s="114">
        <f>AT363/17.1</f>
        <v>0.906432748538012</v>
      </c>
      <c r="AH363" s="114">
        <f>AU363/88.4</f>
        <v>0.452488687782805</v>
      </c>
      <c r="AI363" s="114">
        <f>AR363</f>
        <v>1.26</v>
      </c>
      <c r="AJ363" s="159">
        <f>LN(IF(AG363&gt;=1,AG363,1))*3.8+LN(IF(AH363&gt;=1,AH363,1))*9.6+11.2*LN(IF(AI363&gt;=1,AI363,1))+6.4*AN363</f>
        <v>8.98845127478993</v>
      </c>
      <c r="AK363" s="160">
        <f>IF(AND(AG363&gt;0,AH363&gt;0,AI363&gt;0),AJ363,"")</f>
        <v>8.98845127478993</v>
      </c>
      <c r="AL363" s="160">
        <f>AK363+1.59*(135-AM363)</f>
        <v>8.98845127478993</v>
      </c>
      <c r="AM363" s="160">
        <f>IF(AV363&gt;135,135,IF(AV363&lt;120,120,AV363))</f>
        <v>135</v>
      </c>
      <c r="AN363" s="114">
        <v>1</v>
      </c>
      <c r="AO363" s="114">
        <f>_xlfn.IFS(AJ363&lt;15,1,AJ363=15-18,2,AJ363&gt;18,3)</f>
        <v>1</v>
      </c>
      <c r="AP363" s="114">
        <v>1.29</v>
      </c>
      <c r="AQ363" s="114">
        <v>60</v>
      </c>
      <c r="AR363" s="114">
        <v>1.26</v>
      </c>
      <c r="AS363" s="160">
        <v>33</v>
      </c>
      <c r="AT363" s="161">
        <v>15.5</v>
      </c>
      <c r="AU363" s="114">
        <v>40</v>
      </c>
      <c r="AV363" s="114">
        <v>138</v>
      </c>
      <c r="AZ363" s="119" t="s">
        <v>1033</v>
      </c>
    </row>
    <row r="364" s="125" customFormat="1" spans="1:52">
      <c r="A364" s="125" t="s">
        <v>1034</v>
      </c>
      <c r="B364" s="125" t="s">
        <v>48</v>
      </c>
      <c r="C364" s="125">
        <v>77</v>
      </c>
      <c r="D364" s="185"/>
      <c r="F364" s="216"/>
      <c r="G364" s="125">
        <v>1</v>
      </c>
      <c r="I364" s="186">
        <v>44585</v>
      </c>
      <c r="J364" s="186">
        <v>44592</v>
      </c>
      <c r="L364" s="187">
        <v>6</v>
      </c>
      <c r="M364" s="187">
        <v>7</v>
      </c>
      <c r="N364" s="188" t="s">
        <v>1035</v>
      </c>
      <c r="S364" s="125">
        <v>1</v>
      </c>
      <c r="T364" s="125">
        <v>0</v>
      </c>
      <c r="U364" s="125">
        <v>0</v>
      </c>
      <c r="V364" s="125">
        <v>1</v>
      </c>
      <c r="W364" s="125">
        <v>0</v>
      </c>
      <c r="X364" s="125">
        <v>1</v>
      </c>
      <c r="Y364" s="125">
        <v>1</v>
      </c>
      <c r="Z364" s="125" t="s">
        <v>58</v>
      </c>
      <c r="AA364" s="125">
        <v>1</v>
      </c>
      <c r="AB364" s="125">
        <f>_xlfn.IFS(AT364&gt;51,3,AT364&gt;=34,2,AT364&lt;34,1)</f>
        <v>1</v>
      </c>
      <c r="AC364" s="125">
        <f>_xlfn.IFS(AS364&gt;35,1,AS364&gt;=28,2,AS364&lt;28,3)</f>
        <v>2</v>
      </c>
      <c r="AD364" s="125">
        <f>_xlfn.IFS(AR364&gt;2.3,3,AR364&gt;=1.7,2,AR364&lt;1.7,1)</f>
        <v>1</v>
      </c>
      <c r="AE364" s="125">
        <f>Y364+AA364+AB364+AC364+AD364</f>
        <v>6</v>
      </c>
      <c r="AF364" s="131" t="s">
        <v>59</v>
      </c>
      <c r="AG364" s="125">
        <f>AT364/17.1</f>
        <v>1.61988304093567</v>
      </c>
      <c r="AH364" s="125">
        <f>AU364/88.4</f>
        <v>0.746606334841629</v>
      </c>
      <c r="AI364" s="125">
        <f>AR364</f>
        <v>1.59</v>
      </c>
      <c r="AJ364" s="240">
        <f>LN(IF(AG364&gt;=1,AG364,1))*3.8+LN(IF(AH364&gt;=1,AH364,1))*9.6+11.2*LN(IF(AI364&gt;=1,AI364,1))+6.4*AN364</f>
        <v>13.4267659906017</v>
      </c>
      <c r="AK364" s="241">
        <f>IF(AND(AG364&gt;0,AH364&gt;0,AI364&gt;0),AJ364,"")</f>
        <v>13.4267659906017</v>
      </c>
      <c r="AL364" s="241">
        <f>AK364+1.59*(135-AM364)</f>
        <v>13.4267659906017</v>
      </c>
      <c r="AM364" s="241">
        <f>IF(AV364&gt;135,135,IF(AV364&lt;120,120,AV364))</f>
        <v>135</v>
      </c>
      <c r="AN364" s="125">
        <v>1</v>
      </c>
      <c r="AO364" s="125">
        <f>_xlfn.IFS(AJ364&lt;15,1,AJ364=15-18,2,AJ364&gt;18,3)</f>
        <v>1</v>
      </c>
      <c r="AP364" s="125">
        <v>2.83</v>
      </c>
      <c r="AQ364" s="125">
        <v>58</v>
      </c>
      <c r="AR364" s="125">
        <v>1.59</v>
      </c>
      <c r="AS364" s="241">
        <v>28</v>
      </c>
      <c r="AT364" s="242">
        <v>27.7</v>
      </c>
      <c r="AU364" s="125">
        <v>66</v>
      </c>
      <c r="AV364" s="125">
        <v>140</v>
      </c>
      <c r="AZ364" s="131" t="s">
        <v>1036</v>
      </c>
    </row>
    <row r="365" s="127" customFormat="1" spans="1:52">
      <c r="A365" s="127" t="s">
        <v>726</v>
      </c>
      <c r="B365" s="127" t="s">
        <v>53</v>
      </c>
      <c r="C365" s="127">
        <v>72</v>
      </c>
      <c r="D365" s="197">
        <v>1.57</v>
      </c>
      <c r="E365" s="127">
        <v>45</v>
      </c>
      <c r="F365" s="198">
        <v>18.25632</v>
      </c>
      <c r="G365" s="127">
        <v>1</v>
      </c>
      <c r="I365" s="199">
        <v>44576</v>
      </c>
      <c r="J365" s="199">
        <v>44587</v>
      </c>
      <c r="L365" s="200">
        <v>6</v>
      </c>
      <c r="M365" s="200">
        <v>11</v>
      </c>
      <c r="N365" s="201" t="s">
        <v>1037</v>
      </c>
      <c r="O365" s="116"/>
      <c r="P365" s="116"/>
      <c r="Q365" s="116"/>
      <c r="R365" s="116">
        <v>1</v>
      </c>
      <c r="S365" s="116"/>
      <c r="T365" s="116">
        <v>1</v>
      </c>
      <c r="U365" s="116">
        <v>0</v>
      </c>
      <c r="V365" s="116">
        <v>1</v>
      </c>
      <c r="W365" s="116">
        <v>0</v>
      </c>
      <c r="X365" s="116">
        <v>1</v>
      </c>
      <c r="Y365" s="116">
        <v>1</v>
      </c>
      <c r="Z365" s="116" t="s">
        <v>321</v>
      </c>
      <c r="AA365" s="116">
        <v>3</v>
      </c>
      <c r="AB365" s="116">
        <f>_xlfn.IFS(AT365&gt;51,3,AT365&gt;=34,2,AT365&lt;34,1)</f>
        <v>3</v>
      </c>
      <c r="AC365" s="116">
        <f>_xlfn.IFS(AS365&gt;35,1,AS365&gt;=28,2,AS365&lt;28,3)</f>
        <v>3</v>
      </c>
      <c r="AD365" s="114">
        <f t="shared" ref="AD365:AD377" si="74">_xlfn.IFS(AR365&gt;2.3,3,AR365&gt;=1.7,2,AR365&lt;1.7,1)</f>
        <v>1</v>
      </c>
      <c r="AE365" s="116">
        <f>Y365+AA365+AB365+AC365+AD365</f>
        <v>11</v>
      </c>
      <c r="AF365" s="116" t="s">
        <v>50</v>
      </c>
      <c r="AG365" s="114">
        <f>AT365/17.1</f>
        <v>4</v>
      </c>
      <c r="AH365" s="114">
        <f>AU365/88.4</f>
        <v>0.599547511312217</v>
      </c>
      <c r="AI365" s="114">
        <f>AR365</f>
        <v>1.36</v>
      </c>
      <c r="AJ365" s="159">
        <f>LN(IF(AG365&gt;=1,AG365,1))*3.8+LN(IF(AH365&gt;=1,AH365,1))*9.6+11.2*LN(IF(AI365&gt;=1,AI365,1))+6.4*AN365</f>
        <v>8.71174720943274</v>
      </c>
      <c r="AK365" s="160">
        <f t="shared" ref="AK365:AK379" si="75">IF(AND(AG365&gt;0,AH365&gt;0,AI365&gt;0),AJ365,"")</f>
        <v>8.71174720943274</v>
      </c>
      <c r="AL365" s="160">
        <f>AK365+1.59*(135-AM365)</f>
        <v>8.71174720943274</v>
      </c>
      <c r="AM365" s="160">
        <f t="shared" ref="AM365:AM382" si="76">IF(AV365&gt;135,135,IF(AV365&lt;120,120,AV365))</f>
        <v>135</v>
      </c>
      <c r="AN365" s="116">
        <v>0</v>
      </c>
      <c r="AO365" s="114">
        <v>1</v>
      </c>
      <c r="AP365" s="116">
        <v>4.39</v>
      </c>
      <c r="AQ365" s="116">
        <v>115</v>
      </c>
      <c r="AR365" s="116">
        <v>1.36</v>
      </c>
      <c r="AS365" s="202">
        <v>26</v>
      </c>
      <c r="AT365" s="203">
        <v>68.4</v>
      </c>
      <c r="AU365" s="116">
        <v>53</v>
      </c>
      <c r="AV365" s="116">
        <v>138</v>
      </c>
      <c r="AZ365" s="127" t="s">
        <v>1038</v>
      </c>
    </row>
    <row r="366" s="124" customFormat="1" spans="1:52">
      <c r="A366" s="124" t="s">
        <v>1039</v>
      </c>
      <c r="B366" s="124" t="s">
        <v>53</v>
      </c>
      <c r="C366" s="124">
        <v>51</v>
      </c>
      <c r="D366" s="180">
        <v>1.6</v>
      </c>
      <c r="E366" s="124">
        <v>41</v>
      </c>
      <c r="F366" s="181">
        <v>16.01563</v>
      </c>
      <c r="G366" s="124">
        <v>2</v>
      </c>
      <c r="I366" s="182">
        <v>44568</v>
      </c>
      <c r="J366" s="182">
        <v>44580</v>
      </c>
      <c r="L366" s="183">
        <v>4</v>
      </c>
      <c r="M366" s="183">
        <v>12</v>
      </c>
      <c r="N366" s="184" t="s">
        <v>1040</v>
      </c>
      <c r="O366" s="114"/>
      <c r="P366" s="114"/>
      <c r="Q366" s="114"/>
      <c r="R366" s="114"/>
      <c r="S366" s="114">
        <v>1</v>
      </c>
      <c r="T366" s="114">
        <v>1</v>
      </c>
      <c r="U366" s="114">
        <v>0</v>
      </c>
      <c r="V366" s="114">
        <v>1</v>
      </c>
      <c r="W366" s="114">
        <v>0</v>
      </c>
      <c r="X366" s="114">
        <v>1</v>
      </c>
      <c r="Y366" s="114">
        <v>1</v>
      </c>
      <c r="Z366" s="114" t="s">
        <v>300</v>
      </c>
      <c r="AA366" s="114">
        <v>2</v>
      </c>
      <c r="AB366" s="114">
        <f>_xlfn.IFS(AT366&gt;51,3,AT366&gt;=34,2,AT366&lt;34,1)</f>
        <v>1</v>
      </c>
      <c r="AC366" s="114">
        <f>_xlfn.IFS(AS366&gt;35,1,AS366&gt;=28,2,AS366&lt;28,3)</f>
        <v>3</v>
      </c>
      <c r="AD366" s="114">
        <f t="shared" si="74"/>
        <v>1</v>
      </c>
      <c r="AE366" s="114">
        <f>Y366+AA366+AB366+AC366+AD366</f>
        <v>8</v>
      </c>
      <c r="AF366" s="116" t="s">
        <v>63</v>
      </c>
      <c r="AG366" s="114">
        <f>AT366/17.1</f>
        <v>0.894736842105263</v>
      </c>
      <c r="AH366" s="114">
        <f>AU366/88.4</f>
        <v>0.622171945701357</v>
      </c>
      <c r="AI366" s="114">
        <f>AR366</f>
        <v>1.24</v>
      </c>
      <c r="AJ366" s="159">
        <f>LN(IF(AG366&gt;=1,AG366,1))*3.8+LN(IF(AH366&gt;=1,AH366,1))*9.6+11.2*LN(IF(AI366&gt;=1,AI366,1))+6.4*AN366</f>
        <v>8.80924745170979</v>
      </c>
      <c r="AK366" s="160">
        <f t="shared" si="75"/>
        <v>8.80924745170979</v>
      </c>
      <c r="AL366" s="160">
        <f>AK366+1.59*(135-AM366)</f>
        <v>8.80924745170979</v>
      </c>
      <c r="AM366" s="160">
        <f t="shared" si="76"/>
        <v>135</v>
      </c>
      <c r="AN366" s="114">
        <v>1</v>
      </c>
      <c r="AO366" s="114">
        <f>_xlfn.IFS(AJ366&lt;15,1,AJ366=15-18,2,AJ366&gt;18,3)</f>
        <v>1</v>
      </c>
      <c r="AP366" s="114">
        <v>2.54</v>
      </c>
      <c r="AQ366" s="114">
        <v>55</v>
      </c>
      <c r="AR366" s="114">
        <v>1.24</v>
      </c>
      <c r="AS366" s="160">
        <v>26</v>
      </c>
      <c r="AT366" s="161">
        <v>15.3</v>
      </c>
      <c r="AU366" s="114">
        <v>55</v>
      </c>
      <c r="AV366" s="114">
        <v>143</v>
      </c>
      <c r="AZ366" s="127" t="s">
        <v>1041</v>
      </c>
    </row>
    <row r="367" spans="1:52">
      <c r="A367" s="117" t="s">
        <v>1042</v>
      </c>
      <c r="B367" s="117" t="s">
        <v>48</v>
      </c>
      <c r="C367" s="117">
        <v>57</v>
      </c>
      <c r="D367" s="135">
        <v>1.8</v>
      </c>
      <c r="E367" s="117">
        <v>70</v>
      </c>
      <c r="F367" s="136">
        <v>21.60494</v>
      </c>
      <c r="G367" s="114">
        <v>6</v>
      </c>
      <c r="H367" s="114"/>
      <c r="I367" s="210">
        <v>44578</v>
      </c>
      <c r="J367" s="210">
        <v>44585</v>
      </c>
      <c r="K367" s="114"/>
      <c r="L367" s="138">
        <v>1</v>
      </c>
      <c r="M367" s="138">
        <v>7</v>
      </c>
      <c r="N367" s="213" t="s">
        <v>1043</v>
      </c>
      <c r="O367" s="114"/>
      <c r="P367" s="114">
        <v>1</v>
      </c>
      <c r="Q367" s="114"/>
      <c r="R367" s="114"/>
      <c r="S367" s="114"/>
      <c r="T367" s="114">
        <v>0</v>
      </c>
      <c r="U367" s="114">
        <v>0</v>
      </c>
      <c r="V367" s="114">
        <v>1</v>
      </c>
      <c r="W367" s="114">
        <v>0</v>
      </c>
      <c r="X367" s="114">
        <v>1</v>
      </c>
      <c r="Y367" s="114">
        <v>1</v>
      </c>
      <c r="Z367" s="114" t="s">
        <v>58</v>
      </c>
      <c r="AA367" s="114">
        <v>1</v>
      </c>
      <c r="AB367" s="114">
        <f>_xlfn.IFS(AT367&gt;51,3,AT367&gt;=34,2,AT367&lt;34,1)</f>
        <v>1</v>
      </c>
      <c r="AC367" s="114">
        <f>_xlfn.IFS(AS367&gt;35,1,AS367&gt;=28,2,AS367&lt;28,3)</f>
        <v>1</v>
      </c>
      <c r="AD367" s="114">
        <f t="shared" si="74"/>
        <v>1</v>
      </c>
      <c r="AE367" s="114">
        <f>Y367+AA367+AB367+AC367+AD367</f>
        <v>5</v>
      </c>
      <c r="AF367" s="116" t="s">
        <v>59</v>
      </c>
      <c r="AG367" s="114">
        <f>AT367/17.1</f>
        <v>0.684210526315789</v>
      </c>
      <c r="AH367" s="114">
        <f>AU367/88.4</f>
        <v>0.746606334841629</v>
      </c>
      <c r="AI367" s="114">
        <f>AR367</f>
        <v>1.08</v>
      </c>
      <c r="AJ367" s="159">
        <f>LN(IF(AG367&gt;=1,AG367,1))*3.8+LN(IF(AH367&gt;=1,AH367,1))*9.6+11.2*LN(IF(AI367&gt;=1,AI367,1))+6.4*AN367</f>
        <v>0.861963660724638</v>
      </c>
      <c r="AK367" s="160">
        <f t="shared" si="75"/>
        <v>0.861963660724638</v>
      </c>
      <c r="AL367" s="160">
        <f>AK367+1.59*(135-AM367)</f>
        <v>0.861963660724638</v>
      </c>
      <c r="AM367" s="160">
        <f t="shared" si="76"/>
        <v>135</v>
      </c>
      <c r="AN367" s="114">
        <v>0</v>
      </c>
      <c r="AO367" s="114">
        <f>_xlfn.IFS(AJ367&lt;15,1,AJ367=15-18,2,AJ367&gt;18,3)</f>
        <v>1</v>
      </c>
      <c r="AP367" s="114">
        <v>2.69</v>
      </c>
      <c r="AQ367" s="114">
        <v>108</v>
      </c>
      <c r="AR367" s="114">
        <v>1.08</v>
      </c>
      <c r="AS367" s="160">
        <v>38</v>
      </c>
      <c r="AT367" s="161">
        <v>11.7</v>
      </c>
      <c r="AU367" s="114">
        <v>66</v>
      </c>
      <c r="AV367" s="114">
        <v>142</v>
      </c>
      <c r="AZ367" s="119" t="s">
        <v>1044</v>
      </c>
    </row>
    <row r="368" spans="1:52">
      <c r="A368" s="117" t="s">
        <v>922</v>
      </c>
      <c r="B368" s="117" t="s">
        <v>48</v>
      </c>
      <c r="C368" s="117">
        <v>63</v>
      </c>
      <c r="D368" s="135">
        <v>1.68</v>
      </c>
      <c r="E368" s="117">
        <v>86</v>
      </c>
      <c r="F368" s="136">
        <v>30.47052</v>
      </c>
      <c r="G368" s="114">
        <v>6</v>
      </c>
      <c r="H368" s="114"/>
      <c r="I368" s="210">
        <v>44578</v>
      </c>
      <c r="J368" s="210">
        <v>44590</v>
      </c>
      <c r="K368" s="114"/>
      <c r="L368" s="138">
        <v>4</v>
      </c>
      <c r="M368" s="138">
        <v>12</v>
      </c>
      <c r="N368" s="213" t="s">
        <v>1045</v>
      </c>
      <c r="O368" s="114"/>
      <c r="P368" s="114">
        <v>1</v>
      </c>
      <c r="Q368" s="114"/>
      <c r="R368" s="114"/>
      <c r="S368" s="114"/>
      <c r="T368" s="114">
        <v>1</v>
      </c>
      <c r="U368" s="114">
        <v>0</v>
      </c>
      <c r="V368" s="114">
        <v>1</v>
      </c>
      <c r="W368" s="114">
        <v>0</v>
      </c>
      <c r="X368" s="114">
        <v>1</v>
      </c>
      <c r="Y368" s="114">
        <v>1</v>
      </c>
      <c r="Z368" s="114" t="s">
        <v>307</v>
      </c>
      <c r="AA368" s="114">
        <v>3</v>
      </c>
      <c r="AB368" s="114">
        <f>_xlfn.IFS(AT368&gt;51,3,AT368&gt;=34,2,AT368&lt;34,1)</f>
        <v>2</v>
      </c>
      <c r="AC368" s="114">
        <f>_xlfn.IFS(AS368&gt;35,1,AS368&gt;=28,2,AS368&lt;28,3)</f>
        <v>3</v>
      </c>
      <c r="AD368" s="114">
        <f t="shared" si="74"/>
        <v>1</v>
      </c>
      <c r="AE368" s="114">
        <f>Y368+AA368+AB368+AC368+AD368</f>
        <v>10</v>
      </c>
      <c r="AF368" s="116" t="s">
        <v>50</v>
      </c>
      <c r="AG368" s="114">
        <f>AT368/17.1</f>
        <v>2.11695906432749</v>
      </c>
      <c r="AH368" s="114">
        <f>AU368/88.4</f>
        <v>0.622171945701357</v>
      </c>
      <c r="AI368" s="114">
        <f>AR368</f>
        <v>1.32</v>
      </c>
      <c r="AJ368" s="159">
        <f>LN(IF(AG368&gt;=1,AG368,1))*3.8+LN(IF(AH368&gt;=1,AH368,1))*9.6+11.2*LN(IF(AI368&gt;=1,AI368,1))+6.4*AN368</f>
        <v>5.95940194012855</v>
      </c>
      <c r="AK368" s="160">
        <f t="shared" si="75"/>
        <v>5.95940194012855</v>
      </c>
      <c r="AL368" s="160">
        <f>AK368+1.59*(135-AM368)</f>
        <v>5.95940194012855</v>
      </c>
      <c r="AM368" s="160">
        <f t="shared" si="76"/>
        <v>135</v>
      </c>
      <c r="AN368" s="114">
        <v>0</v>
      </c>
      <c r="AO368" s="114">
        <f>_xlfn.IFS(AJ368&lt;15,1,AJ368=15-18,2,AJ368&gt;18,3)</f>
        <v>1</v>
      </c>
      <c r="AP368" s="114">
        <v>5.36</v>
      </c>
      <c r="AQ368" s="114">
        <v>40</v>
      </c>
      <c r="AR368" s="114">
        <v>1.32</v>
      </c>
      <c r="AS368" s="160">
        <v>27</v>
      </c>
      <c r="AT368" s="161">
        <v>36.2</v>
      </c>
      <c r="AU368" s="114">
        <v>55</v>
      </c>
      <c r="AV368" s="114">
        <v>139</v>
      </c>
      <c r="AZ368" s="119" t="s">
        <v>1046</v>
      </c>
    </row>
    <row r="369" s="124" customFormat="1" spans="1:52">
      <c r="A369" s="124" t="s">
        <v>1047</v>
      </c>
      <c r="B369" s="124" t="s">
        <v>48</v>
      </c>
      <c r="C369" s="124">
        <v>68</v>
      </c>
      <c r="D369" s="180">
        <v>1.75</v>
      </c>
      <c r="E369" s="124">
        <v>55</v>
      </c>
      <c r="F369" s="181">
        <v>17.95918</v>
      </c>
      <c r="G369" s="124">
        <v>2</v>
      </c>
      <c r="I369" s="182">
        <v>44586</v>
      </c>
      <c r="J369" s="182">
        <v>44592</v>
      </c>
      <c r="L369" s="183">
        <v>1</v>
      </c>
      <c r="M369" s="183">
        <v>6</v>
      </c>
      <c r="N369" s="184" t="s">
        <v>1048</v>
      </c>
      <c r="O369" s="114"/>
      <c r="P369" s="114">
        <v>1</v>
      </c>
      <c r="Q369" s="114"/>
      <c r="R369" s="114">
        <v>1</v>
      </c>
      <c r="S369" s="114"/>
      <c r="T369" s="114">
        <v>1</v>
      </c>
      <c r="U369" s="114">
        <v>0</v>
      </c>
      <c r="V369" s="114">
        <v>1</v>
      </c>
      <c r="W369" s="114">
        <v>0</v>
      </c>
      <c r="X369" s="114">
        <v>1</v>
      </c>
      <c r="Y369" s="114">
        <v>1</v>
      </c>
      <c r="Z369" s="114" t="s">
        <v>300</v>
      </c>
      <c r="AA369" s="114">
        <v>2</v>
      </c>
      <c r="AB369" s="114">
        <f t="shared" ref="AB369:AB376" si="77">_xlfn.IFS(AT369&gt;51,3,AT369&gt;=34,2,AT369&lt;34,1)</f>
        <v>1</v>
      </c>
      <c r="AC369" s="114">
        <f t="shared" ref="AC369:AC376" si="78">_xlfn.IFS(AS369&gt;35,1,AS369&gt;=28,2,AS369&lt;28,3)</f>
        <v>3</v>
      </c>
      <c r="AD369" s="114">
        <f>_xlfn.IFS(AR369&gt;2.3,3,AR369&gt;=1.7,2,AR369&lt;1.7,1)</f>
        <v>1</v>
      </c>
      <c r="AE369" s="114">
        <f t="shared" ref="AE369:AE385" si="79">Y369+AA369+AB369+AC369+AD369</f>
        <v>8</v>
      </c>
      <c r="AF369" s="116" t="s">
        <v>63</v>
      </c>
      <c r="AG369" s="114">
        <f>AT369/17.1</f>
        <v>1.27485380116959</v>
      </c>
      <c r="AH369" s="114">
        <f>AU369/88.4</f>
        <v>0.780542986425339</v>
      </c>
      <c r="AI369" s="114">
        <f>AR369</f>
        <v>1.33</v>
      </c>
      <c r="AJ369" s="159">
        <f t="shared" ref="AJ369:AJ398" si="80">LN(IF(AG369&gt;=1,AG369,1))*3.8+LN(IF(AH369&gt;=1,AH369,1))*9.6+11.2*LN(IF(AI369&gt;=1,AI369,1))+6.4*AN369</f>
        <v>4.11676387690545</v>
      </c>
      <c r="AK369" s="160">
        <f>IF(AND(AG369&gt;0,AH369&gt;0,AI369&gt;0),AJ369,"")</f>
        <v>4.11676387690545</v>
      </c>
      <c r="AL369" s="160">
        <f>AK369+1.59*(135-AM369)</f>
        <v>4.11676387690545</v>
      </c>
      <c r="AM369" s="160">
        <f>IF(AV369&gt;135,135,IF(AV369&lt;120,120,AV369))</f>
        <v>135</v>
      </c>
      <c r="AN369" s="114">
        <v>0</v>
      </c>
      <c r="AO369" s="114">
        <f t="shared" ref="AO369:AO384" si="81">_xlfn.IFS(AJ369&lt;15,1,AJ369=15-18,2,AJ369&gt;18,3)</f>
        <v>1</v>
      </c>
      <c r="AP369" s="114">
        <v>10.54</v>
      </c>
      <c r="AQ369" s="114">
        <v>73</v>
      </c>
      <c r="AR369" s="114">
        <v>1.33</v>
      </c>
      <c r="AS369" s="160">
        <v>26</v>
      </c>
      <c r="AT369" s="161">
        <v>21.8</v>
      </c>
      <c r="AU369" s="114">
        <v>69</v>
      </c>
      <c r="AV369" s="114">
        <v>140</v>
      </c>
      <c r="AZ369" s="127" t="s">
        <v>1049</v>
      </c>
    </row>
    <row r="370" spans="1:52">
      <c r="A370" s="117" t="s">
        <v>1050</v>
      </c>
      <c r="B370" s="117" t="s">
        <v>53</v>
      </c>
      <c r="C370" s="117">
        <v>51</v>
      </c>
      <c r="D370" s="135">
        <v>1.62</v>
      </c>
      <c r="E370" s="117">
        <v>63</v>
      </c>
      <c r="F370" s="136">
        <v>24.00549</v>
      </c>
      <c r="G370" s="114">
        <v>1</v>
      </c>
      <c r="H370" s="114"/>
      <c r="I370" s="210">
        <v>44586</v>
      </c>
      <c r="J370" s="210">
        <v>44593</v>
      </c>
      <c r="K370" s="114"/>
      <c r="L370" s="138">
        <v>1</v>
      </c>
      <c r="M370" s="138">
        <v>7</v>
      </c>
      <c r="N370" s="213" t="s">
        <v>1051</v>
      </c>
      <c r="O370" s="114">
        <v>1</v>
      </c>
      <c r="P370" s="114"/>
      <c r="Q370" s="114"/>
      <c r="R370" s="114"/>
      <c r="S370" s="114"/>
      <c r="T370" s="114">
        <v>1</v>
      </c>
      <c r="U370" s="114">
        <v>0</v>
      </c>
      <c r="V370" s="114">
        <v>1</v>
      </c>
      <c r="W370" s="114">
        <v>0</v>
      </c>
      <c r="X370" s="114">
        <v>1</v>
      </c>
      <c r="Y370" s="114">
        <v>1</v>
      </c>
      <c r="Z370" s="114" t="s">
        <v>307</v>
      </c>
      <c r="AA370" s="114">
        <v>3</v>
      </c>
      <c r="AB370" s="114">
        <f t="shared" si="77"/>
        <v>1</v>
      </c>
      <c r="AC370" s="114">
        <f t="shared" si="78"/>
        <v>3</v>
      </c>
      <c r="AD370" s="114">
        <f>_xlfn.IFS(AR370&gt;2.3,3,AR370&gt;=1.7,2,AR370&lt;1.7,1)</f>
        <v>1</v>
      </c>
      <c r="AE370" s="114">
        <f t="shared" si="79"/>
        <v>9</v>
      </c>
      <c r="AF370" s="116" t="s">
        <v>63</v>
      </c>
      <c r="AG370" s="114">
        <f>AT370/17.1</f>
        <v>1.22222222222222</v>
      </c>
      <c r="AH370" s="114">
        <f>AU370/88.4</f>
        <v>0.644796380090498</v>
      </c>
      <c r="AI370" s="114">
        <f>AR370</f>
        <v>1.48</v>
      </c>
      <c r="AJ370" s="159">
        <f t="shared" si="80"/>
        <v>11.5534200258476</v>
      </c>
      <c r="AK370" s="160">
        <f>IF(AND(AG370&gt;0,AH370&gt;0,AI370&gt;0),AJ370,"")</f>
        <v>11.5534200258476</v>
      </c>
      <c r="AL370" s="160">
        <f>AK370+1.59*(135-AM370)</f>
        <v>11.5534200258476</v>
      </c>
      <c r="AM370" s="160">
        <f>IF(AV370&gt;135,135,IF(AV370&lt;120,120,AV370))</f>
        <v>135</v>
      </c>
      <c r="AN370" s="114">
        <v>1</v>
      </c>
      <c r="AO370" s="114">
        <f t="shared" si="81"/>
        <v>1</v>
      </c>
      <c r="AP370" s="114">
        <v>2.71</v>
      </c>
      <c r="AQ370" s="114">
        <v>119</v>
      </c>
      <c r="AR370" s="114">
        <v>1.48</v>
      </c>
      <c r="AS370" s="160">
        <v>26</v>
      </c>
      <c r="AT370" s="161">
        <v>20.9</v>
      </c>
      <c r="AU370" s="114">
        <v>57</v>
      </c>
      <c r="AV370" s="114">
        <v>139</v>
      </c>
      <c r="AZ370" s="119" t="s">
        <v>1052</v>
      </c>
    </row>
    <row r="371" s="123" customFormat="1" spans="1:52">
      <c r="A371" s="123" t="s">
        <v>824</v>
      </c>
      <c r="B371" s="123" t="s">
        <v>53</v>
      </c>
      <c r="C371" s="123">
        <v>72</v>
      </c>
      <c r="D371" s="176">
        <v>1.62</v>
      </c>
      <c r="E371" s="123">
        <v>51</v>
      </c>
      <c r="F371" s="189">
        <v>19.43301</v>
      </c>
      <c r="G371" s="123">
        <v>4</v>
      </c>
      <c r="I371" s="177">
        <v>44590</v>
      </c>
      <c r="J371" s="177">
        <v>44600</v>
      </c>
      <c r="L371" s="178">
        <v>3</v>
      </c>
      <c r="M371" s="178">
        <v>10</v>
      </c>
      <c r="N371" s="179" t="s">
        <v>1053</v>
      </c>
      <c r="O371" s="114">
        <v>1</v>
      </c>
      <c r="P371" s="114"/>
      <c r="Q371" s="114"/>
      <c r="R371" s="114"/>
      <c r="S371" s="114"/>
      <c r="T371" s="114">
        <v>0</v>
      </c>
      <c r="U371" s="114">
        <v>0</v>
      </c>
      <c r="V371" s="114">
        <v>1</v>
      </c>
      <c r="W371" s="114">
        <v>0</v>
      </c>
      <c r="X371" s="114">
        <v>1</v>
      </c>
      <c r="Y371" s="114">
        <v>1</v>
      </c>
      <c r="Z371" s="114" t="s">
        <v>58</v>
      </c>
      <c r="AA371" s="114">
        <v>1</v>
      </c>
      <c r="AB371" s="114">
        <f t="shared" si="77"/>
        <v>2</v>
      </c>
      <c r="AC371" s="114">
        <f t="shared" si="78"/>
        <v>2</v>
      </c>
      <c r="AD371" s="114">
        <f>_xlfn.IFS(AR371&gt;2.3,3,AR371&gt;=1.7,2,AR371&lt;1.7,1)</f>
        <v>1</v>
      </c>
      <c r="AE371" s="114">
        <f t="shared" si="79"/>
        <v>7</v>
      </c>
      <c r="AF371" s="116" t="s">
        <v>63</v>
      </c>
      <c r="AG371" s="114">
        <f>AT371/17.1</f>
        <v>2.49707602339181</v>
      </c>
      <c r="AH371" s="114">
        <f>AU371/88.4</f>
        <v>0.667420814479638</v>
      </c>
      <c r="AI371" s="114">
        <f>AR371</f>
        <v>1.4</v>
      </c>
      <c r="AJ371" s="159">
        <f t="shared" si="80"/>
        <v>13.6459467857162</v>
      </c>
      <c r="AK371" s="160">
        <f>IF(AND(AG371&gt;0,AH371&gt;0,AI371&gt;0),AJ371,"")</f>
        <v>13.6459467857162</v>
      </c>
      <c r="AL371" s="160">
        <f>AK371+1.59*(135-AM371)</f>
        <v>13.6459467857162</v>
      </c>
      <c r="AM371" s="160">
        <f>IF(AV371&gt;135,135,IF(AV371&lt;120,120,AV371))</f>
        <v>135</v>
      </c>
      <c r="AN371" s="114">
        <v>1</v>
      </c>
      <c r="AO371" s="114">
        <f t="shared" si="81"/>
        <v>1</v>
      </c>
      <c r="AP371" s="114">
        <v>2.69</v>
      </c>
      <c r="AQ371" s="114">
        <v>46</v>
      </c>
      <c r="AR371" s="114">
        <v>1.4</v>
      </c>
      <c r="AS371" s="160">
        <v>30</v>
      </c>
      <c r="AT371" s="161">
        <v>42.7</v>
      </c>
      <c r="AU371" s="114">
        <v>59</v>
      </c>
      <c r="AV371" s="114">
        <v>145</v>
      </c>
      <c r="AZ371" s="132" t="s">
        <v>58</v>
      </c>
    </row>
    <row r="372" s="133" customFormat="1" spans="1:52">
      <c r="A372" s="133" t="s">
        <v>1054</v>
      </c>
      <c r="B372" s="133" t="s">
        <v>48</v>
      </c>
      <c r="C372" s="133">
        <v>61</v>
      </c>
      <c r="D372" s="259">
        <v>1.7</v>
      </c>
      <c r="E372" s="133">
        <v>75</v>
      </c>
      <c r="F372" s="260">
        <v>25.95156</v>
      </c>
      <c r="G372" s="133">
        <v>3</v>
      </c>
      <c r="I372" s="261">
        <v>44581</v>
      </c>
      <c r="J372" s="261">
        <v>44591</v>
      </c>
      <c r="K372" s="133">
        <v>22.1</v>
      </c>
      <c r="L372" s="262">
        <v>1</v>
      </c>
      <c r="M372" s="262">
        <v>10</v>
      </c>
      <c r="N372" s="263" t="s">
        <v>1055</v>
      </c>
      <c r="O372" s="114"/>
      <c r="P372" s="114"/>
      <c r="Q372" s="114"/>
      <c r="R372" s="114"/>
      <c r="S372" s="114">
        <v>1</v>
      </c>
      <c r="T372" s="114">
        <v>1</v>
      </c>
      <c r="U372" s="114">
        <v>0</v>
      </c>
      <c r="V372" s="114">
        <v>1</v>
      </c>
      <c r="W372" s="114">
        <v>0</v>
      </c>
      <c r="X372" s="114">
        <v>1</v>
      </c>
      <c r="Y372" s="114">
        <v>1</v>
      </c>
      <c r="Z372" s="114" t="s">
        <v>300</v>
      </c>
      <c r="AA372" s="114">
        <v>2</v>
      </c>
      <c r="AB372" s="114">
        <f t="shared" si="77"/>
        <v>1</v>
      </c>
      <c r="AC372" s="114">
        <f t="shared" si="78"/>
        <v>3</v>
      </c>
      <c r="AD372" s="114">
        <f>_xlfn.IFS(AR372&gt;2.3,3,AR372&gt;=1.7,2,AR372&lt;1.7,1)</f>
        <v>1</v>
      </c>
      <c r="AE372" s="114">
        <f t="shared" si="79"/>
        <v>8</v>
      </c>
      <c r="AF372" s="116" t="s">
        <v>63</v>
      </c>
      <c r="AG372" s="114">
        <f>AT372/17.1</f>
        <v>1.23976608187134</v>
      </c>
      <c r="AH372" s="114">
        <f>AU372/88.4</f>
        <v>0.712669683257918</v>
      </c>
      <c r="AI372" s="114">
        <f>AR372</f>
        <v>1.41</v>
      </c>
      <c r="AJ372" s="159">
        <f t="shared" si="80"/>
        <v>11.0649110182124</v>
      </c>
      <c r="AK372" s="160">
        <f>IF(AND(AG372&gt;0,AH372&gt;0,AI372&gt;0),AJ372,"")</f>
        <v>11.0649110182124</v>
      </c>
      <c r="AL372" s="160">
        <f>AK372+1.59*(135-AM372)</f>
        <v>11.0649110182124</v>
      </c>
      <c r="AM372" s="160">
        <f>IF(AV372&gt;135,135,IF(AV372&lt;120,120,AV372))</f>
        <v>135</v>
      </c>
      <c r="AN372" s="114">
        <v>1</v>
      </c>
      <c r="AO372" s="114">
        <f t="shared" si="81"/>
        <v>1</v>
      </c>
      <c r="AP372" s="114">
        <v>4.33</v>
      </c>
      <c r="AQ372" s="114">
        <v>81</v>
      </c>
      <c r="AR372" s="114">
        <v>1.41</v>
      </c>
      <c r="AS372" s="160">
        <v>27</v>
      </c>
      <c r="AT372" s="161">
        <v>21.2</v>
      </c>
      <c r="AU372" s="114">
        <v>63</v>
      </c>
      <c r="AV372" s="114">
        <v>137</v>
      </c>
      <c r="AZ372" s="264" t="s">
        <v>58</v>
      </c>
    </row>
    <row r="373" s="125" customFormat="1" spans="1:52">
      <c r="A373" s="125" t="s">
        <v>857</v>
      </c>
      <c r="B373" s="125" t="s">
        <v>48</v>
      </c>
      <c r="C373" s="125">
        <v>72</v>
      </c>
      <c r="D373" s="185">
        <v>1.73</v>
      </c>
      <c r="E373" s="125">
        <v>85</v>
      </c>
      <c r="F373" s="216">
        <v>28.40055</v>
      </c>
      <c r="G373" s="125">
        <v>1</v>
      </c>
      <c r="I373" s="186">
        <v>44599</v>
      </c>
      <c r="J373" s="186">
        <v>44609</v>
      </c>
      <c r="L373" s="187">
        <v>3</v>
      </c>
      <c r="M373" s="187">
        <v>10</v>
      </c>
      <c r="N373" s="188" t="s">
        <v>1056</v>
      </c>
      <c r="O373" s="114">
        <v>1</v>
      </c>
      <c r="P373" s="114"/>
      <c r="Q373" s="114"/>
      <c r="R373" s="114"/>
      <c r="S373" s="114"/>
      <c r="T373" s="114">
        <v>1</v>
      </c>
      <c r="U373" s="114">
        <v>0</v>
      </c>
      <c r="V373" s="114">
        <v>0</v>
      </c>
      <c r="W373" s="114">
        <v>0</v>
      </c>
      <c r="X373" s="114">
        <v>0</v>
      </c>
      <c r="Y373" s="114">
        <v>1</v>
      </c>
      <c r="Z373" s="114" t="s">
        <v>300</v>
      </c>
      <c r="AA373" s="114">
        <v>2</v>
      </c>
      <c r="AB373" s="114">
        <f t="shared" si="77"/>
        <v>2</v>
      </c>
      <c r="AC373" s="114">
        <f t="shared" si="78"/>
        <v>3</v>
      </c>
      <c r="AD373" s="114">
        <f>_xlfn.IFS(AR373&gt;2.3,3,AR373&gt;=1.7,2,AR373&lt;1.7,1)</f>
        <v>1</v>
      </c>
      <c r="AE373" s="114">
        <f t="shared" si="79"/>
        <v>9</v>
      </c>
      <c r="AF373" s="116" t="s">
        <v>63</v>
      </c>
      <c r="AG373" s="114">
        <f>AT373/17.1</f>
        <v>2.29239766081871</v>
      </c>
      <c r="AH373" s="114">
        <f>AU373/88.4</f>
        <v>1.22171945701357</v>
      </c>
      <c r="AI373" s="114">
        <f>AR373</f>
        <v>1.52</v>
      </c>
      <c r="AJ373" s="159">
        <f t="shared" si="80"/>
        <v>16.1645180987193</v>
      </c>
      <c r="AK373" s="160">
        <f>IF(AND(AG373&gt;0,AH373&gt;0,AI373&gt;0),AJ373,"")</f>
        <v>16.1645180987193</v>
      </c>
      <c r="AL373" s="160">
        <f>AK373+1.59*(135-AM373)</f>
        <v>16.1645180987193</v>
      </c>
      <c r="AM373" s="160">
        <f>IF(AV373&gt;135,135,IF(AV373&lt;120,120,AV373))</f>
        <v>135</v>
      </c>
      <c r="AN373" s="114">
        <v>1</v>
      </c>
      <c r="AO373" s="114">
        <v>2</v>
      </c>
      <c r="AP373" s="114">
        <v>10.23</v>
      </c>
      <c r="AQ373" s="114">
        <v>105</v>
      </c>
      <c r="AR373" s="114">
        <v>1.52</v>
      </c>
      <c r="AS373" s="160">
        <v>20</v>
      </c>
      <c r="AT373" s="161">
        <v>39.2</v>
      </c>
      <c r="AU373" s="114">
        <v>108</v>
      </c>
      <c r="AV373" s="114">
        <v>137</v>
      </c>
      <c r="AZ373" s="131" t="s">
        <v>1057</v>
      </c>
    </row>
    <row r="374" s="123" customFormat="1" spans="1:52">
      <c r="A374" s="123" t="s">
        <v>1058</v>
      </c>
      <c r="B374" s="123" t="s">
        <v>48</v>
      </c>
      <c r="C374" s="123">
        <v>77</v>
      </c>
      <c r="D374" s="176">
        <v>1.69</v>
      </c>
      <c r="E374" s="123">
        <v>87</v>
      </c>
      <c r="F374" s="189">
        <v>30.46112</v>
      </c>
      <c r="G374" s="123">
        <v>5</v>
      </c>
      <c r="I374" s="177">
        <v>44601</v>
      </c>
      <c r="J374" s="177">
        <v>44625</v>
      </c>
      <c r="L374" s="178">
        <v>1</v>
      </c>
      <c r="M374" s="178">
        <v>24</v>
      </c>
      <c r="N374" s="179" t="s">
        <v>1059</v>
      </c>
      <c r="O374" s="114"/>
      <c r="P374" s="114"/>
      <c r="Q374" s="114"/>
      <c r="R374" s="114"/>
      <c r="S374" s="114">
        <v>1</v>
      </c>
      <c r="T374" s="114">
        <v>1</v>
      </c>
      <c r="U374" s="114">
        <v>0</v>
      </c>
      <c r="V374" s="114">
        <v>0</v>
      </c>
      <c r="W374" s="114">
        <v>0</v>
      </c>
      <c r="X374" s="114">
        <v>1</v>
      </c>
      <c r="Y374" s="114">
        <v>1</v>
      </c>
      <c r="Z374" s="114" t="s">
        <v>307</v>
      </c>
      <c r="AA374" s="114">
        <v>3</v>
      </c>
      <c r="AB374" s="114">
        <f t="shared" si="77"/>
        <v>3</v>
      </c>
      <c r="AC374" s="114">
        <f t="shared" si="78"/>
        <v>3</v>
      </c>
      <c r="AD374" s="114">
        <f>_xlfn.IFS(AR374&gt;2.3,3,AR374&gt;=1.7,2,AR374&lt;1.7,1)</f>
        <v>1</v>
      </c>
      <c r="AE374" s="114">
        <f t="shared" si="79"/>
        <v>11</v>
      </c>
      <c r="AF374" s="116" t="s">
        <v>50</v>
      </c>
      <c r="AG374" s="114">
        <f>AT374/17.1</f>
        <v>4.37426900584795</v>
      </c>
      <c r="AH374" s="114">
        <f>AU374/88.4</f>
        <v>1.10859728506787</v>
      </c>
      <c r="AI374" s="114">
        <f>AR374</f>
        <v>1.52</v>
      </c>
      <c r="AJ374" s="159">
        <f t="shared" si="80"/>
        <v>17.6870824386635</v>
      </c>
      <c r="AK374" s="160">
        <f>IF(AND(AG374&gt;0,AH374&gt;0,AI374&gt;0),AJ374,"")</f>
        <v>17.6870824386635</v>
      </c>
      <c r="AL374" s="160">
        <f>AK374+1.59*(135-AM374)</f>
        <v>20.8670824386635</v>
      </c>
      <c r="AM374" s="160">
        <f>IF(AV374&gt;135,135,IF(AV374&lt;120,120,AV374))</f>
        <v>133</v>
      </c>
      <c r="AN374" s="114">
        <v>1</v>
      </c>
      <c r="AO374" s="114">
        <v>2</v>
      </c>
      <c r="AP374" s="114">
        <v>4.91</v>
      </c>
      <c r="AQ374" s="114">
        <v>148</v>
      </c>
      <c r="AR374" s="114">
        <v>1.52</v>
      </c>
      <c r="AS374" s="160">
        <v>25</v>
      </c>
      <c r="AT374" s="161">
        <v>74.8</v>
      </c>
      <c r="AU374" s="114">
        <v>98</v>
      </c>
      <c r="AV374" s="114">
        <v>133</v>
      </c>
      <c r="AZ374" s="132" t="s">
        <v>1060</v>
      </c>
    </row>
    <row r="375" spans="1:52">
      <c r="A375" s="117" t="s">
        <v>281</v>
      </c>
      <c r="B375" s="117" t="s">
        <v>48</v>
      </c>
      <c r="C375" s="117">
        <v>68</v>
      </c>
      <c r="D375" s="135">
        <v>1.69</v>
      </c>
      <c r="E375" s="117">
        <v>60</v>
      </c>
      <c r="F375" s="136">
        <v>21.00767</v>
      </c>
      <c r="G375" s="114">
        <v>6</v>
      </c>
      <c r="H375" s="114"/>
      <c r="I375" s="210">
        <v>44605</v>
      </c>
      <c r="J375" s="210">
        <v>44610</v>
      </c>
      <c r="K375" s="114"/>
      <c r="L375" s="138">
        <v>2</v>
      </c>
      <c r="M375" s="138">
        <v>5</v>
      </c>
      <c r="N375" s="213" t="s">
        <v>1061</v>
      </c>
      <c r="O375" s="114"/>
      <c r="P375" s="114">
        <v>1</v>
      </c>
      <c r="Q375" s="114"/>
      <c r="R375" s="114"/>
      <c r="S375" s="114"/>
      <c r="T375" s="114">
        <v>1</v>
      </c>
      <c r="U375" s="114">
        <v>0</v>
      </c>
      <c r="V375" s="114">
        <v>1</v>
      </c>
      <c r="W375" s="114">
        <v>0</v>
      </c>
      <c r="X375" s="114">
        <v>1</v>
      </c>
      <c r="Y375" s="114">
        <v>1</v>
      </c>
      <c r="Z375" s="114" t="s">
        <v>307</v>
      </c>
      <c r="AA375" s="114">
        <v>3</v>
      </c>
      <c r="AB375" s="114">
        <f t="shared" si="77"/>
        <v>1</v>
      </c>
      <c r="AC375" s="114">
        <f t="shared" si="78"/>
        <v>3</v>
      </c>
      <c r="AD375" s="114">
        <f>_xlfn.IFS(AR375&gt;2.3,3,AR375&gt;=1.7,2,AR375&lt;1.7,1)</f>
        <v>1</v>
      </c>
      <c r="AE375" s="114">
        <f t="shared" si="79"/>
        <v>9</v>
      </c>
      <c r="AF375" s="116" t="s">
        <v>63</v>
      </c>
      <c r="AG375" s="114">
        <f>AT375/17.1</f>
        <v>1.50877192982456</v>
      </c>
      <c r="AH375" s="114">
        <f>AU375/88.4</f>
        <v>0.723981900452489</v>
      </c>
      <c r="AI375" s="114">
        <f>AR375</f>
        <v>1.54</v>
      </c>
      <c r="AJ375" s="159">
        <f t="shared" si="80"/>
        <v>6.39888797195806</v>
      </c>
      <c r="AK375" s="160">
        <f>IF(AND(AG375&gt;0,AH375&gt;0,AI375&gt;0),AJ375,"")</f>
        <v>6.39888797195806</v>
      </c>
      <c r="AL375" s="160">
        <f>AK375+1.59*(135-AM375)</f>
        <v>6.39888797195806</v>
      </c>
      <c r="AM375" s="160">
        <f>IF(AV375&gt;135,135,IF(AV375&lt;120,120,AV375))</f>
        <v>135</v>
      </c>
      <c r="AN375" s="114">
        <v>0</v>
      </c>
      <c r="AO375" s="114">
        <f t="shared" si="81"/>
        <v>1</v>
      </c>
      <c r="AP375" s="114">
        <v>3.71</v>
      </c>
      <c r="AQ375" s="114">
        <v>108</v>
      </c>
      <c r="AR375" s="114">
        <v>1.54</v>
      </c>
      <c r="AS375" s="160">
        <v>24</v>
      </c>
      <c r="AT375" s="161">
        <v>25.8</v>
      </c>
      <c r="AU375" s="114">
        <v>64</v>
      </c>
      <c r="AV375" s="114">
        <v>139</v>
      </c>
      <c r="AZ375" s="119" t="s">
        <v>1062</v>
      </c>
    </row>
    <row r="376" spans="1:52">
      <c r="A376" s="117" t="s">
        <v>1063</v>
      </c>
      <c r="B376" s="117" t="s">
        <v>48</v>
      </c>
      <c r="C376" s="117">
        <v>71</v>
      </c>
      <c r="D376" s="135">
        <v>1.6</v>
      </c>
      <c r="E376" s="117">
        <v>90</v>
      </c>
      <c r="F376" s="136">
        <v>35.15625</v>
      </c>
      <c r="G376" s="114">
        <v>1</v>
      </c>
      <c r="H376" s="114"/>
      <c r="I376" s="210">
        <v>44605</v>
      </c>
      <c r="J376" s="210">
        <v>44615</v>
      </c>
      <c r="K376" s="114"/>
      <c r="L376" s="138">
        <v>2</v>
      </c>
      <c r="M376" s="138">
        <v>10</v>
      </c>
      <c r="N376" s="213" t="s">
        <v>1064</v>
      </c>
      <c r="O376" s="114"/>
      <c r="P376" s="114"/>
      <c r="Q376" s="114">
        <v>1</v>
      </c>
      <c r="R376" s="114">
        <v>1</v>
      </c>
      <c r="S376" s="114"/>
      <c r="T376" s="114">
        <v>1</v>
      </c>
      <c r="U376" s="114">
        <v>0</v>
      </c>
      <c r="V376" s="114">
        <v>0</v>
      </c>
      <c r="W376" s="114">
        <v>0</v>
      </c>
      <c r="X376" s="114">
        <v>0</v>
      </c>
      <c r="Y376" s="114">
        <v>1</v>
      </c>
      <c r="Z376" s="114" t="s">
        <v>321</v>
      </c>
      <c r="AA376" s="114">
        <v>3</v>
      </c>
      <c r="AB376" s="114">
        <f t="shared" si="77"/>
        <v>1</v>
      </c>
      <c r="AC376" s="114">
        <f t="shared" si="78"/>
        <v>2</v>
      </c>
      <c r="AD376" s="114">
        <f t="shared" ref="AD376:AD385" si="82">_xlfn.IFS(AR376&gt;2.3,3,AR376&gt;=1.7,2,AR376&lt;1.7,1)</f>
        <v>1</v>
      </c>
      <c r="AE376" s="114">
        <f t="shared" si="79"/>
        <v>8</v>
      </c>
      <c r="AF376" s="116" t="s">
        <v>63</v>
      </c>
      <c r="AG376" s="114">
        <f>AT376/17.1</f>
        <v>0.432748538011696</v>
      </c>
      <c r="AH376" s="114">
        <f>AU376/88.4</f>
        <v>5.83710407239819</v>
      </c>
      <c r="AI376" s="114">
        <f>AR376</f>
        <v>0.98</v>
      </c>
      <c r="AJ376" s="159">
        <f t="shared" si="80"/>
        <v>16.9366540400445</v>
      </c>
      <c r="AK376" s="160">
        <f>IF(AND(AG376&gt;0,AH376&gt;0,AI376&gt;0),AJ376,"")</f>
        <v>16.9366540400445</v>
      </c>
      <c r="AL376" s="160">
        <f>AK376+1.59*(135-AM376)</f>
        <v>16.9366540400445</v>
      </c>
      <c r="AM376" s="160">
        <f>IF(AV376&gt;135,135,IF(AV376&lt;120,120,AV376))</f>
        <v>135</v>
      </c>
      <c r="AN376" s="114">
        <v>0</v>
      </c>
      <c r="AO376" s="114">
        <v>2</v>
      </c>
      <c r="AP376" s="114">
        <v>3.9</v>
      </c>
      <c r="AQ376" s="114">
        <v>101</v>
      </c>
      <c r="AR376" s="114">
        <v>0.98</v>
      </c>
      <c r="AS376" s="160">
        <v>30</v>
      </c>
      <c r="AT376" s="161">
        <v>7.4</v>
      </c>
      <c r="AU376" s="114">
        <v>516</v>
      </c>
      <c r="AV376" s="114">
        <v>138</v>
      </c>
      <c r="AZ376" s="119" t="s">
        <v>1065</v>
      </c>
    </row>
    <row r="377" spans="1:52">
      <c r="A377" s="117" t="s">
        <v>1066</v>
      </c>
      <c r="B377" s="117" t="s">
        <v>53</v>
      </c>
      <c r="C377" s="117">
        <v>43</v>
      </c>
      <c r="D377" s="135">
        <v>1.63</v>
      </c>
      <c r="E377" s="117">
        <v>65</v>
      </c>
      <c r="F377" s="136">
        <v>24.4646</v>
      </c>
      <c r="G377" s="114">
        <v>1</v>
      </c>
      <c r="H377" s="114"/>
      <c r="I377" s="210">
        <v>44523</v>
      </c>
      <c r="J377" s="210">
        <v>44547</v>
      </c>
      <c r="K377" s="114"/>
      <c r="L377" s="138">
        <v>1</v>
      </c>
      <c r="M377" s="138">
        <v>24</v>
      </c>
      <c r="N377" s="265" t="s">
        <v>1067</v>
      </c>
      <c r="O377" s="114"/>
      <c r="P377" s="114"/>
      <c r="Q377" s="114"/>
      <c r="R377" s="114"/>
      <c r="S377" s="114">
        <v>1</v>
      </c>
      <c r="T377" s="114">
        <v>1</v>
      </c>
      <c r="U377" s="114">
        <v>0</v>
      </c>
      <c r="V377" s="114">
        <v>1</v>
      </c>
      <c r="W377" s="114">
        <v>0</v>
      </c>
      <c r="X377" s="114">
        <v>1</v>
      </c>
      <c r="Y377" s="114">
        <v>1</v>
      </c>
      <c r="Z377" s="116" t="s">
        <v>300</v>
      </c>
      <c r="AA377" s="114">
        <v>2</v>
      </c>
      <c r="AB377" s="114">
        <f t="shared" ref="AB377:AB385" si="83">_xlfn.IFS(AT377&gt;51,3,AT377&gt;=34,2,AT377&lt;34,1)</f>
        <v>2</v>
      </c>
      <c r="AC377" s="114">
        <f t="shared" ref="AC377:AC385" si="84">_xlfn.IFS(AS377&gt;35,1,AS377&gt;=28,2,AS377&lt;28,3)</f>
        <v>1</v>
      </c>
      <c r="AD377" s="114">
        <f t="shared" si="82"/>
        <v>1</v>
      </c>
      <c r="AE377" s="114">
        <f t="shared" si="79"/>
        <v>7</v>
      </c>
      <c r="AF377" s="116" t="s">
        <v>63</v>
      </c>
      <c r="AG377" s="114">
        <f>AT377/17.1</f>
        <v>2.50292397660819</v>
      </c>
      <c r="AH377" s="114">
        <f>AU377/88.4</f>
        <v>0.441176470588235</v>
      </c>
      <c r="AI377" s="114">
        <f>AR377</f>
        <v>1.28</v>
      </c>
      <c r="AJ377" s="159">
        <f t="shared" si="80"/>
        <v>12.6511795013338</v>
      </c>
      <c r="AK377" s="160">
        <f>IF(AND(AG377&gt;0,AH377&gt;0,AI377&gt;0),AJ377,"")</f>
        <v>12.6511795013338</v>
      </c>
      <c r="AL377" s="160">
        <f>AK377+1.59*(135-AM377)</f>
        <v>12.6511795013338</v>
      </c>
      <c r="AM377" s="160">
        <f>IF(AV377&gt;135,135,IF(AV377&lt;120,120,AV377))</f>
        <v>135</v>
      </c>
      <c r="AN377" s="114">
        <v>1</v>
      </c>
      <c r="AO377" s="114">
        <f t="shared" si="81"/>
        <v>1</v>
      </c>
      <c r="AP377" s="114">
        <v>5.18</v>
      </c>
      <c r="AQ377" s="114">
        <v>113</v>
      </c>
      <c r="AR377" s="114">
        <v>1.28</v>
      </c>
      <c r="AS377" s="160">
        <v>37</v>
      </c>
      <c r="AT377" s="161">
        <v>42.8</v>
      </c>
      <c r="AU377" s="114">
        <v>39</v>
      </c>
      <c r="AV377" s="114">
        <v>139</v>
      </c>
      <c r="AZ377" s="119" t="s">
        <v>1068</v>
      </c>
    </row>
    <row r="378" s="125" customFormat="1" spans="1:52">
      <c r="A378" s="131" t="s">
        <v>1069</v>
      </c>
      <c r="B378" s="125" t="s">
        <v>53</v>
      </c>
      <c r="C378" s="125">
        <v>83</v>
      </c>
      <c r="D378" s="185">
        <v>1.62</v>
      </c>
      <c r="E378" s="125">
        <v>50</v>
      </c>
      <c r="F378" s="216">
        <v>19.05197</v>
      </c>
      <c r="G378" s="125">
        <v>7</v>
      </c>
      <c r="I378" s="186">
        <v>44508</v>
      </c>
      <c r="J378" s="186">
        <v>44514</v>
      </c>
      <c r="L378" s="187">
        <v>1</v>
      </c>
      <c r="M378" s="187">
        <v>6</v>
      </c>
      <c r="N378" s="248" t="s">
        <v>1070</v>
      </c>
      <c r="O378" s="114">
        <v>1</v>
      </c>
      <c r="P378" s="114"/>
      <c r="Q378" s="114"/>
      <c r="R378" s="114"/>
      <c r="S378" s="114"/>
      <c r="T378" s="114">
        <v>1</v>
      </c>
      <c r="U378" s="114">
        <v>0</v>
      </c>
      <c r="V378" s="114">
        <v>0</v>
      </c>
      <c r="W378" s="114">
        <v>1</v>
      </c>
      <c r="X378" s="114">
        <v>1</v>
      </c>
      <c r="Y378" s="114">
        <v>1</v>
      </c>
      <c r="Z378" s="116" t="s">
        <v>300</v>
      </c>
      <c r="AA378" s="114">
        <v>2</v>
      </c>
      <c r="AB378" s="114">
        <f t="shared" si="83"/>
        <v>1</v>
      </c>
      <c r="AC378" s="114">
        <f t="shared" si="84"/>
        <v>3</v>
      </c>
      <c r="AD378" s="114">
        <f t="shared" si="82"/>
        <v>1</v>
      </c>
      <c r="AE378" s="114">
        <f t="shared" si="79"/>
        <v>8</v>
      </c>
      <c r="AF378" s="116" t="s">
        <v>63</v>
      </c>
      <c r="AG378" s="114">
        <f>AT378/17.1</f>
        <v>1.04678362573099</v>
      </c>
      <c r="AH378" s="114">
        <f>AU378/88.4</f>
        <v>3.98190045248869</v>
      </c>
      <c r="AI378" s="114">
        <f>AR378</f>
        <v>1.24</v>
      </c>
      <c r="AJ378" s="159">
        <f t="shared" si="80"/>
        <v>22.2478803763577</v>
      </c>
      <c r="AK378" s="160">
        <f>IF(AND(AG378&gt;0,AH378&gt;0,AI378&gt;0),AJ378,"")</f>
        <v>22.2478803763577</v>
      </c>
      <c r="AL378" s="160">
        <f>AK378+1.59*(135-AM378)</f>
        <v>22.2478803763577</v>
      </c>
      <c r="AM378" s="160">
        <f>IF(AV378&gt;135,135,IF(AV378&lt;120,120,AV378))</f>
        <v>135</v>
      </c>
      <c r="AN378" s="114">
        <v>1</v>
      </c>
      <c r="AO378" s="114">
        <v>3</v>
      </c>
      <c r="AP378" s="114">
        <v>22.32</v>
      </c>
      <c r="AQ378" s="114">
        <v>96</v>
      </c>
      <c r="AR378" s="114">
        <v>1.24</v>
      </c>
      <c r="AS378" s="160">
        <v>22</v>
      </c>
      <c r="AT378" s="161">
        <v>17.9</v>
      </c>
      <c r="AU378" s="114">
        <v>352</v>
      </c>
      <c r="AV378" s="114">
        <v>144</v>
      </c>
      <c r="AZ378" s="131" t="s">
        <v>1071</v>
      </c>
    </row>
    <row r="379" s="124" customFormat="1" spans="1:52">
      <c r="A379" s="124" t="s">
        <v>1072</v>
      </c>
      <c r="B379" s="124" t="s">
        <v>53</v>
      </c>
      <c r="C379" s="124">
        <v>72</v>
      </c>
      <c r="D379" s="180">
        <v>1.53</v>
      </c>
      <c r="E379" s="124">
        <v>71</v>
      </c>
      <c r="F379" s="181">
        <v>30.33021</v>
      </c>
      <c r="G379" s="124">
        <v>6</v>
      </c>
      <c r="I379" s="182">
        <v>44519</v>
      </c>
      <c r="J379" s="182">
        <v>44531</v>
      </c>
      <c r="L379" s="183">
        <v>3</v>
      </c>
      <c r="M379" s="183">
        <v>10</v>
      </c>
      <c r="N379" s="201" t="s">
        <v>1073</v>
      </c>
      <c r="O379" s="114"/>
      <c r="P379" s="114">
        <v>1</v>
      </c>
      <c r="Q379" s="114"/>
      <c r="R379" s="114"/>
      <c r="S379" s="114"/>
      <c r="T379" s="114">
        <v>1</v>
      </c>
      <c r="U379" s="114">
        <v>0</v>
      </c>
      <c r="V379" s="114">
        <v>1</v>
      </c>
      <c r="W379" s="114">
        <v>0</v>
      </c>
      <c r="X379" s="114">
        <v>1</v>
      </c>
      <c r="Y379" s="114">
        <v>1</v>
      </c>
      <c r="Z379" s="116" t="s">
        <v>300</v>
      </c>
      <c r="AA379" s="114">
        <v>2</v>
      </c>
      <c r="AB379" s="114">
        <f t="shared" si="83"/>
        <v>1</v>
      </c>
      <c r="AC379" s="114">
        <f t="shared" si="84"/>
        <v>2</v>
      </c>
      <c r="AD379" s="114">
        <f t="shared" si="82"/>
        <v>1</v>
      </c>
      <c r="AE379" s="114">
        <f t="shared" si="79"/>
        <v>7</v>
      </c>
      <c r="AF379" s="116" t="s">
        <v>63</v>
      </c>
      <c r="AG379" s="114">
        <f>AT379/17.1</f>
        <v>1.37426900584795</v>
      </c>
      <c r="AH379" s="114">
        <f>AU379/88.4</f>
        <v>4.07239819004525</v>
      </c>
      <c r="AI379" s="114">
        <f>AR379</f>
        <v>1.19</v>
      </c>
      <c r="AJ379" s="159">
        <f t="shared" si="80"/>
        <v>16.6370082721632</v>
      </c>
      <c r="AK379" s="160">
        <f>IF(AND(AG379&gt;0,AH379&gt;0,AI379&gt;0),AJ379,"")</f>
        <v>16.6370082721632</v>
      </c>
      <c r="AL379" s="160">
        <f>AK379+1.59*(135-AM379)</f>
        <v>16.6370082721632</v>
      </c>
      <c r="AM379" s="160">
        <f>IF(AV379&gt;135,135,IF(AV379&lt;120,120,AV379))</f>
        <v>135</v>
      </c>
      <c r="AN379" s="114">
        <v>0</v>
      </c>
      <c r="AO379" s="114">
        <v>2</v>
      </c>
      <c r="AP379" s="114">
        <v>6.26</v>
      </c>
      <c r="AQ379" s="114">
        <v>89</v>
      </c>
      <c r="AR379" s="114">
        <v>1.19</v>
      </c>
      <c r="AS379" s="160">
        <v>29</v>
      </c>
      <c r="AT379" s="161">
        <v>23.5</v>
      </c>
      <c r="AU379" s="114">
        <v>360</v>
      </c>
      <c r="AV379" s="114">
        <v>139</v>
      </c>
      <c r="AZ379" s="127" t="s">
        <v>1074</v>
      </c>
    </row>
    <row r="380" spans="1:52">
      <c r="A380" s="117" t="s">
        <v>329</v>
      </c>
      <c r="B380" s="117" t="s">
        <v>53</v>
      </c>
      <c r="C380" s="117">
        <v>61</v>
      </c>
      <c r="D380" s="135">
        <v>1.59</v>
      </c>
      <c r="E380" s="117">
        <v>48</v>
      </c>
      <c r="F380" s="136">
        <v>18.98659</v>
      </c>
      <c r="G380" s="114">
        <v>1</v>
      </c>
      <c r="H380" s="114"/>
      <c r="I380" s="210">
        <v>44554</v>
      </c>
      <c r="J380" s="210">
        <v>44561</v>
      </c>
      <c r="K380" s="114"/>
      <c r="L380" s="138">
        <v>2</v>
      </c>
      <c r="M380" s="138">
        <v>7</v>
      </c>
      <c r="N380" s="265" t="s">
        <v>1075</v>
      </c>
      <c r="O380" s="114"/>
      <c r="P380" s="114"/>
      <c r="Q380" s="114"/>
      <c r="R380" s="114"/>
      <c r="S380" s="114">
        <v>1</v>
      </c>
      <c r="T380" s="114">
        <v>0</v>
      </c>
      <c r="U380" s="114">
        <v>0</v>
      </c>
      <c r="V380" s="114">
        <v>0</v>
      </c>
      <c r="W380" s="114">
        <v>0</v>
      </c>
      <c r="X380" s="114">
        <v>0</v>
      </c>
      <c r="Y380" s="114">
        <v>1</v>
      </c>
      <c r="Z380" s="116" t="s">
        <v>58</v>
      </c>
      <c r="AA380" s="114">
        <v>1</v>
      </c>
      <c r="AB380" s="114">
        <f t="shared" si="83"/>
        <v>1</v>
      </c>
      <c r="AC380" s="114">
        <f t="shared" si="84"/>
        <v>2</v>
      </c>
      <c r="AD380" s="114">
        <v>2</v>
      </c>
      <c r="AE380" s="114">
        <f t="shared" si="79"/>
        <v>7</v>
      </c>
      <c r="AF380" s="116" t="s">
        <v>63</v>
      </c>
      <c r="AG380" s="114">
        <f>AT380/17.1</f>
        <v>1.54970760233918</v>
      </c>
      <c r="AH380" s="114">
        <f>AU380/88.4</f>
        <v>0.769230769230769</v>
      </c>
      <c r="AI380" s="114">
        <f>AR380</f>
        <v>1.81</v>
      </c>
      <c r="AJ380" s="159">
        <f t="shared" si="80"/>
        <v>14.7099124911482</v>
      </c>
      <c r="AK380" s="160">
        <f>IF(AND(AG380&gt;0,AH380&gt;0,AI380&gt;0),AJ380,"")</f>
        <v>14.7099124911482</v>
      </c>
      <c r="AL380" s="160">
        <f>AK380+1.59*(135-AM380)</f>
        <v>14.7099124911482</v>
      </c>
      <c r="AM380" s="160">
        <f>IF(AV380&gt;135,135,IF(AV380&lt;120,120,AV380))</f>
        <v>135</v>
      </c>
      <c r="AN380" s="114">
        <v>1</v>
      </c>
      <c r="AO380" s="114">
        <v>2</v>
      </c>
      <c r="AP380" s="114">
        <v>0.91</v>
      </c>
      <c r="AQ380" s="114">
        <v>47</v>
      </c>
      <c r="AR380" s="114">
        <v>1.81</v>
      </c>
      <c r="AS380" s="160">
        <v>33</v>
      </c>
      <c r="AT380" s="161">
        <v>26.5</v>
      </c>
      <c r="AU380" s="114">
        <v>68</v>
      </c>
      <c r="AV380" s="114">
        <v>139</v>
      </c>
      <c r="AZ380" s="119" t="s">
        <v>1076</v>
      </c>
    </row>
    <row r="381" s="125" customFormat="1" spans="1:52">
      <c r="A381" s="125" t="s">
        <v>1077</v>
      </c>
      <c r="B381" s="125" t="s">
        <v>48</v>
      </c>
      <c r="C381" s="125">
        <v>70</v>
      </c>
      <c r="D381" s="185">
        <v>1.68</v>
      </c>
      <c r="E381" s="125">
        <v>90</v>
      </c>
      <c r="F381" s="216">
        <v>31.88776</v>
      </c>
      <c r="G381" s="125">
        <v>3</v>
      </c>
      <c r="I381" s="186">
        <v>44550</v>
      </c>
      <c r="J381" s="186">
        <v>44566</v>
      </c>
      <c r="L381" s="187">
        <v>1</v>
      </c>
      <c r="M381" s="187">
        <v>16</v>
      </c>
      <c r="N381" s="248" t="s">
        <v>1078</v>
      </c>
      <c r="O381" s="114"/>
      <c r="P381" s="114"/>
      <c r="Q381" s="114">
        <v>1</v>
      </c>
      <c r="R381" s="114"/>
      <c r="S381" s="114"/>
      <c r="T381" s="114">
        <v>1</v>
      </c>
      <c r="U381" s="114">
        <v>0</v>
      </c>
      <c r="V381" s="114">
        <v>1</v>
      </c>
      <c r="W381" s="114">
        <v>0</v>
      </c>
      <c r="X381" s="114">
        <v>1</v>
      </c>
      <c r="Y381" s="114">
        <v>1</v>
      </c>
      <c r="Z381" s="116" t="s">
        <v>321</v>
      </c>
      <c r="AA381" s="114">
        <v>3</v>
      </c>
      <c r="AB381" s="114">
        <f t="shared" si="83"/>
        <v>2</v>
      </c>
      <c r="AC381" s="114">
        <f t="shared" si="84"/>
        <v>3</v>
      </c>
      <c r="AD381" s="114">
        <f t="shared" si="82"/>
        <v>1</v>
      </c>
      <c r="AE381" s="114">
        <f t="shared" si="79"/>
        <v>10</v>
      </c>
      <c r="AF381" s="116" t="s">
        <v>50</v>
      </c>
      <c r="AG381" s="114">
        <f>AT381/17.1</f>
        <v>2.33918128654971</v>
      </c>
      <c r="AH381" s="114">
        <f>AU381/88.4</f>
        <v>1.08597285067873</v>
      </c>
      <c r="AI381" s="114">
        <f>AR381</f>
        <v>1.42</v>
      </c>
      <c r="AJ381" s="159">
        <f t="shared" si="80"/>
        <v>14.3483724558804</v>
      </c>
      <c r="AK381" s="160">
        <f>IF(AND(AG381&gt;0,AH381&gt;0,AI381&gt;0),AJ381,"")</f>
        <v>14.3483724558804</v>
      </c>
      <c r="AL381" s="160">
        <f>AK381+1.59*(135-AM381)</f>
        <v>14.3483724558804</v>
      </c>
      <c r="AM381" s="160">
        <f>IF(AV381&gt;135,135,IF(AV381&lt;120,120,AV381))</f>
        <v>135</v>
      </c>
      <c r="AN381" s="114">
        <v>1</v>
      </c>
      <c r="AO381" s="114">
        <v>2</v>
      </c>
      <c r="AP381" s="114">
        <v>3.11</v>
      </c>
      <c r="AQ381" s="114">
        <v>113</v>
      </c>
      <c r="AR381" s="114">
        <v>1.42</v>
      </c>
      <c r="AS381" s="160">
        <v>27</v>
      </c>
      <c r="AT381" s="161">
        <v>40</v>
      </c>
      <c r="AU381" s="114">
        <v>96</v>
      </c>
      <c r="AV381" s="114">
        <v>136</v>
      </c>
      <c r="AZ381" s="131" t="s">
        <v>1079</v>
      </c>
    </row>
    <row r="382" s="123" customFormat="1" spans="1:52">
      <c r="A382" s="123" t="s">
        <v>1080</v>
      </c>
      <c r="B382" s="123" t="s">
        <v>53</v>
      </c>
      <c r="C382" s="123">
        <v>67</v>
      </c>
      <c r="D382" s="176">
        <v>1.52</v>
      </c>
      <c r="E382" s="123">
        <v>90</v>
      </c>
      <c r="F382" s="189">
        <v>38.95429</v>
      </c>
      <c r="G382" s="123">
        <v>2</v>
      </c>
      <c r="I382" s="177">
        <v>44550</v>
      </c>
      <c r="J382" s="177">
        <v>44553</v>
      </c>
      <c r="L382" s="178">
        <v>1</v>
      </c>
      <c r="M382" s="178">
        <v>3</v>
      </c>
      <c r="N382" s="254" t="s">
        <v>1078</v>
      </c>
      <c r="S382" s="123">
        <v>1</v>
      </c>
      <c r="T382" s="123">
        <v>0</v>
      </c>
      <c r="U382" s="123">
        <v>0</v>
      </c>
      <c r="V382" s="123">
        <v>0</v>
      </c>
      <c r="W382" s="123">
        <v>0</v>
      </c>
      <c r="X382" s="123">
        <v>0</v>
      </c>
      <c r="Y382" s="123">
        <v>1</v>
      </c>
      <c r="Z382" s="132" t="s">
        <v>58</v>
      </c>
      <c r="AA382" s="123">
        <v>1</v>
      </c>
      <c r="AB382" s="123">
        <f t="shared" si="83"/>
        <v>1</v>
      </c>
      <c r="AC382" s="123">
        <f t="shared" si="84"/>
        <v>2</v>
      </c>
      <c r="AD382" s="123">
        <f t="shared" si="82"/>
        <v>1</v>
      </c>
      <c r="AE382" s="123">
        <f t="shared" si="79"/>
        <v>6</v>
      </c>
      <c r="AF382" s="132" t="s">
        <v>59</v>
      </c>
      <c r="AG382" s="123">
        <f>AT382/17.1</f>
        <v>1.32748538011696</v>
      </c>
      <c r="AH382" s="123">
        <f>AU382/88.4</f>
        <v>0.644796380090498</v>
      </c>
      <c r="AI382" s="123">
        <f>AR382</f>
        <v>1.64</v>
      </c>
      <c r="AJ382" s="266">
        <f t="shared" si="80"/>
        <v>13.0170864602836</v>
      </c>
      <c r="AK382" s="267">
        <f>IF(AND(AG382&gt;0,AH382&gt;0,AI382&gt;0),AJ382,"")</f>
        <v>13.0170864602836</v>
      </c>
      <c r="AL382" s="267">
        <f>AK382+1.59*(135-AM382)</f>
        <v>13.0170864602836</v>
      </c>
      <c r="AM382" s="267">
        <f>IF(AV382&gt;135,135,IF(AV382&lt;120,120,AV382))</f>
        <v>135</v>
      </c>
      <c r="AN382" s="123">
        <v>1</v>
      </c>
      <c r="AO382" s="123">
        <f t="shared" si="81"/>
        <v>1</v>
      </c>
      <c r="AP382" s="123">
        <v>3.34</v>
      </c>
      <c r="AQ382" s="123">
        <v>71</v>
      </c>
      <c r="AR382" s="123">
        <v>1.64</v>
      </c>
      <c r="AS382" s="267">
        <v>31</v>
      </c>
      <c r="AT382" s="268">
        <v>22.7</v>
      </c>
      <c r="AU382" s="123">
        <v>57</v>
      </c>
      <c r="AV382" s="123">
        <v>147</v>
      </c>
      <c r="AZ382" s="132" t="s">
        <v>58</v>
      </c>
    </row>
    <row r="383" s="124" customFormat="1" spans="1:52">
      <c r="A383" s="127" t="s">
        <v>1081</v>
      </c>
      <c r="B383" s="124" t="s">
        <v>48</v>
      </c>
      <c r="C383" s="124">
        <v>72</v>
      </c>
      <c r="D383" s="180">
        <v>1.6</v>
      </c>
      <c r="E383" s="124">
        <v>70</v>
      </c>
      <c r="F383" s="181">
        <v>27.34375</v>
      </c>
      <c r="G383" s="124">
        <v>4</v>
      </c>
      <c r="I383" s="182">
        <v>44550</v>
      </c>
      <c r="J383" s="182">
        <v>44534</v>
      </c>
      <c r="L383" s="183">
        <v>1</v>
      </c>
      <c r="M383" s="183">
        <v>14</v>
      </c>
      <c r="N383" s="201" t="s">
        <v>1082</v>
      </c>
      <c r="O383" s="114"/>
      <c r="P383" s="114"/>
      <c r="Q383" s="116" t="s">
        <v>1083</v>
      </c>
      <c r="R383" s="114"/>
      <c r="S383" s="114"/>
      <c r="T383" s="114">
        <v>1</v>
      </c>
      <c r="U383" s="114">
        <v>1</v>
      </c>
      <c r="V383" s="114">
        <v>0</v>
      </c>
      <c r="W383" s="114">
        <v>0</v>
      </c>
      <c r="X383" s="114">
        <v>1</v>
      </c>
      <c r="Y383" s="114">
        <v>2</v>
      </c>
      <c r="Z383" s="116" t="s">
        <v>321</v>
      </c>
      <c r="AA383" s="114">
        <v>3</v>
      </c>
      <c r="AB383" s="114">
        <f t="shared" si="83"/>
        <v>2</v>
      </c>
      <c r="AC383" s="114">
        <f t="shared" si="84"/>
        <v>2</v>
      </c>
      <c r="AD383" s="114">
        <f t="shared" si="82"/>
        <v>1</v>
      </c>
      <c r="AE383" s="114">
        <f t="shared" si="79"/>
        <v>10</v>
      </c>
      <c r="AF383" s="116" t="s">
        <v>50</v>
      </c>
      <c r="AG383" s="114">
        <f>AT383/17.1</f>
        <v>2.04678362573099</v>
      </c>
      <c r="AH383" s="114">
        <f>AU383/88.4</f>
        <v>0.882352941176471</v>
      </c>
      <c r="AI383" s="114">
        <f>AR383</f>
        <v>1.24</v>
      </c>
      <c r="AJ383" s="159">
        <f t="shared" si="80"/>
        <v>11.5310719240368</v>
      </c>
      <c r="AK383" s="160">
        <f>IF(AND(AG383&gt;0,AH383&gt;0,AI383&gt;0),AJ383,"")</f>
        <v>11.5310719240368</v>
      </c>
      <c r="AL383" s="160">
        <f>AK383+1.59*(135-AM383)</f>
        <v>11.5310719240368</v>
      </c>
      <c r="AM383" s="160">
        <f>IF(AV383&gt;135,135,IF(AV383&lt;120,120,AV383))</f>
        <v>135</v>
      </c>
      <c r="AN383" s="114">
        <v>1</v>
      </c>
      <c r="AO383" s="114">
        <f t="shared" si="81"/>
        <v>1</v>
      </c>
      <c r="AP383" s="114">
        <v>6.29</v>
      </c>
      <c r="AQ383" s="114">
        <v>103</v>
      </c>
      <c r="AR383" s="114">
        <v>1.24</v>
      </c>
      <c r="AS383" s="160">
        <v>33</v>
      </c>
      <c r="AT383" s="161">
        <v>35</v>
      </c>
      <c r="AU383" s="114">
        <v>78</v>
      </c>
      <c r="AV383" s="114">
        <v>143</v>
      </c>
      <c r="AZ383" s="127" t="s">
        <v>1084</v>
      </c>
    </row>
    <row r="384" spans="1:52">
      <c r="A384" s="117" t="s">
        <v>1085</v>
      </c>
      <c r="B384" s="117" t="s">
        <v>53</v>
      </c>
      <c r="C384" s="117">
        <v>75</v>
      </c>
      <c r="D384" s="135">
        <v>1.55</v>
      </c>
      <c r="E384" s="117">
        <v>50</v>
      </c>
      <c r="F384" s="136">
        <v>20.81165</v>
      </c>
      <c r="G384" s="114">
        <v>4</v>
      </c>
      <c r="H384" s="114"/>
      <c r="I384" s="210">
        <v>44539</v>
      </c>
      <c r="J384" s="210">
        <v>44552</v>
      </c>
      <c r="K384" s="114"/>
      <c r="L384" s="138">
        <v>1</v>
      </c>
      <c r="M384" s="138">
        <v>13</v>
      </c>
      <c r="N384" s="265" t="s">
        <v>1086</v>
      </c>
      <c r="O384" s="114"/>
      <c r="P384" s="114"/>
      <c r="Q384" s="114"/>
      <c r="R384" s="114"/>
      <c r="S384" s="114">
        <v>1</v>
      </c>
      <c r="T384" s="114">
        <v>1</v>
      </c>
      <c r="U384" s="114">
        <v>0</v>
      </c>
      <c r="V384" s="114">
        <v>1</v>
      </c>
      <c r="W384" s="114">
        <v>0</v>
      </c>
      <c r="X384" s="114">
        <v>1</v>
      </c>
      <c r="Y384" s="114">
        <v>1</v>
      </c>
      <c r="Z384" s="116" t="s">
        <v>321</v>
      </c>
      <c r="AA384" s="114">
        <v>3</v>
      </c>
      <c r="AB384" s="114">
        <f t="shared" si="83"/>
        <v>1</v>
      </c>
      <c r="AC384" s="114">
        <f t="shared" si="84"/>
        <v>2</v>
      </c>
      <c r="AD384" s="114">
        <f t="shared" si="82"/>
        <v>1</v>
      </c>
      <c r="AE384" s="114">
        <f t="shared" si="79"/>
        <v>8</v>
      </c>
      <c r="AF384" s="116" t="s">
        <v>63</v>
      </c>
      <c r="AG384" s="114">
        <f>AT384/17.1</f>
        <v>0.619883040935672</v>
      </c>
      <c r="AH384" s="114">
        <f>AU384/88.4</f>
        <v>0.757918552036199</v>
      </c>
      <c r="AI384" s="114">
        <f>AR384</f>
        <v>1.1</v>
      </c>
      <c r="AJ384" s="159">
        <f t="shared" si="80"/>
        <v>7.46747401380844</v>
      </c>
      <c r="AK384" s="160">
        <f>IF(AND(AG384&gt;0,AH384&gt;0,AI384&gt;0),AJ384,"")</f>
        <v>7.46747401380844</v>
      </c>
      <c r="AL384" s="160">
        <f>AK384+1.59*(135-AM384)</f>
        <v>7.46747401380844</v>
      </c>
      <c r="AM384" s="160">
        <f>IF(AV384&gt;135,135,IF(AV384&lt;120,120,AV384))</f>
        <v>135</v>
      </c>
      <c r="AN384" s="114">
        <v>1</v>
      </c>
      <c r="AO384" s="114">
        <f t="shared" si="81"/>
        <v>1</v>
      </c>
      <c r="AP384" s="114">
        <v>5.37</v>
      </c>
      <c r="AQ384" s="114">
        <v>100</v>
      </c>
      <c r="AR384" s="114">
        <v>1.1</v>
      </c>
      <c r="AS384" s="160">
        <v>29</v>
      </c>
      <c r="AT384" s="161">
        <v>10.6</v>
      </c>
      <c r="AU384" s="114">
        <v>67</v>
      </c>
      <c r="AV384" s="114">
        <v>146</v>
      </c>
      <c r="AZ384" s="119" t="s">
        <v>1087</v>
      </c>
    </row>
    <row r="385" s="124" customFormat="1" spans="1:52">
      <c r="A385" s="124" t="s">
        <v>67</v>
      </c>
      <c r="B385" s="127" t="s">
        <v>53</v>
      </c>
      <c r="C385" s="124">
        <v>68</v>
      </c>
      <c r="D385" s="180">
        <v>1.55</v>
      </c>
      <c r="E385" s="124">
        <v>69</v>
      </c>
      <c r="F385" s="181">
        <v>28.72008</v>
      </c>
      <c r="G385" s="124">
        <v>7</v>
      </c>
      <c r="I385" s="182">
        <v>44553</v>
      </c>
      <c r="J385" s="182">
        <v>44569</v>
      </c>
      <c r="L385" s="183">
        <v>7</v>
      </c>
      <c r="M385" s="183">
        <v>16</v>
      </c>
      <c r="N385" s="201" t="s">
        <v>1088</v>
      </c>
      <c r="O385" s="114"/>
      <c r="P385" s="114"/>
      <c r="Q385" s="114"/>
      <c r="R385" s="114"/>
      <c r="S385" s="114">
        <v>1</v>
      </c>
      <c r="T385" s="114">
        <v>1</v>
      </c>
      <c r="U385" s="114">
        <v>0</v>
      </c>
      <c r="V385" s="114">
        <v>1</v>
      </c>
      <c r="W385" s="116">
        <v>1</v>
      </c>
      <c r="X385" s="114">
        <v>1</v>
      </c>
      <c r="Y385" s="114">
        <v>1</v>
      </c>
      <c r="Z385" s="116" t="s">
        <v>307</v>
      </c>
      <c r="AA385" s="114">
        <v>3</v>
      </c>
      <c r="AB385" s="114"/>
      <c r="AC385" s="114"/>
      <c r="AD385" s="114"/>
      <c r="AE385" s="114"/>
      <c r="AF385" s="114"/>
      <c r="AG385" s="114">
        <f>AT385/17.1</f>
        <v>1.58479532163743</v>
      </c>
      <c r="AH385" s="114">
        <f>AU385/88.4</f>
        <v>0.622171945701357</v>
      </c>
      <c r="AI385" s="114">
        <f>AR385</f>
        <v>1.24</v>
      </c>
      <c r="AJ385" s="159">
        <f>LN(IF(AG385&gt;=1,AG385,1))*3.8+LN(IF(AH385&gt;=1,AH385,1))*9.6+11.2*LN(IF(AI385&gt;=1,AI385,1))+6.4*AN385</f>
        <v>10.5589774563425</v>
      </c>
      <c r="AK385" s="160">
        <f>IF(AND(AG385&gt;0,AH385&gt;0,AI385&gt;0),AJ385,"")</f>
        <v>10.5589774563425</v>
      </c>
      <c r="AL385" s="160">
        <f>AK385+1.59*(135-AM385)</f>
        <v>12.1489774563425</v>
      </c>
      <c r="AM385" s="160">
        <f>IF(AV385&gt;135,135,IF(AV385&lt;120,120,AV385))</f>
        <v>134</v>
      </c>
      <c r="AN385" s="114">
        <v>1</v>
      </c>
      <c r="AO385" s="114">
        <v>1</v>
      </c>
      <c r="AP385" s="114">
        <v>2.68</v>
      </c>
      <c r="AQ385" s="114">
        <v>119</v>
      </c>
      <c r="AR385" s="114">
        <v>1.24</v>
      </c>
      <c r="AS385" s="114">
        <v>32</v>
      </c>
      <c r="AT385" s="269">
        <v>27.1</v>
      </c>
      <c r="AU385" s="114">
        <v>55</v>
      </c>
      <c r="AV385" s="114">
        <v>134</v>
      </c>
      <c r="AZ385" s="127" t="s">
        <v>1089</v>
      </c>
    </row>
    <row r="386" spans="1:52">
      <c r="A386" s="117" t="s">
        <v>1090</v>
      </c>
      <c r="B386" s="117" t="s">
        <v>53</v>
      </c>
      <c r="C386" s="117">
        <v>58</v>
      </c>
      <c r="D386" s="135">
        <v>1.6</v>
      </c>
      <c r="E386" s="117">
        <v>57</v>
      </c>
      <c r="F386" s="136">
        <v>22.26563</v>
      </c>
      <c r="G386" s="114">
        <v>0</v>
      </c>
      <c r="H386" s="114"/>
      <c r="I386" s="210">
        <v>44506</v>
      </c>
      <c r="J386" s="210">
        <v>44523</v>
      </c>
      <c r="K386" s="114"/>
      <c r="L386" s="138">
        <v>1</v>
      </c>
      <c r="M386" s="138">
        <v>17</v>
      </c>
      <c r="N386" s="265" t="s">
        <v>1091</v>
      </c>
      <c r="O386" s="114"/>
      <c r="P386" s="114"/>
      <c r="Q386" s="114"/>
      <c r="R386" s="114">
        <v>1</v>
      </c>
      <c r="S386" s="114"/>
      <c r="T386" s="114">
        <v>0</v>
      </c>
      <c r="U386" s="114">
        <v>0</v>
      </c>
      <c r="V386" s="114">
        <v>1</v>
      </c>
      <c r="W386" s="114">
        <v>0</v>
      </c>
      <c r="X386" s="114">
        <v>1</v>
      </c>
      <c r="Y386" s="114">
        <v>1</v>
      </c>
      <c r="Z386" s="116" t="s">
        <v>58</v>
      </c>
      <c r="AA386" s="114">
        <v>1</v>
      </c>
      <c r="AB386" s="114">
        <f>_xlfn.IFS(AT386&gt;51,3,AT386&gt;=34,2,AT386&lt;34,1)</f>
        <v>1</v>
      </c>
      <c r="AC386" s="114">
        <f>_xlfn.IFS(AS386&gt;35,1,AS386&gt;=28,2,AS386&lt;28,3)</f>
        <v>2</v>
      </c>
      <c r="AD386" s="114">
        <f>_xlfn.IFS(AR386&gt;2.3,3,AR386&gt;=1.7,2,AR386&lt;1.7,1)</f>
        <v>1</v>
      </c>
      <c r="AE386" s="114">
        <f>Y386+AA386+AB386+AC386+AD386</f>
        <v>6</v>
      </c>
      <c r="AF386" s="116" t="s">
        <v>59</v>
      </c>
      <c r="AG386" s="114">
        <f>AT386/17.1</f>
        <v>1.16959064327485</v>
      </c>
      <c r="AH386" s="114">
        <f>AU386/88.4</f>
        <v>0.633484162895928</v>
      </c>
      <c r="AI386" s="114">
        <f>AR386</f>
        <v>1.39</v>
      </c>
      <c r="AJ386" s="159">
        <f>LN(IF(AG386&gt;=1,AG386,1))*3.8+LN(IF(AH386&gt;=1,AH386,1))*9.6+11.2*LN(IF(AI386&gt;=1,AI386,1))+6.4*AN386</f>
        <v>4.28348644616955</v>
      </c>
      <c r="AK386" s="160">
        <f>IF(AND(AG386&gt;0,AH386&gt;0,AI386&gt;0),AJ386,"")</f>
        <v>4.28348644616955</v>
      </c>
      <c r="AL386" s="160">
        <f>AK386+1.59*(135-AM386)</f>
        <v>4.28348644616955</v>
      </c>
      <c r="AM386" s="160">
        <f>IF(AV386&gt;135,135,IF(AV386&lt;120,120,AV386))</f>
        <v>135</v>
      </c>
      <c r="AN386" s="114">
        <v>0</v>
      </c>
      <c r="AO386" s="114">
        <f>_xlfn.IFS(AJ386&lt;15,1,AJ386=15-18,2,AJ386&gt;18,3)</f>
        <v>1</v>
      </c>
      <c r="AP386" s="114">
        <v>1.82</v>
      </c>
      <c r="AQ386" s="114">
        <v>66</v>
      </c>
      <c r="AR386" s="114">
        <v>1.39</v>
      </c>
      <c r="AS386" s="160">
        <v>28</v>
      </c>
      <c r="AT386" s="161">
        <v>20</v>
      </c>
      <c r="AU386" s="114">
        <v>56</v>
      </c>
      <c r="AV386" s="114">
        <v>141</v>
      </c>
      <c r="AZ386" s="119" t="s">
        <v>1092</v>
      </c>
    </row>
    <row r="387" s="124" customFormat="1" spans="1:52">
      <c r="A387" s="124" t="s">
        <v>1093</v>
      </c>
      <c r="B387" s="124" t="s">
        <v>53</v>
      </c>
      <c r="C387" s="124">
        <v>74</v>
      </c>
      <c r="D387" s="180">
        <v>1.68</v>
      </c>
      <c r="E387" s="124">
        <v>75</v>
      </c>
      <c r="F387" s="181">
        <v>26.57313</v>
      </c>
      <c r="G387" s="124">
        <v>6</v>
      </c>
      <c r="I387" s="182">
        <v>44513</v>
      </c>
      <c r="J387" s="182">
        <v>44519</v>
      </c>
      <c r="L387" s="183">
        <v>1</v>
      </c>
      <c r="M387" s="183">
        <v>6</v>
      </c>
      <c r="N387" s="201" t="s">
        <v>1094</v>
      </c>
      <c r="O387" s="114">
        <v>1</v>
      </c>
      <c r="P387" s="114"/>
      <c r="Q387" s="114"/>
      <c r="R387" s="114"/>
      <c r="S387" s="114"/>
      <c r="T387" s="114">
        <v>1</v>
      </c>
      <c r="U387" s="114">
        <v>1</v>
      </c>
      <c r="V387" s="114">
        <v>1</v>
      </c>
      <c r="W387" s="114">
        <v>0</v>
      </c>
      <c r="X387" s="114">
        <v>1</v>
      </c>
      <c r="Y387" s="114">
        <v>2</v>
      </c>
      <c r="Z387" s="116" t="s">
        <v>307</v>
      </c>
      <c r="AA387" s="114">
        <v>3</v>
      </c>
      <c r="AB387" s="114">
        <f>_xlfn.IFS(AT387&gt;51,3,AT387&gt;=34,2,AT387&lt;34,1)</f>
        <v>3</v>
      </c>
      <c r="AC387" s="114">
        <f>_xlfn.IFS(AS387&gt;35,1,AS387&gt;=28,2,AS387&lt;28,3)</f>
        <v>2</v>
      </c>
      <c r="AD387" s="114">
        <v>2</v>
      </c>
      <c r="AE387" s="114">
        <f>Y387+AA387+AB387+AC387+AD387</f>
        <v>12</v>
      </c>
      <c r="AF387" s="116" t="s">
        <v>50</v>
      </c>
      <c r="AG387" s="114">
        <f>AT387/17.1</f>
        <v>8.8187134502924</v>
      </c>
      <c r="AH387" s="114">
        <f>AU387/88.4</f>
        <v>0.542986425339366</v>
      </c>
      <c r="AI387" s="114">
        <f>AR387</f>
        <v>1.79</v>
      </c>
      <c r="AJ387" s="159">
        <f>LN(IF(AG387&gt;=1,AG387,1))*3.8+LN(IF(AH387&gt;=1,AH387,1))*9.6+11.2*LN(IF(AI387&gt;=1,AI387,1))+6.4*AN387</f>
        <v>21.1929437121978</v>
      </c>
      <c r="AK387" s="160">
        <f>IF(AND(AG387&gt;0,AH387&gt;0,AI387&gt;0),AJ387,"")</f>
        <v>21.1929437121978</v>
      </c>
      <c r="AL387" s="160">
        <f>AK387+1.59*(135-AM387)</f>
        <v>21.1929437121978</v>
      </c>
      <c r="AM387" s="160">
        <f>IF(AV387&gt;135,135,IF(AV387&lt;120,120,AV387))</f>
        <v>135</v>
      </c>
      <c r="AN387" s="114">
        <v>1</v>
      </c>
      <c r="AO387" s="114">
        <f>_xlfn.IFS(AJ387&lt;15,1,AJ387=15-18,2,AJ387&gt;18,3)</f>
        <v>3</v>
      </c>
      <c r="AP387" s="114">
        <v>7.16</v>
      </c>
      <c r="AQ387" s="114">
        <v>103</v>
      </c>
      <c r="AR387" s="114">
        <v>1.79</v>
      </c>
      <c r="AS387" s="160">
        <v>29</v>
      </c>
      <c r="AT387" s="161">
        <v>150.8</v>
      </c>
      <c r="AU387" s="114">
        <v>48</v>
      </c>
      <c r="AV387" s="114">
        <v>140</v>
      </c>
      <c r="AZ387" s="127" t="s">
        <v>58</v>
      </c>
    </row>
    <row r="388" spans="1:52">
      <c r="A388" s="117" t="s">
        <v>187</v>
      </c>
      <c r="B388" s="117" t="s">
        <v>53</v>
      </c>
      <c r="C388" s="117">
        <v>56</v>
      </c>
      <c r="D388" s="135">
        <v>1.67</v>
      </c>
      <c r="E388" s="117">
        <v>62</v>
      </c>
      <c r="F388" s="136">
        <v>22.23099</v>
      </c>
      <c r="G388" s="114">
        <v>0</v>
      </c>
      <c r="H388" s="114"/>
      <c r="I388" s="210">
        <v>44547</v>
      </c>
      <c r="J388" s="210">
        <v>44550</v>
      </c>
      <c r="K388" s="114"/>
      <c r="L388" s="138">
        <v>3</v>
      </c>
      <c r="M388" s="138">
        <v>3</v>
      </c>
      <c r="N388" s="265" t="s">
        <v>1095</v>
      </c>
      <c r="O388" s="114">
        <v>1</v>
      </c>
      <c r="P388" s="114"/>
      <c r="Q388" s="114"/>
      <c r="R388" s="114"/>
      <c r="S388" s="114"/>
      <c r="T388" s="114">
        <v>0</v>
      </c>
      <c r="U388" s="114">
        <v>0</v>
      </c>
      <c r="V388" s="114">
        <v>1</v>
      </c>
      <c r="W388" s="114">
        <v>0</v>
      </c>
      <c r="X388" s="114">
        <v>1</v>
      </c>
      <c r="Y388" s="116">
        <v>1</v>
      </c>
      <c r="Z388" s="116" t="s">
        <v>58</v>
      </c>
      <c r="AA388" s="114">
        <v>1</v>
      </c>
      <c r="AB388" s="114" t="e">
        <f>_xlfn.IFS(#REF!&gt;35,1,#REF!&gt;=28,2,#REF!&lt;28,3)</f>
        <v>#REF!</v>
      </c>
      <c r="AC388" s="114">
        <v>1</v>
      </c>
      <c r="AD388" s="114"/>
      <c r="AE388" s="114"/>
      <c r="AF388" s="114"/>
      <c r="AG388" s="114">
        <f>AT388/17.1</f>
        <v>0.549707602339181</v>
      </c>
      <c r="AH388" s="114">
        <f>AU388/88.4</f>
        <v>0.531674208144796</v>
      </c>
      <c r="AI388" s="114">
        <f>AR388</f>
        <v>1.16</v>
      </c>
      <c r="AJ388" s="159">
        <f>LN(IF(AG388&gt;=1,AG388,1))*3.8+LN(IF(AH388&gt;=1,AH388,1))*9.6+11.2*LN(IF(AI388&gt;=1,AI388,1))+6.4*AN388</f>
        <v>8.06230405732466</v>
      </c>
      <c r="AK388" s="160">
        <f>IF(AND(AG388&gt;0,AH388&gt;0,AI388&gt;0),AJ388,"")</f>
        <v>8.06230405732466</v>
      </c>
      <c r="AL388" s="160">
        <f>AK388+1.59*(135-AM388)</f>
        <v>8.06230405732466</v>
      </c>
      <c r="AM388" s="160">
        <f>IF(AV388&gt;135,135,IF(AV388&lt;120,120,AV388))</f>
        <v>135</v>
      </c>
      <c r="AN388" s="114">
        <v>1</v>
      </c>
      <c r="AO388" s="114">
        <v>1</v>
      </c>
      <c r="AP388" s="114">
        <v>1.64</v>
      </c>
      <c r="AQ388" s="114">
        <v>85</v>
      </c>
      <c r="AR388" s="114">
        <v>1.16</v>
      </c>
      <c r="AS388" s="114">
        <v>36</v>
      </c>
      <c r="AT388" s="161">
        <v>9.4</v>
      </c>
      <c r="AU388" s="114">
        <v>47</v>
      </c>
      <c r="AV388" s="114">
        <v>143</v>
      </c>
      <c r="AZ388" s="119" t="s">
        <v>1096</v>
      </c>
    </row>
    <row r="389" s="124" customFormat="1" spans="1:52">
      <c r="A389" s="124" t="s">
        <v>67</v>
      </c>
      <c r="B389" s="127" t="s">
        <v>53</v>
      </c>
      <c r="C389" s="124">
        <v>68</v>
      </c>
      <c r="D389" s="180">
        <v>1.55</v>
      </c>
      <c r="F389" s="181"/>
      <c r="G389" s="124">
        <v>6</v>
      </c>
      <c r="I389" s="182">
        <v>44666</v>
      </c>
      <c r="J389" s="182">
        <v>44674</v>
      </c>
      <c r="L389" s="183">
        <v>8</v>
      </c>
      <c r="M389" s="183">
        <v>8</v>
      </c>
      <c r="N389" s="201" t="s">
        <v>1097</v>
      </c>
      <c r="O389" s="114"/>
      <c r="P389" s="114"/>
      <c r="Q389" s="114"/>
      <c r="R389" s="114"/>
      <c r="S389" s="114">
        <v>1</v>
      </c>
      <c r="T389" s="114">
        <v>1</v>
      </c>
      <c r="U389" s="114">
        <v>0</v>
      </c>
      <c r="V389" s="114">
        <v>1</v>
      </c>
      <c r="W389" s="114"/>
      <c r="X389" s="116">
        <v>1</v>
      </c>
      <c r="Y389" s="114">
        <v>1</v>
      </c>
      <c r="Z389" s="116" t="s">
        <v>300</v>
      </c>
      <c r="AA389" s="114">
        <v>2</v>
      </c>
      <c r="AB389" s="114"/>
      <c r="AC389" s="114"/>
      <c r="AD389" s="114"/>
      <c r="AE389" s="114"/>
      <c r="AF389" s="114"/>
      <c r="AG389" s="114">
        <f>AT389/17.1</f>
        <v>2.16959064327485</v>
      </c>
      <c r="AH389" s="114">
        <f>AU389/88.4</f>
        <v>0.486425339366516</v>
      </c>
      <c r="AI389" s="114">
        <f>AR389</f>
        <v>1.32</v>
      </c>
      <c r="AJ389" s="159">
        <f>LN(IF(AG389&gt;=1,AG389,1))*3.8+LN(IF(AH389&gt;=1,AH389,1))*9.6+11.2*LN(IF(AI389&gt;=1,AI389,1))+6.4*AN389</f>
        <v>6.05272177309888</v>
      </c>
      <c r="AK389" s="160">
        <f>IF(AND(AG389&gt;0,AH389&gt;0,AI389&gt;0),AJ389,"")</f>
        <v>6.05272177309888</v>
      </c>
      <c r="AL389" s="160">
        <f>AK389+1.59*(135-AM389)</f>
        <v>10.8227217730989</v>
      </c>
      <c r="AM389" s="160">
        <f>IF(AV389&gt;135,135,IF(AV389&lt;120,120,AV389))</f>
        <v>132</v>
      </c>
      <c r="AN389" s="114"/>
      <c r="AO389" s="114"/>
      <c r="AP389" s="114">
        <v>1.68</v>
      </c>
      <c r="AQ389" s="114">
        <v>99</v>
      </c>
      <c r="AR389" s="114">
        <v>1.32</v>
      </c>
      <c r="AS389" s="114">
        <v>35</v>
      </c>
      <c r="AT389" s="269">
        <v>37.1</v>
      </c>
      <c r="AU389" s="114">
        <v>43</v>
      </c>
      <c r="AV389" s="114">
        <v>132</v>
      </c>
      <c r="AZ389" s="127" t="s">
        <v>1098</v>
      </c>
    </row>
    <row r="390" spans="1:52">
      <c r="A390" s="117" t="s">
        <v>1099</v>
      </c>
      <c r="B390" s="117" t="s">
        <v>48</v>
      </c>
      <c r="C390" s="117">
        <v>58</v>
      </c>
      <c r="D390" s="135">
        <v>1.73</v>
      </c>
      <c r="E390" s="117">
        <v>60</v>
      </c>
      <c r="F390" s="136">
        <v>20.04745</v>
      </c>
      <c r="G390" s="114">
        <v>5</v>
      </c>
      <c r="H390" s="114"/>
      <c r="I390" s="210">
        <v>44513</v>
      </c>
      <c r="J390" s="210">
        <v>44527</v>
      </c>
      <c r="K390" s="114"/>
      <c r="L390" s="138">
        <v>2</v>
      </c>
      <c r="M390" s="138">
        <v>14</v>
      </c>
      <c r="N390" s="265" t="s">
        <v>1100</v>
      </c>
      <c r="O390" s="114"/>
      <c r="P390" s="114"/>
      <c r="Q390" s="114"/>
      <c r="R390" s="114"/>
      <c r="S390" s="114">
        <v>1</v>
      </c>
      <c r="T390" s="114">
        <v>1</v>
      </c>
      <c r="U390" s="114">
        <v>0</v>
      </c>
      <c r="V390" s="114">
        <v>0</v>
      </c>
      <c r="W390" s="114">
        <v>0</v>
      </c>
      <c r="X390" s="114">
        <v>1</v>
      </c>
      <c r="Y390" s="114">
        <v>1</v>
      </c>
      <c r="Z390" s="116" t="s">
        <v>307</v>
      </c>
      <c r="AA390" s="114">
        <v>3</v>
      </c>
      <c r="AB390" s="114">
        <f>_xlfn.IFS(AT390&gt;51,3,AT390&gt;=34,2,AT390&lt;34,1)</f>
        <v>3</v>
      </c>
      <c r="AC390" s="114">
        <f>_xlfn.IFS(AS390&gt;35,1,AS390&gt;=28,2,AS390&lt;28,3)</f>
        <v>3</v>
      </c>
      <c r="AD390" s="114">
        <f>_xlfn.IFS(AR390&gt;2.3,3,AR390&gt;=1.7,2,AR390&lt;1.7,1)</f>
        <v>1</v>
      </c>
      <c r="AE390" s="114">
        <f>Y390+AA390+AB390+AC390+AD390</f>
        <v>11</v>
      </c>
      <c r="AF390" s="116" t="s">
        <v>50</v>
      </c>
      <c r="AG390" s="114">
        <f>AT390/17.1</f>
        <v>3.11111111111111</v>
      </c>
      <c r="AH390" s="114">
        <f>AU390/88.4</f>
        <v>0.542986425339366</v>
      </c>
      <c r="AI390" s="114">
        <f>AR390</f>
        <v>1.49</v>
      </c>
      <c r="AJ390" s="159">
        <f>LN(IF(AG390&gt;=1,AG390,1))*3.8+LN(IF(AH390&gt;=1,AH390,1))*9.6+11.2*LN(IF(AI390&gt;=1,AI390,1))+6.4*AN390</f>
        <v>15.1792162883107</v>
      </c>
      <c r="AK390" s="160">
        <f>IF(AND(AG390&gt;0,AH390&gt;0,AI390&gt;0),AJ390,"")</f>
        <v>15.1792162883107</v>
      </c>
      <c r="AL390" s="160">
        <f>AK390+1.59*(135-AM390)</f>
        <v>19.9492162883107</v>
      </c>
      <c r="AM390" s="160">
        <f>IF(AV390&gt;135,135,IF(AV390&lt;120,120,AV390))</f>
        <v>132</v>
      </c>
      <c r="AN390" s="114">
        <v>1</v>
      </c>
      <c r="AO390" s="114">
        <v>2</v>
      </c>
      <c r="AP390" s="114">
        <v>6.81</v>
      </c>
      <c r="AQ390" s="114">
        <v>102</v>
      </c>
      <c r="AR390" s="114">
        <v>1.49</v>
      </c>
      <c r="AS390" s="160">
        <v>24</v>
      </c>
      <c r="AT390" s="161">
        <v>53.2</v>
      </c>
      <c r="AU390" s="114">
        <v>48</v>
      </c>
      <c r="AV390" s="114">
        <v>132</v>
      </c>
      <c r="AZ390" s="119" t="s">
        <v>1101</v>
      </c>
    </row>
    <row r="391" spans="1:52">
      <c r="A391" s="117" t="s">
        <v>281</v>
      </c>
      <c r="B391" s="117" t="s">
        <v>48</v>
      </c>
      <c r="C391" s="117">
        <v>67</v>
      </c>
      <c r="D391" s="135">
        <v>1.69</v>
      </c>
      <c r="E391" s="117">
        <v>60</v>
      </c>
      <c r="F391" s="136">
        <v>21.00767</v>
      </c>
      <c r="G391" s="114">
        <v>6</v>
      </c>
      <c r="H391" s="114"/>
      <c r="I391" s="210">
        <v>44515</v>
      </c>
      <c r="J391" s="210">
        <v>44531</v>
      </c>
      <c r="K391" s="114"/>
      <c r="L391" s="138">
        <v>2</v>
      </c>
      <c r="M391" s="138">
        <v>16</v>
      </c>
      <c r="N391" s="265" t="s">
        <v>1102</v>
      </c>
      <c r="O391" s="114"/>
      <c r="P391" s="114">
        <v>1</v>
      </c>
      <c r="Q391" s="114"/>
      <c r="R391" s="114"/>
      <c r="S391" s="114"/>
      <c r="T391" s="114">
        <v>1</v>
      </c>
      <c r="U391" s="114">
        <v>0</v>
      </c>
      <c r="V391" s="114">
        <v>1</v>
      </c>
      <c r="W391" s="114">
        <v>0</v>
      </c>
      <c r="X391" s="114">
        <v>1</v>
      </c>
      <c r="Y391" s="114">
        <v>1</v>
      </c>
      <c r="Z391" s="116" t="s">
        <v>321</v>
      </c>
      <c r="AA391" s="114">
        <v>3</v>
      </c>
      <c r="AB391" s="114">
        <f>_xlfn.IFS(AT391&gt;51,3,AT391&gt;=34,2,AT391&lt;34,1)</f>
        <v>3</v>
      </c>
      <c r="AC391" s="114">
        <f>_xlfn.IFS(AS391&gt;35,1,AS391&gt;=28,2,AS391&lt;28,3)</f>
        <v>3</v>
      </c>
      <c r="AD391" s="114">
        <f>_xlfn.IFS(AR391&gt;2.3,3,AR391&gt;=1.7,2,AR391&lt;1.7,1)</f>
        <v>1</v>
      </c>
      <c r="AE391" s="114">
        <f>Y391+AA391+AB391+AC391+AD391</f>
        <v>11</v>
      </c>
      <c r="AF391" s="116" t="s">
        <v>50</v>
      </c>
      <c r="AG391" s="114">
        <f>AT391/17.1</f>
        <v>5.50292397660819</v>
      </c>
      <c r="AH391" s="114">
        <f>AU391/88.4</f>
        <v>0.497737556561086</v>
      </c>
      <c r="AI391" s="114">
        <f>AR391</f>
        <v>1.53</v>
      </c>
      <c r="AJ391" s="159">
        <f>LN(IF(AG391&gt;=1,AG391,1))*3.8+LN(IF(AH391&gt;=1,AH391,1))*9.6+11.2*LN(IF(AI391&gt;=1,AI391,1))+6.4*AN391</f>
        <v>11.243061052243</v>
      </c>
      <c r="AK391" s="160">
        <f>IF(AND(AG391&gt;0,AH391&gt;0,AI391&gt;0),AJ391,"")</f>
        <v>11.243061052243</v>
      </c>
      <c r="AL391" s="160">
        <f>AK391+1.59*(135-AM391)</f>
        <v>11.243061052243</v>
      </c>
      <c r="AM391" s="160">
        <f>IF(AV391&gt;135,135,IF(AV391&lt;120,120,AV391))</f>
        <v>135</v>
      </c>
      <c r="AN391" s="114">
        <v>0</v>
      </c>
      <c r="AO391" s="114">
        <v>1</v>
      </c>
      <c r="AP391" s="114">
        <v>5.67</v>
      </c>
      <c r="AQ391" s="114">
        <v>110</v>
      </c>
      <c r="AR391" s="114">
        <v>1.53</v>
      </c>
      <c r="AS391" s="160">
        <v>23</v>
      </c>
      <c r="AT391" s="161">
        <v>94.1</v>
      </c>
      <c r="AU391" s="114">
        <v>44</v>
      </c>
      <c r="AV391" s="114">
        <v>135</v>
      </c>
      <c r="AZ391" s="119" t="s">
        <v>1103</v>
      </c>
    </row>
    <row r="392" s="123" customFormat="1" spans="1:52">
      <c r="A392" s="123" t="s">
        <v>1104</v>
      </c>
      <c r="B392" s="123" t="s">
        <v>48</v>
      </c>
      <c r="C392" s="123">
        <v>53</v>
      </c>
      <c r="D392" s="176">
        <v>1.71</v>
      </c>
      <c r="E392" s="123">
        <v>85</v>
      </c>
      <c r="F392" s="189">
        <v>29.06877</v>
      </c>
      <c r="G392" s="123">
        <v>6</v>
      </c>
      <c r="I392" s="177">
        <v>44517</v>
      </c>
      <c r="J392" s="177">
        <v>44526</v>
      </c>
      <c r="L392" s="178">
        <v>1</v>
      </c>
      <c r="M392" s="178">
        <v>9</v>
      </c>
      <c r="N392" s="254" t="s">
        <v>1105</v>
      </c>
      <c r="O392" s="114"/>
      <c r="P392" s="114">
        <v>1</v>
      </c>
      <c r="Q392" s="114"/>
      <c r="R392" s="114"/>
      <c r="S392" s="114"/>
      <c r="T392" s="114">
        <v>1</v>
      </c>
      <c r="U392" s="114">
        <v>0</v>
      </c>
      <c r="V392" s="114">
        <v>0</v>
      </c>
      <c r="W392" s="114">
        <v>0</v>
      </c>
      <c r="X392" s="114">
        <v>1</v>
      </c>
      <c r="Y392" s="114">
        <v>1</v>
      </c>
      <c r="Z392" s="116" t="s">
        <v>300</v>
      </c>
      <c r="AA392" s="114">
        <v>2</v>
      </c>
      <c r="AB392" s="114">
        <f>_xlfn.IFS(AT392&gt;51,3,AT392&gt;=34,2,AT392&lt;34,1)</f>
        <v>1</v>
      </c>
      <c r="AC392" s="114">
        <f>_xlfn.IFS(AS392&gt;35,1,AS392&gt;=28,2,AS392&lt;28,3)</f>
        <v>3</v>
      </c>
      <c r="AD392" s="114">
        <f>_xlfn.IFS(AR392&gt;2.3,3,AR392&gt;=1.7,2,AR392&lt;1.7,1)</f>
        <v>1</v>
      </c>
      <c r="AE392" s="114">
        <f>Y392+AA392+AB392+AC392+AD392</f>
        <v>8</v>
      </c>
      <c r="AF392" s="116" t="s">
        <v>63</v>
      </c>
      <c r="AG392" s="114">
        <f>AT392/17.1</f>
        <v>0.947368421052631</v>
      </c>
      <c r="AH392" s="114">
        <f>AU392/88.4</f>
        <v>0.701357466063348</v>
      </c>
      <c r="AI392" s="114">
        <f>AR392</f>
        <v>1.15</v>
      </c>
      <c r="AJ392" s="159">
        <f>LN(IF(AG392&gt;=1,AG392,1))*3.8+LN(IF(AH392&gt;=1,AH392,1))*9.6+11.2*LN(IF(AI392&gt;=1,AI392,1))+6.4*AN392</f>
        <v>1.56533375460178</v>
      </c>
      <c r="AK392" s="160">
        <f>IF(AND(AG392&gt;0,AH392&gt;0,AI392&gt;0),AJ392,"")</f>
        <v>1.56533375460178</v>
      </c>
      <c r="AL392" s="160">
        <f>AK392+1.59*(135-AM392)</f>
        <v>1.56533375460178</v>
      </c>
      <c r="AM392" s="160">
        <f>IF(AV392&gt;135,135,IF(AV392&lt;120,120,AV392))</f>
        <v>135</v>
      </c>
      <c r="AN392" s="114">
        <v>0</v>
      </c>
      <c r="AO392" s="114">
        <f>_xlfn.IFS(AJ392&lt;15,1,AJ392=15-18,2,AJ392&gt;18,3)</f>
        <v>1</v>
      </c>
      <c r="AP392" s="114">
        <v>5.41</v>
      </c>
      <c r="AQ392" s="114">
        <v>82</v>
      </c>
      <c r="AR392" s="114">
        <v>1.15</v>
      </c>
      <c r="AS392" s="160">
        <v>26</v>
      </c>
      <c r="AT392" s="161">
        <v>16.2</v>
      </c>
      <c r="AU392" s="114">
        <v>62</v>
      </c>
      <c r="AV392" s="114">
        <v>141</v>
      </c>
      <c r="AZ392" s="132" t="s">
        <v>1106</v>
      </c>
    </row>
    <row r="393" s="124" customFormat="1" spans="1:52">
      <c r="A393" s="124" t="s">
        <v>1107</v>
      </c>
      <c r="B393" s="124" t="s">
        <v>48</v>
      </c>
      <c r="C393" s="124">
        <v>71</v>
      </c>
      <c r="D393" s="180">
        <v>1.75</v>
      </c>
      <c r="E393" s="124">
        <v>90</v>
      </c>
      <c r="F393" s="181">
        <v>29.38776</v>
      </c>
      <c r="G393" s="124">
        <v>7</v>
      </c>
      <c r="I393" s="182">
        <v>44538</v>
      </c>
      <c r="J393" s="182">
        <v>44544</v>
      </c>
      <c r="L393" s="183">
        <v>1</v>
      </c>
      <c r="M393" s="183">
        <v>6</v>
      </c>
      <c r="N393" s="201" t="s">
        <v>1108</v>
      </c>
      <c r="O393" s="114"/>
      <c r="P393" s="116">
        <v>1</v>
      </c>
      <c r="Q393" s="114"/>
      <c r="R393" s="114"/>
      <c r="S393" s="114"/>
      <c r="T393" s="114">
        <v>1</v>
      </c>
      <c r="U393" s="114">
        <v>0</v>
      </c>
      <c r="V393" s="114">
        <v>0</v>
      </c>
      <c r="W393" s="114">
        <v>1</v>
      </c>
      <c r="X393" s="114">
        <v>1</v>
      </c>
      <c r="Y393" s="114">
        <v>1</v>
      </c>
      <c r="Z393" s="116" t="s">
        <v>321</v>
      </c>
      <c r="AA393" s="114">
        <v>3</v>
      </c>
      <c r="AB393" s="114">
        <f>_xlfn.IFS(AT393&gt;51,3,AT393&gt;=34,2,AT393&lt;34,1)</f>
        <v>2</v>
      </c>
      <c r="AC393" s="114">
        <f>_xlfn.IFS(AS393&gt;35,1,AS393&gt;=28,2,AS393&lt;28,3)</f>
        <v>3</v>
      </c>
      <c r="AD393" s="114">
        <v>2</v>
      </c>
      <c r="AE393" s="114">
        <f>Y393+AA393+AB393+AC393+AD393</f>
        <v>11</v>
      </c>
      <c r="AF393" s="116" t="s">
        <v>50</v>
      </c>
      <c r="AG393" s="114">
        <f>AT393/17.1</f>
        <v>2.14619883040936</v>
      </c>
      <c r="AH393" s="114">
        <f>AU393/88.4</f>
        <v>1.6289592760181</v>
      </c>
      <c r="AI393" s="114">
        <f>AR393</f>
        <v>1.76</v>
      </c>
      <c r="AJ393" s="159">
        <f>LN(IF(AG393&gt;=1,AG393,1))*3.8+LN(IF(AH393&gt;=1,AH393,1))*9.6+11.2*LN(IF(AI393&gt;=1,AI393,1))+6.4*AN393</f>
        <v>13.917804936609</v>
      </c>
      <c r="AK393" s="160">
        <f>IF(AND(AG393&gt;0,AH393&gt;0,AI393&gt;0),AJ393,"")</f>
        <v>13.917804936609</v>
      </c>
      <c r="AL393" s="160">
        <f>AK393+1.59*(135-AM393)</f>
        <v>13.917804936609</v>
      </c>
      <c r="AM393" s="160">
        <f>IF(AV393&gt;135,135,IF(AV393&lt;120,120,AV393))</f>
        <v>135</v>
      </c>
      <c r="AN393" s="114">
        <v>0</v>
      </c>
      <c r="AO393" s="114">
        <f>_xlfn.IFS(AJ393&lt;15,1,AJ393=15-18,2,AJ393&gt;18,3)</f>
        <v>1</v>
      </c>
      <c r="AP393" s="114">
        <v>10.45</v>
      </c>
      <c r="AQ393" s="114">
        <v>161</v>
      </c>
      <c r="AR393" s="114">
        <v>1.76</v>
      </c>
      <c r="AS393" s="160">
        <v>20</v>
      </c>
      <c r="AT393" s="161">
        <v>36.7</v>
      </c>
      <c r="AU393" s="114">
        <v>144</v>
      </c>
      <c r="AV393" s="114">
        <v>153</v>
      </c>
      <c r="AZ393" s="127" t="s">
        <v>58</v>
      </c>
    </row>
    <row r="394" spans="1:52">
      <c r="A394" s="117" t="s">
        <v>1109</v>
      </c>
      <c r="B394" s="117" t="s">
        <v>53</v>
      </c>
      <c r="C394" s="117">
        <v>56</v>
      </c>
      <c r="D394" s="135">
        <v>1.63</v>
      </c>
      <c r="E394" s="117">
        <v>90.5</v>
      </c>
      <c r="F394" s="136">
        <v>34.06225</v>
      </c>
      <c r="G394" s="114">
        <v>0</v>
      </c>
      <c r="H394" s="114"/>
      <c r="I394" s="210">
        <v>44547</v>
      </c>
      <c r="J394" s="210">
        <v>44552</v>
      </c>
      <c r="K394" s="114"/>
      <c r="L394" s="138">
        <v>2</v>
      </c>
      <c r="M394" s="138">
        <v>5</v>
      </c>
      <c r="N394" s="265" t="s">
        <v>1110</v>
      </c>
      <c r="O394" s="114"/>
      <c r="P394" s="114"/>
      <c r="Q394" s="116" t="s">
        <v>1083</v>
      </c>
      <c r="R394" s="114"/>
      <c r="S394" s="114"/>
      <c r="T394" s="114">
        <v>0</v>
      </c>
      <c r="U394" s="114">
        <v>0</v>
      </c>
      <c r="V394" s="114">
        <v>0</v>
      </c>
      <c r="W394" s="114">
        <v>0</v>
      </c>
      <c r="X394" s="114">
        <v>1</v>
      </c>
      <c r="Y394" s="114">
        <v>1</v>
      </c>
      <c r="Z394" s="116" t="s">
        <v>58</v>
      </c>
      <c r="AA394" s="114">
        <v>1</v>
      </c>
      <c r="AB394" s="114">
        <f>_xlfn.IFS(AT394&gt;51,3,AT394&gt;=34,2,AT394&lt;34,1)</f>
        <v>2</v>
      </c>
      <c r="AC394" s="114">
        <f>_xlfn.IFS(AS394&gt;35,1,AS394&gt;=28,2,AS394&lt;28,3)</f>
        <v>2</v>
      </c>
      <c r="AD394" s="114">
        <f>_xlfn.IFS(AR394&gt;2.3,3,AR394&gt;=1.7,2,AR394&lt;1.7,1)</f>
        <v>1</v>
      </c>
      <c r="AE394" s="114">
        <f>Y394+AA394+AB394+AC394+AD394</f>
        <v>7</v>
      </c>
      <c r="AF394" s="116" t="s">
        <v>63</v>
      </c>
      <c r="AG394" s="114">
        <f>AT394/17.1</f>
        <v>2.64327485380117</v>
      </c>
      <c r="AH394" s="114">
        <f>AU394/88.4</f>
        <v>0.656108597285068</v>
      </c>
      <c r="AI394" s="114">
        <f>AR394</f>
        <v>1.31</v>
      </c>
      <c r="AJ394" s="159">
        <f>LN(IF(AG394&gt;=1,AG394,1))*3.8+LN(IF(AH394&gt;=1,AH394,1))*9.6+11.2*LN(IF(AI394&gt;=1,AI394,1))+6.4*AN394</f>
        <v>13.1179747054386</v>
      </c>
      <c r="AK394" s="160">
        <f>IF(AND(AG394&gt;0,AH394&gt;0,AI394&gt;0),AJ394,"")</f>
        <v>13.1179747054386</v>
      </c>
      <c r="AL394" s="160">
        <f>AK394+1.59*(135-AM394)</f>
        <v>13.1179747054386</v>
      </c>
      <c r="AM394" s="160">
        <f>IF(AV394&gt;135,135,IF(AV394&lt;120,120,AV394))</f>
        <v>135</v>
      </c>
      <c r="AN394" s="114">
        <v>1</v>
      </c>
      <c r="AO394" s="114">
        <f>_xlfn.IFS(AJ394&lt;15,1,AJ394=15-18,2,AJ394&gt;18,3)</f>
        <v>1</v>
      </c>
      <c r="AP394" s="114">
        <v>3.04</v>
      </c>
      <c r="AQ394" s="114">
        <v>124</v>
      </c>
      <c r="AR394" s="114">
        <v>1.31</v>
      </c>
      <c r="AS394" s="160">
        <v>35</v>
      </c>
      <c r="AT394" s="161">
        <v>45.2</v>
      </c>
      <c r="AU394" s="114">
        <v>58</v>
      </c>
      <c r="AV394" s="114">
        <v>145</v>
      </c>
      <c r="AZ394" s="119" t="s">
        <v>1111</v>
      </c>
    </row>
    <row r="395" spans="1:52">
      <c r="A395" s="117" t="s">
        <v>1112</v>
      </c>
      <c r="B395" s="117" t="s">
        <v>53</v>
      </c>
      <c r="C395" s="117">
        <v>63</v>
      </c>
      <c r="D395" s="135">
        <v>1.6</v>
      </c>
      <c r="E395" s="117">
        <v>62.5</v>
      </c>
      <c r="F395" s="136">
        <v>24.41406</v>
      </c>
      <c r="G395" s="114">
        <v>0</v>
      </c>
      <c r="H395" s="114"/>
      <c r="I395" s="210">
        <v>44536</v>
      </c>
      <c r="J395" s="210">
        <v>44550</v>
      </c>
      <c r="K395" s="114"/>
      <c r="L395" s="138">
        <v>1</v>
      </c>
      <c r="M395" s="138">
        <v>14</v>
      </c>
      <c r="N395" s="265" t="s">
        <v>1113</v>
      </c>
      <c r="O395" s="114"/>
      <c r="P395" s="114"/>
      <c r="Q395" s="114">
        <v>1</v>
      </c>
      <c r="R395" s="114"/>
      <c r="S395" s="114"/>
      <c r="T395" s="114">
        <v>1</v>
      </c>
      <c r="U395" s="114">
        <v>0</v>
      </c>
      <c r="V395" s="114">
        <v>1</v>
      </c>
      <c r="W395" s="114">
        <v>0</v>
      </c>
      <c r="X395" s="114">
        <v>1</v>
      </c>
      <c r="Y395" s="114">
        <v>1</v>
      </c>
      <c r="Z395" s="116" t="s">
        <v>300</v>
      </c>
      <c r="AA395" s="114">
        <v>2</v>
      </c>
      <c r="AB395" s="114">
        <f>_xlfn.IFS(AT395&gt;51,3,AT395&gt;=34,2,AT395&lt;34,1)</f>
        <v>1</v>
      </c>
      <c r="AC395" s="114">
        <f>_xlfn.IFS(AS395&gt;35,1,AS395&gt;=28,2,AS395&lt;28,3)</f>
        <v>2</v>
      </c>
      <c r="AD395" s="114">
        <f>_xlfn.IFS(AR395&gt;2.3,3,AR395&gt;=1.7,2,AR395&lt;1.7,1)</f>
        <v>1</v>
      </c>
      <c r="AE395" s="114">
        <f>Y395+AA395+AB395+AC395+AD395</f>
        <v>7</v>
      </c>
      <c r="AF395" s="116" t="s">
        <v>63</v>
      </c>
      <c r="AG395" s="114">
        <f>AT395/17.1</f>
        <v>0.47953216374269</v>
      </c>
      <c r="AH395" s="114">
        <f>AU395/88.4</f>
        <v>0.82579185520362</v>
      </c>
      <c r="AI395" s="114">
        <f>AR395</f>
        <v>1.38</v>
      </c>
      <c r="AJ395" s="159">
        <f>LN(IF(AG395&gt;=1,AG395,1))*3.8+LN(IF(AH395&gt;=1,AH395,1))*9.6+11.2*LN(IF(AI395&gt;=1,AI395,1))+6.4*AN395</f>
        <v>10.0073351906941</v>
      </c>
      <c r="AK395" s="160">
        <f>IF(AND(AG395&gt;0,AH395&gt;0,AI395&gt;0),AJ395,"")</f>
        <v>10.0073351906941</v>
      </c>
      <c r="AL395" s="160">
        <f>AK395+1.59*(135-AM395)</f>
        <v>10.0073351906941</v>
      </c>
      <c r="AM395" s="160">
        <f>IF(AV395&gt;135,135,IF(AV395&lt;120,120,AV395))</f>
        <v>135</v>
      </c>
      <c r="AN395" s="114">
        <v>1</v>
      </c>
      <c r="AO395" s="114">
        <f>_xlfn.IFS(AJ395&lt;15,1,AJ395=15-18,2,AJ395&gt;18,3)</f>
        <v>1</v>
      </c>
      <c r="AP395" s="114">
        <v>1.51</v>
      </c>
      <c r="AQ395" s="114">
        <v>72</v>
      </c>
      <c r="AR395" s="114">
        <v>1.38</v>
      </c>
      <c r="AS395" s="160">
        <v>33</v>
      </c>
      <c r="AT395" s="161">
        <v>8.2</v>
      </c>
      <c r="AU395" s="114">
        <v>73</v>
      </c>
      <c r="AV395" s="114">
        <v>146</v>
      </c>
      <c r="AZ395" s="119" t="s">
        <v>1114</v>
      </c>
    </row>
    <row r="396" s="123" customFormat="1" spans="1:52">
      <c r="A396" s="123" t="s">
        <v>1115</v>
      </c>
      <c r="B396" s="123" t="s">
        <v>48</v>
      </c>
      <c r="C396" s="123">
        <v>62</v>
      </c>
      <c r="D396" s="176">
        <v>1.76</v>
      </c>
      <c r="E396" s="123">
        <v>110</v>
      </c>
      <c r="F396" s="189">
        <v>35.51136</v>
      </c>
      <c r="G396" s="123">
        <v>6</v>
      </c>
      <c r="I396" s="177">
        <v>44532</v>
      </c>
      <c r="J396" s="177">
        <v>44543</v>
      </c>
      <c r="L396" s="178">
        <v>1</v>
      </c>
      <c r="M396" s="178">
        <v>11</v>
      </c>
      <c r="N396" s="254" t="s">
        <v>1116</v>
      </c>
      <c r="O396" s="114"/>
      <c r="P396" s="114"/>
      <c r="Q396" s="114"/>
      <c r="R396" s="114"/>
      <c r="S396" s="114">
        <v>1</v>
      </c>
      <c r="T396" s="114">
        <v>1</v>
      </c>
      <c r="U396" s="114">
        <v>0</v>
      </c>
      <c r="V396" s="114">
        <v>0</v>
      </c>
      <c r="W396" s="114">
        <v>0</v>
      </c>
      <c r="X396" s="114">
        <v>1</v>
      </c>
      <c r="Y396" s="114">
        <v>1</v>
      </c>
      <c r="Z396" s="116" t="s">
        <v>321</v>
      </c>
      <c r="AA396" s="114">
        <v>3</v>
      </c>
      <c r="AB396" s="114">
        <f>_xlfn.IFS(AT396&gt;51,3,AT396&gt;=34,2,AT396&lt;34,1)</f>
        <v>2</v>
      </c>
      <c r="AC396" s="114">
        <f>_xlfn.IFS(AS396&gt;35,1,AS396&gt;=28,2,AS396&lt;28,3)</f>
        <v>3</v>
      </c>
      <c r="AD396" s="114">
        <f>_xlfn.IFS(AR396&gt;2.3,3,AR396&gt;=1.7,2,AR396&lt;1.7,1)</f>
        <v>1</v>
      </c>
      <c r="AE396" s="114">
        <f>Y396+AA396+AB396+AC396+AD396</f>
        <v>10</v>
      </c>
      <c r="AF396" s="116" t="s">
        <v>50</v>
      </c>
      <c r="AG396" s="114">
        <f>AT396/17.1</f>
        <v>2.29824561403509</v>
      </c>
      <c r="AH396" s="114">
        <f>AU396/88.4</f>
        <v>0.429864253393665</v>
      </c>
      <c r="AI396" s="114">
        <f>AR396</f>
        <v>1.49</v>
      </c>
      <c r="AJ396" s="159">
        <f>LN(IF(AG396&gt;=1,AG396,1))*3.8+LN(IF(AH396&gt;=1,AH396,1))*9.6+11.2*LN(IF(AI396&gt;=1,AI396,1))+6.4*AN396</f>
        <v>14.0284475539156</v>
      </c>
      <c r="AK396" s="160">
        <f>IF(AND(AG396&gt;0,AH396&gt;0,AI396&gt;0),AJ396,"")</f>
        <v>14.0284475539156</v>
      </c>
      <c r="AL396" s="160">
        <f>AK396+1.59*(135-AM396)</f>
        <v>14.0284475539156</v>
      </c>
      <c r="AM396" s="160">
        <f>IF(AV396&gt;135,135,IF(AV396&lt;120,120,AV396))</f>
        <v>135</v>
      </c>
      <c r="AN396" s="114">
        <v>1</v>
      </c>
      <c r="AO396" s="114">
        <v>2</v>
      </c>
      <c r="AP396" s="114">
        <v>6.37</v>
      </c>
      <c r="AQ396" s="114">
        <v>121</v>
      </c>
      <c r="AR396" s="114">
        <v>1.49</v>
      </c>
      <c r="AS396" s="160">
        <v>25</v>
      </c>
      <c r="AT396" s="161">
        <v>39.3</v>
      </c>
      <c r="AU396" s="114">
        <v>38</v>
      </c>
      <c r="AV396" s="114">
        <v>141</v>
      </c>
      <c r="AZ396" s="132" t="s">
        <v>1117</v>
      </c>
    </row>
    <row r="397" spans="1:52">
      <c r="A397" s="117" t="s">
        <v>1118</v>
      </c>
      <c r="B397" s="117" t="s">
        <v>48</v>
      </c>
      <c r="C397" s="117">
        <v>67</v>
      </c>
      <c r="D397" s="135">
        <v>1.7</v>
      </c>
      <c r="E397" s="117">
        <v>50</v>
      </c>
      <c r="F397" s="136">
        <v>17.30104</v>
      </c>
      <c r="G397" s="114">
        <v>2</v>
      </c>
      <c r="H397" s="114"/>
      <c r="I397" s="210">
        <v>44530</v>
      </c>
      <c r="J397" s="210">
        <v>44545</v>
      </c>
      <c r="K397" s="114"/>
      <c r="L397" s="138">
        <v>1</v>
      </c>
      <c r="M397" s="138">
        <v>15</v>
      </c>
      <c r="N397" s="265" t="s">
        <v>1119</v>
      </c>
      <c r="O397" s="114"/>
      <c r="P397" s="114"/>
      <c r="Q397" s="114"/>
      <c r="R397" s="114">
        <v>1</v>
      </c>
      <c r="S397" s="114"/>
      <c r="T397" s="114">
        <v>0</v>
      </c>
      <c r="U397" s="114">
        <v>0</v>
      </c>
      <c r="V397" s="114">
        <v>1</v>
      </c>
      <c r="W397" s="114">
        <v>0</v>
      </c>
      <c r="X397" s="114">
        <v>1</v>
      </c>
      <c r="Y397" s="114">
        <v>1</v>
      </c>
      <c r="Z397" s="116" t="s">
        <v>58</v>
      </c>
      <c r="AA397" s="114">
        <v>1</v>
      </c>
      <c r="AB397" s="114">
        <f>_xlfn.IFS(AT397&gt;51,3,AT397&gt;=34,2,AT397&lt;34,1)</f>
        <v>1</v>
      </c>
      <c r="AC397" s="114">
        <f>_xlfn.IFS(AS397&gt;35,1,AS397&gt;=28,2,AS397&lt;28,3)</f>
        <v>3</v>
      </c>
      <c r="AD397" s="114">
        <f>_xlfn.IFS(AR397&gt;2.3,3,AR397&gt;=1.7,2,AR397&lt;1.7,1)</f>
        <v>1</v>
      </c>
      <c r="AE397" s="114">
        <f>Y397+AA397+AB397+AC397+AD397</f>
        <v>7</v>
      </c>
      <c r="AF397" s="116" t="s">
        <v>63</v>
      </c>
      <c r="AG397" s="114">
        <f>AT397/17.1</f>
        <v>0.988304093567251</v>
      </c>
      <c r="AH397" s="114">
        <f>AU397/88.4</f>
        <v>1.15384615384615</v>
      </c>
      <c r="AI397" s="114">
        <f>AR397</f>
        <v>1.2</v>
      </c>
      <c r="AJ397" s="159">
        <f>LN(IF(AG397&gt;=1,AG397,1))*3.8+LN(IF(AH397&gt;=1,AH397,1))*9.6+11.2*LN(IF(AI397&gt;=1,AI397,1))+6.4*AN397</f>
        <v>3.41576953504275</v>
      </c>
      <c r="AK397" s="160">
        <f>IF(AND(AG397&gt;0,AH397&gt;0,AI397&gt;0),AJ397,"")</f>
        <v>3.41576953504275</v>
      </c>
      <c r="AL397" s="160">
        <f>AK397+1.59*(135-AM397)</f>
        <v>3.41576953504275</v>
      </c>
      <c r="AM397" s="160">
        <f>IF(AV397&gt;135,135,IF(AV397&lt;120,120,AV397))</f>
        <v>135</v>
      </c>
      <c r="AN397" s="114">
        <v>0</v>
      </c>
      <c r="AO397" s="114">
        <f>_xlfn.IFS(AJ397&lt;15,1,AJ397=15-18,2,AJ397&gt;18,3)</f>
        <v>1</v>
      </c>
      <c r="AP397" s="114">
        <v>6.61</v>
      </c>
      <c r="AQ397" s="114">
        <v>62</v>
      </c>
      <c r="AR397" s="114">
        <v>1.2</v>
      </c>
      <c r="AS397" s="160">
        <v>25</v>
      </c>
      <c r="AT397" s="161">
        <v>16.9</v>
      </c>
      <c r="AU397" s="114">
        <v>102</v>
      </c>
      <c r="AV397" s="114">
        <v>142</v>
      </c>
      <c r="AZ397" s="119" t="s">
        <v>1120</v>
      </c>
    </row>
    <row r="398" spans="1:52">
      <c r="A398" s="117" t="s">
        <v>1121</v>
      </c>
      <c r="B398" s="117" t="s">
        <v>53</v>
      </c>
      <c r="C398" s="117">
        <v>19</v>
      </c>
      <c r="D398" s="135">
        <v>1.7</v>
      </c>
      <c r="E398" s="117">
        <v>62.5</v>
      </c>
      <c r="F398" s="136">
        <v>21.6263</v>
      </c>
      <c r="G398" s="114">
        <v>1</v>
      </c>
      <c r="H398" s="114"/>
      <c r="I398" s="210">
        <v>44560</v>
      </c>
      <c r="J398" s="210">
        <v>44574</v>
      </c>
      <c r="K398" s="114"/>
      <c r="L398" s="138">
        <v>2</v>
      </c>
      <c r="M398" s="138">
        <v>14</v>
      </c>
      <c r="N398" s="265" t="s">
        <v>1122</v>
      </c>
      <c r="O398" s="114"/>
      <c r="P398" s="114"/>
      <c r="Q398" s="114">
        <v>1</v>
      </c>
      <c r="R398" s="114"/>
      <c r="S398" s="114"/>
      <c r="T398" s="114">
        <v>1</v>
      </c>
      <c r="U398" s="114">
        <v>0</v>
      </c>
      <c r="V398" s="114">
        <v>1</v>
      </c>
      <c r="W398" s="114">
        <v>0</v>
      </c>
      <c r="X398" s="114">
        <v>1</v>
      </c>
      <c r="Y398" s="114">
        <v>1</v>
      </c>
      <c r="Z398" s="116" t="s">
        <v>300</v>
      </c>
      <c r="AA398" s="114">
        <v>2</v>
      </c>
      <c r="AB398" s="114">
        <f>_xlfn.IFS(AT398&gt;51,3,AT398&gt;=34,2,AT398&lt;34,1)</f>
        <v>1</v>
      </c>
      <c r="AC398" s="114">
        <f>_xlfn.IFS(AS398&gt;35,1,AS398&gt;=28,2,AS398&lt;28,3)</f>
        <v>2</v>
      </c>
      <c r="AD398" s="114">
        <f>_xlfn.IFS(AR398&gt;2.3,3,AR398&gt;=1.7,2,AR398&lt;1.7,1)</f>
        <v>1</v>
      </c>
      <c r="AE398" s="114">
        <f>Y398+AA398+AB398+AC398+AD398</f>
        <v>7</v>
      </c>
      <c r="AF398" s="116" t="s">
        <v>63</v>
      </c>
      <c r="AG398" s="114">
        <f>AT398/17.1</f>
        <v>1.07017543859649</v>
      </c>
      <c r="AH398" s="114">
        <f>AU398/88.4</f>
        <v>0.407239819004525</v>
      </c>
      <c r="AI398" s="114">
        <f>AR398</f>
        <v>1.19</v>
      </c>
      <c r="AJ398" s="159">
        <f>LN(IF(AG398&gt;=1,AG398,1))*3.8+LN(IF(AH398&gt;=1,AH398,1))*9.6+11.2*LN(IF(AI398&gt;=1,AI398,1))+6.4*AN398</f>
        <v>8.6060029058698</v>
      </c>
      <c r="AK398" s="160">
        <f>IF(AND(AG398&gt;0,AH398&gt;0,AI398&gt;0),AJ398,"")</f>
        <v>8.6060029058698</v>
      </c>
      <c r="AL398" s="160">
        <f>AK398+1.59*(135-AM398)</f>
        <v>8.6060029058698</v>
      </c>
      <c r="AM398" s="160">
        <f>IF(AV398&gt;135,135,IF(AV398&lt;120,120,AV398))</f>
        <v>135</v>
      </c>
      <c r="AN398" s="114">
        <v>1</v>
      </c>
      <c r="AO398" s="114">
        <f>_xlfn.IFS(AJ398&lt;15,1,AJ398=15-18,2,AJ398&gt;18,3)</f>
        <v>1</v>
      </c>
      <c r="AP398" s="114">
        <v>3.78</v>
      </c>
      <c r="AQ398" s="114">
        <v>108</v>
      </c>
      <c r="AR398" s="114">
        <v>1.19</v>
      </c>
      <c r="AS398" s="160">
        <v>32</v>
      </c>
      <c r="AT398" s="161">
        <v>18.3</v>
      </c>
      <c r="AU398" s="114">
        <v>36</v>
      </c>
      <c r="AV398" s="114">
        <v>141</v>
      </c>
      <c r="AZ398" s="119" t="s">
        <v>1123</v>
      </c>
    </row>
    <row r="399" spans="1:52">
      <c r="A399" s="117" t="s">
        <v>1124</v>
      </c>
      <c r="B399" s="117" t="s">
        <v>53</v>
      </c>
      <c r="C399" s="117">
        <v>69</v>
      </c>
      <c r="D399" s="135">
        <v>1.6</v>
      </c>
      <c r="E399" s="117">
        <v>72</v>
      </c>
      <c r="F399" s="136">
        <v>28.125</v>
      </c>
      <c r="G399" s="114">
        <v>6</v>
      </c>
      <c r="H399" s="114"/>
      <c r="I399" s="210">
        <v>44528</v>
      </c>
      <c r="J399" s="210">
        <v>44545</v>
      </c>
      <c r="K399" s="114"/>
      <c r="L399" s="138">
        <v>1</v>
      </c>
      <c r="M399" s="138">
        <v>17</v>
      </c>
      <c r="N399" s="265" t="s">
        <v>1125</v>
      </c>
      <c r="O399" s="114"/>
      <c r="P399" s="114"/>
      <c r="Q399" s="114"/>
      <c r="R399" s="114"/>
      <c r="S399" s="114">
        <v>1</v>
      </c>
      <c r="T399" s="114">
        <v>1</v>
      </c>
      <c r="U399" s="114">
        <v>0</v>
      </c>
      <c r="V399" s="114">
        <v>0</v>
      </c>
      <c r="W399" s="114">
        <v>0</v>
      </c>
      <c r="X399" s="114">
        <v>1</v>
      </c>
      <c r="Y399" s="114">
        <v>1</v>
      </c>
      <c r="Z399" s="116" t="s">
        <v>307</v>
      </c>
      <c r="AA399" s="114">
        <v>3</v>
      </c>
      <c r="AB399" s="114">
        <f>_xlfn.IFS(AT399&gt;51,3,AT399&gt;=34,2,AT399&lt;34,1)</f>
        <v>1</v>
      </c>
      <c r="AC399" s="114">
        <f>_xlfn.IFS(AS399&gt;35,1,AS399&gt;=28,2,AS399&lt;28,3)</f>
        <v>3</v>
      </c>
      <c r="AD399" s="114">
        <f>_xlfn.IFS(AR399&gt;2.3,3,AR399&gt;=1.7,2,AR399&lt;1.7,1)</f>
        <v>1</v>
      </c>
      <c r="AE399" s="114">
        <f>Y399+AA399+AB399+AC399+AD399</f>
        <v>9</v>
      </c>
      <c r="AF399" s="116" t="s">
        <v>63</v>
      </c>
      <c r="AG399" s="114">
        <f>AT399/17.1</f>
        <v>1.17543859649123</v>
      </c>
      <c r="AH399" s="114">
        <f>AU399/88.4</f>
        <v>0.610859728506787</v>
      </c>
      <c r="AI399" s="114">
        <f>AR399</f>
        <v>1.34</v>
      </c>
      <c r="AJ399" s="159">
        <f>LN(IF(AG399&gt;=1,AG399,1))*3.8+LN(IF(AH399&gt;=1,AH399,1))*9.6+11.2*LN(IF(AI399&gt;=1,AI399,1))+6.4*AN399</f>
        <v>10.292136812298</v>
      </c>
      <c r="AK399" s="160">
        <f>IF(AND(AG399&gt;0,AH399&gt;0,AI399&gt;0),AJ399,"")</f>
        <v>10.292136812298</v>
      </c>
      <c r="AL399" s="160">
        <f>AK399+1.59*(135-AM399)</f>
        <v>10.292136812298</v>
      </c>
      <c r="AM399" s="160">
        <f>IF(AV399&gt;135,135,IF(AV399&lt;120,120,AV399))</f>
        <v>135</v>
      </c>
      <c r="AN399" s="114">
        <v>1</v>
      </c>
      <c r="AO399" s="114">
        <f>_xlfn.IFS(AJ399&lt;15,1,AJ399=15-18,2,AJ399&gt;18,3)</f>
        <v>1</v>
      </c>
      <c r="AP399" s="114">
        <v>4.26</v>
      </c>
      <c r="AQ399" s="114">
        <v>99</v>
      </c>
      <c r="AR399" s="114">
        <v>1.34</v>
      </c>
      <c r="AS399" s="160">
        <v>24</v>
      </c>
      <c r="AT399" s="161">
        <v>20.1</v>
      </c>
      <c r="AU399" s="114">
        <v>54</v>
      </c>
      <c r="AV399" s="114">
        <v>137</v>
      </c>
      <c r="AZ399" s="119" t="s">
        <v>1126</v>
      </c>
    </row>
    <row r="400" spans="1:52">
      <c r="A400" s="117" t="s">
        <v>1127</v>
      </c>
      <c r="B400" s="117" t="s">
        <v>48</v>
      </c>
      <c r="C400" s="117">
        <v>36</v>
      </c>
      <c r="D400" s="135">
        <v>1.75</v>
      </c>
      <c r="E400" s="117">
        <v>65</v>
      </c>
      <c r="F400" s="136">
        <v>21.22449</v>
      </c>
      <c r="G400" s="114">
        <v>0</v>
      </c>
      <c r="H400" s="114"/>
      <c r="I400" s="210">
        <v>44548</v>
      </c>
      <c r="J400" s="210">
        <v>44568</v>
      </c>
      <c r="K400" s="114"/>
      <c r="L400" s="138">
        <v>1</v>
      </c>
      <c r="M400" s="138">
        <v>20</v>
      </c>
      <c r="N400" s="265" t="s">
        <v>1128</v>
      </c>
      <c r="O400" s="114"/>
      <c r="P400" s="114"/>
      <c r="Q400" s="114"/>
      <c r="R400" s="114"/>
      <c r="S400" s="114">
        <v>1</v>
      </c>
      <c r="T400" s="114">
        <v>0</v>
      </c>
      <c r="U400" s="114">
        <v>0</v>
      </c>
      <c r="V400" s="114">
        <v>1</v>
      </c>
      <c r="W400" s="114">
        <v>0</v>
      </c>
      <c r="X400" s="114">
        <v>1</v>
      </c>
      <c r="Y400" s="114">
        <v>1</v>
      </c>
      <c r="Z400" s="116" t="s">
        <v>58</v>
      </c>
      <c r="AA400" s="114">
        <v>1</v>
      </c>
      <c r="AB400" s="114">
        <f>_xlfn.IFS(AT400&gt;51,3,AT400&gt;=34,2,AT400&lt;34,1)</f>
        <v>1</v>
      </c>
      <c r="AC400" s="114">
        <f>_xlfn.IFS(AS400&gt;35,1,AS400&gt;=28,2,AS400&lt;28,3)</f>
        <v>1</v>
      </c>
      <c r="AD400" s="114">
        <f>_xlfn.IFS(AR400&gt;2.3,3,AR400&gt;=1.7,2,AR400&lt;1.7,1)</f>
        <v>1</v>
      </c>
      <c r="AE400" s="114">
        <f>Y400+AA400+AB400+AC400+AD400</f>
        <v>5</v>
      </c>
      <c r="AF400" s="116" t="s">
        <v>59</v>
      </c>
      <c r="AG400" s="114">
        <f>AT400/17.1</f>
        <v>0.742690058479532</v>
      </c>
      <c r="AH400" s="114">
        <f>AU400/88.4</f>
        <v>0.690045248868778</v>
      </c>
      <c r="AI400" s="114">
        <f>AR400</f>
        <v>1.18</v>
      </c>
      <c r="AJ400" s="159">
        <f>LN(IF(AG400&gt;=1,AG400,1))*3.8+LN(IF(AH400&gt;=1,AH400,1))*9.6+11.2*LN(IF(AI400&gt;=1,AI400,1))+6.4*AN400</f>
        <v>8.25376171094882</v>
      </c>
      <c r="AK400" s="160">
        <f>IF(AND(AG400&gt;0,AH400&gt;0,AI400&gt;0),AJ400,"")</f>
        <v>8.25376171094882</v>
      </c>
      <c r="AL400" s="160">
        <f>AK400+1.59*(135-AM400)</f>
        <v>13.0237617109488</v>
      </c>
      <c r="AM400" s="160">
        <f>IF(AV400&gt;135,135,IF(AV400&lt;120,120,AV400))</f>
        <v>132</v>
      </c>
      <c r="AN400" s="114">
        <v>1</v>
      </c>
      <c r="AO400" s="116">
        <f>_xlfn.IFS(AJ400&lt;15,1,AJ400=15-18,2,AJ400&gt;18,3)</f>
        <v>1</v>
      </c>
      <c r="AP400" s="114">
        <v>1.78</v>
      </c>
      <c r="AQ400" s="114">
        <v>71</v>
      </c>
      <c r="AR400" s="114">
        <v>1.18</v>
      </c>
      <c r="AS400" s="160">
        <v>40</v>
      </c>
      <c r="AT400" s="161">
        <v>12.7</v>
      </c>
      <c r="AU400" s="114">
        <v>61</v>
      </c>
      <c r="AV400" s="114">
        <v>132</v>
      </c>
      <c r="AZ400" s="119" t="s">
        <v>1129</v>
      </c>
    </row>
    <row r="401" spans="1:52">
      <c r="A401" s="117" t="s">
        <v>1130</v>
      </c>
      <c r="B401" s="117" t="s">
        <v>53</v>
      </c>
      <c r="C401" s="117">
        <v>69</v>
      </c>
      <c r="D401" s="135">
        <v>1.55</v>
      </c>
      <c r="E401" s="117">
        <v>62</v>
      </c>
      <c r="F401" s="136">
        <v>25.80645</v>
      </c>
      <c r="G401" s="114">
        <v>0</v>
      </c>
      <c r="H401" s="114"/>
      <c r="I401" s="210">
        <v>44806</v>
      </c>
      <c r="J401" s="210">
        <v>44812</v>
      </c>
      <c r="K401" s="114"/>
      <c r="L401" s="138">
        <v>4</v>
      </c>
      <c r="M401" s="138">
        <v>6</v>
      </c>
      <c r="N401" s="213" t="s">
        <v>1131</v>
      </c>
      <c r="O401" s="114"/>
      <c r="P401" s="114"/>
      <c r="Q401" s="114">
        <v>1</v>
      </c>
      <c r="R401" s="114">
        <v>1</v>
      </c>
      <c r="S401" s="114"/>
      <c r="T401" s="114">
        <v>1</v>
      </c>
      <c r="U401" s="114">
        <v>0</v>
      </c>
      <c r="V401" s="114">
        <v>1</v>
      </c>
      <c r="W401" s="114">
        <v>0</v>
      </c>
      <c r="X401" s="114">
        <v>1</v>
      </c>
      <c r="Y401" s="114">
        <v>1</v>
      </c>
      <c r="Z401" s="114" t="s">
        <v>300</v>
      </c>
      <c r="AA401" s="114">
        <v>2</v>
      </c>
      <c r="AB401" s="114">
        <f>_xlfn.IFS(AT401&gt;51,3,AT401&gt;=34,2,AT401&lt;34,1)</f>
        <v>1</v>
      </c>
      <c r="AC401" s="114">
        <f>_xlfn.IFS(AS401&gt;35,1,AS401&gt;=28,2,AS401&lt;28,3)</f>
        <v>2</v>
      </c>
      <c r="AD401" s="114">
        <f>_xlfn.IFS(AR401&gt;2.3,3,AR401&gt;=1.7,2,AR401&lt;1.7,1)</f>
        <v>1</v>
      </c>
      <c r="AE401" s="114">
        <f>Y401+AA401+AB401+AC401+AD401</f>
        <v>7</v>
      </c>
      <c r="AF401" s="116" t="s">
        <v>63</v>
      </c>
      <c r="AG401" s="114">
        <f>AT401/17.1</f>
        <v>0.292397660818713</v>
      </c>
      <c r="AH401" s="114">
        <f>AU401/88.4</f>
        <v>0.463800904977376</v>
      </c>
      <c r="AI401" s="114">
        <f>AR401</f>
        <v>1.31</v>
      </c>
      <c r="AJ401" s="159">
        <f>LN(IF(AG401&gt;=1,AG401,1))*3.8+LN(IF(AH401&gt;=1,AH401,1))*9.6+11.2*LN(IF(AI401&gt;=1,AI401,1))+6.4*AN401</f>
        <v>3.02430393678627</v>
      </c>
      <c r="AK401" s="160">
        <f>IF(AND(AG401&gt;0,AH401&gt;0,AI401&gt;0),AJ401,"")</f>
        <v>3.02430393678627</v>
      </c>
      <c r="AL401" s="160">
        <f>AK401+1.59*(135-AM401)</f>
        <v>3.02430393678627</v>
      </c>
      <c r="AM401" s="160">
        <f>IF(AV401&gt;135,135,IF(AV401&lt;120,120,AV401))</f>
        <v>135</v>
      </c>
      <c r="AN401" s="114">
        <v>0</v>
      </c>
      <c r="AO401" s="114">
        <f>_xlfn.IFS(AJ401&lt;15,1,AJ401=15-18,2,AJ401&gt;18,3)</f>
        <v>1</v>
      </c>
      <c r="AP401" s="114">
        <v>3.22</v>
      </c>
      <c r="AQ401" s="114">
        <v>102</v>
      </c>
      <c r="AR401" s="114">
        <v>1.31</v>
      </c>
      <c r="AS401" s="160">
        <v>34</v>
      </c>
      <c r="AT401" s="161">
        <v>5</v>
      </c>
      <c r="AU401" s="114">
        <v>41</v>
      </c>
      <c r="AV401" s="114">
        <v>141</v>
      </c>
      <c r="AZ401" s="119" t="s">
        <v>1132</v>
      </c>
    </row>
    <row r="402" s="125" customFormat="1" spans="1:52">
      <c r="A402" s="125" t="s">
        <v>1133</v>
      </c>
      <c r="B402" s="125" t="s">
        <v>53</v>
      </c>
      <c r="C402" s="125">
        <v>70</v>
      </c>
      <c r="D402" s="185">
        <v>1.55</v>
      </c>
      <c r="E402" s="125">
        <v>75</v>
      </c>
      <c r="F402" s="216">
        <v>31.21748</v>
      </c>
      <c r="G402" s="125">
        <v>0</v>
      </c>
      <c r="I402" s="186">
        <v>44804</v>
      </c>
      <c r="J402" s="186">
        <v>44820</v>
      </c>
      <c r="L402" s="187">
        <v>1</v>
      </c>
      <c r="M402" s="187">
        <v>16</v>
      </c>
      <c r="N402" s="188" t="s">
        <v>1134</v>
      </c>
      <c r="O402" s="114"/>
      <c r="P402" s="114"/>
      <c r="Q402" s="114">
        <v>1</v>
      </c>
      <c r="R402" s="114">
        <v>1</v>
      </c>
      <c r="S402" s="114"/>
      <c r="T402" s="114">
        <v>1</v>
      </c>
      <c r="U402" s="114">
        <v>1</v>
      </c>
      <c r="V402" s="114">
        <v>1</v>
      </c>
      <c r="W402" s="114">
        <v>1</v>
      </c>
      <c r="X402" s="114">
        <v>1</v>
      </c>
      <c r="Y402" s="114">
        <v>2</v>
      </c>
      <c r="Z402" s="114" t="s">
        <v>307</v>
      </c>
      <c r="AA402" s="114">
        <v>3</v>
      </c>
      <c r="AB402" s="114">
        <f>_xlfn.IFS(AT402&gt;51,3,AT402&gt;=34,2,AT402&lt;34,1)</f>
        <v>1</v>
      </c>
      <c r="AC402" s="114">
        <f>_xlfn.IFS(AS402&gt;35,1,AS402&gt;=28,2,AS402&lt;28,3)</f>
        <v>3</v>
      </c>
      <c r="AD402" s="114">
        <v>2</v>
      </c>
      <c r="AE402" s="114">
        <f>Y402+AA402+AB402+AC402+AD402</f>
        <v>11</v>
      </c>
      <c r="AF402" s="116" t="s">
        <v>50</v>
      </c>
      <c r="AG402" s="114">
        <f>AT402/17.1</f>
        <v>1.69590643274854</v>
      </c>
      <c r="AH402" s="114">
        <f>AU402/88.4</f>
        <v>0.441176470588235</v>
      </c>
      <c r="AI402" s="114">
        <f>AR402</f>
        <v>1.91</v>
      </c>
      <c r="AJ402" s="159">
        <f>LN(IF(AG402&gt;=1,AG402,1))*3.8+LN(IF(AH402&gt;=1,AH402,1))*9.6+11.2*LN(IF(AI402&gt;=1,AI402,1))+6.4*AN402</f>
        <v>9.2547823036715</v>
      </c>
      <c r="AK402" s="160">
        <f>IF(AND(AG402&gt;0,AH402&gt;0,AI402&gt;0),AJ402,"")</f>
        <v>9.2547823036715</v>
      </c>
      <c r="AL402" s="160">
        <f>AK402+1.59*(135-AM402)</f>
        <v>9.2547823036715</v>
      </c>
      <c r="AM402" s="160">
        <f>IF(AV402&gt;135,135,IF(AV402&lt;120,120,AV402))</f>
        <v>135</v>
      </c>
      <c r="AN402" s="114">
        <v>0</v>
      </c>
      <c r="AO402" s="114">
        <v>1</v>
      </c>
      <c r="AP402" s="114">
        <v>4.44</v>
      </c>
      <c r="AQ402" s="114">
        <v>116</v>
      </c>
      <c r="AR402" s="114">
        <v>1.91</v>
      </c>
      <c r="AS402" s="160">
        <v>25</v>
      </c>
      <c r="AT402" s="161">
        <v>29</v>
      </c>
      <c r="AU402" s="114">
        <v>39</v>
      </c>
      <c r="AV402" s="114">
        <v>143</v>
      </c>
      <c r="AZ402" s="131" t="s">
        <v>1135</v>
      </c>
    </row>
    <row r="403" s="124" customFormat="1" spans="1:52">
      <c r="A403" s="124" t="s">
        <v>1136</v>
      </c>
      <c r="B403" s="124" t="s">
        <v>48</v>
      </c>
      <c r="C403" s="124">
        <v>59</v>
      </c>
      <c r="D403" s="180">
        <v>1.7</v>
      </c>
      <c r="E403" s="124">
        <v>65</v>
      </c>
      <c r="F403" s="181">
        <v>22.49135</v>
      </c>
      <c r="G403" s="124">
        <v>0</v>
      </c>
      <c r="I403" s="182">
        <v>44797</v>
      </c>
      <c r="J403" s="182">
        <v>44809</v>
      </c>
      <c r="L403" s="183">
        <v>1</v>
      </c>
      <c r="M403" s="183">
        <v>12</v>
      </c>
      <c r="N403" s="184" t="s">
        <v>1137</v>
      </c>
      <c r="O403" s="114">
        <v>1</v>
      </c>
      <c r="P403" s="114"/>
      <c r="Q403" s="114"/>
      <c r="R403" s="114"/>
      <c r="S403" s="114"/>
      <c r="T403" s="114">
        <v>1</v>
      </c>
      <c r="U403" s="114">
        <v>0</v>
      </c>
      <c r="V403" s="114">
        <v>1</v>
      </c>
      <c r="W403" s="114">
        <v>0</v>
      </c>
      <c r="X403" s="114">
        <v>1</v>
      </c>
      <c r="Y403" s="114">
        <v>1</v>
      </c>
      <c r="Z403" s="114" t="s">
        <v>300</v>
      </c>
      <c r="AA403" s="114">
        <v>2</v>
      </c>
      <c r="AB403" s="114">
        <f t="shared" ref="AB403:AB411" si="85">_xlfn.IFS(AT403&gt;51,3,AT403&gt;=34,2,AT403&lt;34,1)</f>
        <v>1</v>
      </c>
      <c r="AC403" s="114">
        <f t="shared" ref="AC403:AC411" si="86">_xlfn.IFS(AS403&gt;35,1,AS403&gt;=28,2,AS403&lt;28,3)</f>
        <v>2</v>
      </c>
      <c r="AD403" s="114">
        <f t="shared" ref="AD403:AD413" si="87">_xlfn.IFS(AR403&gt;2.3,3,AR403&gt;=1.7,2,AR403&lt;1.7,1)</f>
        <v>1</v>
      </c>
      <c r="AE403" s="114">
        <f t="shared" ref="AE403:AE416" si="88">Y403+AA403+AB403+AC403+AD403</f>
        <v>7</v>
      </c>
      <c r="AF403" s="116" t="s">
        <v>63</v>
      </c>
      <c r="AG403" s="114">
        <f t="shared" ref="AG403:AG419" si="89">AT403/17.1</f>
        <v>1.4327485380117</v>
      </c>
      <c r="AH403" s="114">
        <f t="shared" ref="AH403:AH419" si="90">AU403/88.4</f>
        <v>0.84841628959276</v>
      </c>
      <c r="AI403" s="114">
        <f t="shared" ref="AI403:AI419" si="91">AR403</f>
        <v>1.22</v>
      </c>
      <c r="AJ403" s="159">
        <f>LN(IF(AG403&gt;=1,AG403,1))*3.8+LN(IF(AH403&gt;=1,AH403,1))*9.6+11.2*LN(IF(AI403&gt;=1,AI403,1))+6.4*AN403</f>
        <v>9.9935893033057</v>
      </c>
      <c r="AK403" s="160">
        <f>IF(AND(AG403&gt;0,AH403&gt;0,AI403&gt;0),AJ403,"")</f>
        <v>9.9935893033057</v>
      </c>
      <c r="AL403" s="160">
        <f t="shared" ref="AL403:AL411" si="92">AK403+1.59*(135-AM403)</f>
        <v>9.9935893033057</v>
      </c>
      <c r="AM403" s="160">
        <f>IF(AV403&gt;135,135,IF(AV403&lt;120,120,AV403))</f>
        <v>135</v>
      </c>
      <c r="AN403" s="114">
        <v>1</v>
      </c>
      <c r="AO403" s="114">
        <f t="shared" ref="AO403:AO411" si="93">_xlfn.IFS(AJ403&lt;15,1,AJ403=15-18,2,AJ403&gt;18,3)</f>
        <v>1</v>
      </c>
      <c r="AP403" s="114">
        <v>2.18</v>
      </c>
      <c r="AQ403" s="114">
        <v>51</v>
      </c>
      <c r="AR403" s="114">
        <v>1.22</v>
      </c>
      <c r="AS403" s="160">
        <v>28</v>
      </c>
      <c r="AT403" s="161">
        <v>24.5</v>
      </c>
      <c r="AU403" s="114">
        <v>75</v>
      </c>
      <c r="AV403" s="114">
        <v>144</v>
      </c>
      <c r="AZ403" s="127" t="s">
        <v>1138</v>
      </c>
    </row>
    <row r="404" spans="1:52">
      <c r="A404" s="117" t="s">
        <v>1139</v>
      </c>
      <c r="B404" s="117" t="s">
        <v>48</v>
      </c>
      <c r="C404" s="117">
        <v>71</v>
      </c>
      <c r="D404" s="135">
        <v>1.73</v>
      </c>
      <c r="E404" s="117">
        <v>85</v>
      </c>
      <c r="F404" s="136">
        <v>28.40055</v>
      </c>
      <c r="G404" s="114">
        <v>1</v>
      </c>
      <c r="H404" s="114"/>
      <c r="I404" s="210">
        <v>44795</v>
      </c>
      <c r="J404" s="210">
        <v>44806</v>
      </c>
      <c r="K404" s="114"/>
      <c r="L404" s="138">
        <v>2</v>
      </c>
      <c r="M404" s="138">
        <v>11</v>
      </c>
      <c r="N404" s="213" t="s">
        <v>1140</v>
      </c>
      <c r="O404" s="114"/>
      <c r="P404" s="114"/>
      <c r="Q404" s="114"/>
      <c r="R404" s="114"/>
      <c r="S404" s="114">
        <v>1</v>
      </c>
      <c r="T404" s="114">
        <v>0</v>
      </c>
      <c r="U404" s="114">
        <v>0</v>
      </c>
      <c r="V404" s="114">
        <v>1</v>
      </c>
      <c r="W404" s="114">
        <v>0</v>
      </c>
      <c r="X404" s="114">
        <v>1</v>
      </c>
      <c r="Y404" s="114">
        <v>1</v>
      </c>
      <c r="Z404" s="114" t="s">
        <v>58</v>
      </c>
      <c r="AA404" s="114">
        <v>1</v>
      </c>
      <c r="AB404" s="114">
        <f t="shared" si="85"/>
        <v>1</v>
      </c>
      <c r="AC404" s="114">
        <f t="shared" si="86"/>
        <v>1</v>
      </c>
      <c r="AD404" s="230">
        <f t="shared" si="87"/>
        <v>1</v>
      </c>
      <c r="AE404" s="114">
        <f t="shared" si="88"/>
        <v>5</v>
      </c>
      <c r="AF404" s="116" t="s">
        <v>59</v>
      </c>
      <c r="AG404" s="114">
        <f t="shared" si="89"/>
        <v>1.01169590643275</v>
      </c>
      <c r="AH404" s="114">
        <f t="shared" si="90"/>
        <v>0.735294117647059</v>
      </c>
      <c r="AI404" s="114">
        <f t="shared" si="91"/>
        <v>1.16</v>
      </c>
      <c r="AJ404" s="159">
        <f>LN(IF(AG404&gt;=1,AG404,1))*3.8+LN(IF(AH404&gt;=1,AH404,1))*9.6+11.2*LN(IF(AI404&gt;=1,AI404,1))+6.4*AN404</f>
        <v>8.10649060170611</v>
      </c>
      <c r="AK404" s="160">
        <f>IF(AND(AG404&gt;0,AH404&gt;0,AI404&gt;0),AJ404,"")</f>
        <v>8.10649060170611</v>
      </c>
      <c r="AL404" s="160">
        <f t="shared" si="92"/>
        <v>8.10649060170611</v>
      </c>
      <c r="AM404" s="160">
        <f>IF(AV404&gt;135,135,IF(AV404&lt;120,120,AV404))</f>
        <v>135</v>
      </c>
      <c r="AN404" s="114">
        <v>1</v>
      </c>
      <c r="AO404" s="114">
        <f t="shared" si="93"/>
        <v>1</v>
      </c>
      <c r="AP404" s="114">
        <v>2.8</v>
      </c>
      <c r="AQ404" s="114">
        <v>87</v>
      </c>
      <c r="AR404" s="114">
        <v>1.16</v>
      </c>
      <c r="AS404" s="160">
        <v>40</v>
      </c>
      <c r="AT404" s="161">
        <v>17.3</v>
      </c>
      <c r="AU404" s="114">
        <v>65</v>
      </c>
      <c r="AV404" s="114">
        <v>142</v>
      </c>
      <c r="AZ404" s="119" t="s">
        <v>1141</v>
      </c>
    </row>
    <row r="405" spans="1:52">
      <c r="A405" s="117" t="s">
        <v>1142</v>
      </c>
      <c r="B405" s="119" t="s">
        <v>48</v>
      </c>
      <c r="C405" s="117">
        <v>60</v>
      </c>
      <c r="D405" s="135">
        <v>1.72</v>
      </c>
      <c r="E405" s="117">
        <v>72.5</v>
      </c>
      <c r="F405" s="136">
        <f t="shared" ref="F405:F413" si="94">E405/(D405*D405)</f>
        <v>24.5064899945917</v>
      </c>
      <c r="G405" s="114">
        <v>6</v>
      </c>
      <c r="H405" s="114"/>
      <c r="I405" s="210">
        <v>44790</v>
      </c>
      <c r="J405" s="210">
        <v>44800</v>
      </c>
      <c r="K405" s="114"/>
      <c r="L405" s="138">
        <v>1</v>
      </c>
      <c r="M405" s="138">
        <v>10</v>
      </c>
      <c r="N405" s="265" t="s">
        <v>1143</v>
      </c>
      <c r="O405" s="114">
        <v>1</v>
      </c>
      <c r="P405" s="114">
        <v>1</v>
      </c>
      <c r="Q405" s="114"/>
      <c r="R405" s="114"/>
      <c r="S405" s="114"/>
      <c r="T405" s="114">
        <v>1</v>
      </c>
      <c r="U405" s="114">
        <v>0</v>
      </c>
      <c r="V405" s="114">
        <v>0</v>
      </c>
      <c r="W405" s="114">
        <v>0</v>
      </c>
      <c r="X405" s="114">
        <v>1</v>
      </c>
      <c r="Y405" s="114">
        <v>1</v>
      </c>
      <c r="Z405" s="116" t="s">
        <v>300</v>
      </c>
      <c r="AA405" s="114">
        <v>2</v>
      </c>
      <c r="AB405" s="114">
        <f t="shared" si="85"/>
        <v>3</v>
      </c>
      <c r="AC405" s="114">
        <f t="shared" si="86"/>
        <v>2</v>
      </c>
      <c r="AD405" s="114">
        <f t="shared" si="87"/>
        <v>1</v>
      </c>
      <c r="AE405" s="114">
        <f t="shared" si="88"/>
        <v>9</v>
      </c>
      <c r="AF405" s="116" t="s">
        <v>63</v>
      </c>
      <c r="AG405" s="114">
        <f t="shared" si="89"/>
        <v>3.1812865497076</v>
      </c>
      <c r="AH405" s="114">
        <f t="shared" si="90"/>
        <v>0.757918552036199</v>
      </c>
      <c r="AI405" s="114">
        <f t="shared" si="91"/>
        <v>1.26</v>
      </c>
      <c r="AJ405" s="159">
        <f>LN(IF(AG405&gt;=1,AG405,1))*3.8+LN(IF(AH405&gt;=1,AH405,1))*9.6+11.2*LN(IF(AI405&gt;=1,AI405,1))+6.4*AN405</f>
        <v>6.98613689813241</v>
      </c>
      <c r="AK405" s="160">
        <f>IF(AND(AG405&gt;0,AH405&gt;0,AI405&gt;0),AJ405,"")</f>
        <v>6.98613689813241</v>
      </c>
      <c r="AL405" s="160">
        <f t="shared" si="92"/>
        <v>6.98613689813241</v>
      </c>
      <c r="AM405" s="160">
        <f>IF(AV405&gt;135,135,IF(AV405&lt;120,120,AV405))</f>
        <v>135</v>
      </c>
      <c r="AN405" s="114">
        <v>0</v>
      </c>
      <c r="AO405" s="114">
        <f t="shared" si="93"/>
        <v>1</v>
      </c>
      <c r="AP405" s="114">
        <v>4.65</v>
      </c>
      <c r="AQ405" s="114">
        <v>120</v>
      </c>
      <c r="AR405" s="114">
        <v>1.26</v>
      </c>
      <c r="AS405" s="160">
        <v>34</v>
      </c>
      <c r="AT405" s="161">
        <v>54.4</v>
      </c>
      <c r="AU405" s="114">
        <v>67</v>
      </c>
      <c r="AV405" s="114">
        <v>142</v>
      </c>
      <c r="AZ405" s="119" t="s">
        <v>1144</v>
      </c>
    </row>
    <row r="406" spans="1:52">
      <c r="A406" s="119" t="s">
        <v>1145</v>
      </c>
      <c r="B406" s="119" t="s">
        <v>53</v>
      </c>
      <c r="C406" s="117">
        <v>69</v>
      </c>
      <c r="D406" s="135">
        <v>1.65</v>
      </c>
      <c r="E406" s="117">
        <v>65</v>
      </c>
      <c r="F406" s="136">
        <f t="shared" si="94"/>
        <v>23.8751147842057</v>
      </c>
      <c r="G406" s="114">
        <v>0</v>
      </c>
      <c r="H406" s="114"/>
      <c r="I406" s="210">
        <v>44783</v>
      </c>
      <c r="J406" s="210">
        <v>44791</v>
      </c>
      <c r="K406" s="114"/>
      <c r="L406" s="138">
        <v>2</v>
      </c>
      <c r="M406" s="138">
        <v>10</v>
      </c>
      <c r="N406" s="265" t="s">
        <v>1146</v>
      </c>
      <c r="O406" s="114"/>
      <c r="P406" s="114"/>
      <c r="Q406" s="114">
        <v>1</v>
      </c>
      <c r="R406" s="114">
        <v>1</v>
      </c>
      <c r="S406" s="114"/>
      <c r="T406" s="114">
        <v>0</v>
      </c>
      <c r="U406" s="114">
        <v>0</v>
      </c>
      <c r="V406" s="114">
        <v>0</v>
      </c>
      <c r="W406" s="114">
        <v>0</v>
      </c>
      <c r="X406" s="114">
        <v>1</v>
      </c>
      <c r="Y406" s="114">
        <v>1</v>
      </c>
      <c r="Z406" s="116" t="s">
        <v>58</v>
      </c>
      <c r="AA406" s="114">
        <v>1</v>
      </c>
      <c r="AB406" s="114">
        <f t="shared" si="85"/>
        <v>1</v>
      </c>
      <c r="AC406" s="114">
        <f t="shared" si="86"/>
        <v>1</v>
      </c>
      <c r="AD406" s="114">
        <f t="shared" si="87"/>
        <v>1</v>
      </c>
      <c r="AE406" s="114">
        <f t="shared" si="88"/>
        <v>5</v>
      </c>
      <c r="AF406" s="116" t="s">
        <v>59</v>
      </c>
      <c r="AG406" s="114">
        <f t="shared" si="89"/>
        <v>0.584795321637427</v>
      </c>
      <c r="AH406" s="114">
        <f t="shared" si="90"/>
        <v>0.554298642533937</v>
      </c>
      <c r="AI406" s="114">
        <f t="shared" si="91"/>
        <v>0.96</v>
      </c>
      <c r="AJ406" s="159"/>
      <c r="AK406" s="160"/>
      <c r="AL406" s="160"/>
      <c r="AM406" s="160">
        <f>IF(AV406&gt;135,135,IF(AV406&lt;120,120,AV406))</f>
        <v>135</v>
      </c>
      <c r="AN406" s="114">
        <v>0</v>
      </c>
      <c r="AO406" s="114">
        <f t="shared" si="93"/>
        <v>1</v>
      </c>
      <c r="AP406" s="114">
        <v>7.77</v>
      </c>
      <c r="AQ406" s="114">
        <v>113</v>
      </c>
      <c r="AR406" s="114">
        <v>0.96</v>
      </c>
      <c r="AS406" s="160">
        <v>38</v>
      </c>
      <c r="AT406" s="161">
        <v>10</v>
      </c>
      <c r="AU406" s="114">
        <v>49</v>
      </c>
      <c r="AV406" s="114">
        <v>142</v>
      </c>
      <c r="AZ406" s="119" t="s">
        <v>1147</v>
      </c>
    </row>
    <row r="407" spans="1:52">
      <c r="A407" s="117" t="s">
        <v>1148</v>
      </c>
      <c r="B407" s="119" t="s">
        <v>48</v>
      </c>
      <c r="C407" s="117">
        <v>36</v>
      </c>
      <c r="D407" s="135">
        <v>1.71</v>
      </c>
      <c r="E407" s="117">
        <v>75</v>
      </c>
      <c r="F407" s="136">
        <f t="shared" si="94"/>
        <v>25.6489176156766</v>
      </c>
      <c r="G407" s="114">
        <v>2</v>
      </c>
      <c r="H407" s="114"/>
      <c r="I407" s="210">
        <v>44739</v>
      </c>
      <c r="J407" s="210">
        <v>44750</v>
      </c>
      <c r="K407" s="114"/>
      <c r="L407" s="138">
        <v>1</v>
      </c>
      <c r="M407" s="138">
        <v>11</v>
      </c>
      <c r="N407" s="265" t="s">
        <v>1149</v>
      </c>
      <c r="O407" s="114"/>
      <c r="P407" s="114"/>
      <c r="Q407" s="114"/>
      <c r="R407" s="114"/>
      <c r="S407" s="114">
        <v>1</v>
      </c>
      <c r="T407" s="114">
        <v>0</v>
      </c>
      <c r="U407" s="114">
        <v>0</v>
      </c>
      <c r="V407" s="114">
        <v>1</v>
      </c>
      <c r="W407" s="114">
        <v>0</v>
      </c>
      <c r="X407" s="114">
        <v>1</v>
      </c>
      <c r="Y407" s="114">
        <v>1</v>
      </c>
      <c r="Z407" s="116" t="s">
        <v>58</v>
      </c>
      <c r="AA407" s="114">
        <v>1</v>
      </c>
      <c r="AB407" s="114">
        <f t="shared" si="85"/>
        <v>1</v>
      </c>
      <c r="AC407" s="114">
        <f t="shared" si="86"/>
        <v>2</v>
      </c>
      <c r="AD407" s="114">
        <f t="shared" si="87"/>
        <v>1</v>
      </c>
      <c r="AE407" s="114">
        <f t="shared" si="88"/>
        <v>6</v>
      </c>
      <c r="AF407" s="116" t="s">
        <v>59</v>
      </c>
      <c r="AG407" s="114">
        <f t="shared" si="89"/>
        <v>1.76608187134503</v>
      </c>
      <c r="AH407" s="114">
        <f t="shared" si="90"/>
        <v>0.780542986425339</v>
      </c>
      <c r="AI407" s="114">
        <f t="shared" si="91"/>
        <v>1.4</v>
      </c>
      <c r="AJ407" s="159">
        <f>LN(IF(AG407&gt;=1,AG407,1))*3.8+LN(IF(AH407&gt;=1,AH407,1))*9.6+11.2*LN(IF(AI407&gt;=1,AI407,1))+6.4*AN407</f>
        <v>12.329790201472</v>
      </c>
      <c r="AK407" s="160">
        <f>IF(AND(AG407&gt;0,AH407&gt;0,AI407&gt;0),AJ407,"")</f>
        <v>12.329790201472</v>
      </c>
      <c r="AL407" s="160">
        <f t="shared" si="92"/>
        <v>12.329790201472</v>
      </c>
      <c r="AM407" s="160">
        <f>IF(AV407&gt;135,135,IF(AV407&lt;120,120,AV407))</f>
        <v>135</v>
      </c>
      <c r="AN407" s="114">
        <v>1</v>
      </c>
      <c r="AO407" s="114">
        <f t="shared" si="93"/>
        <v>1</v>
      </c>
      <c r="AP407" s="114">
        <v>1.96</v>
      </c>
      <c r="AQ407" s="114">
        <v>51</v>
      </c>
      <c r="AR407" s="114">
        <v>1.4</v>
      </c>
      <c r="AS407" s="160">
        <v>32</v>
      </c>
      <c r="AT407" s="161">
        <v>30.2</v>
      </c>
      <c r="AU407" s="114">
        <v>69</v>
      </c>
      <c r="AV407" s="114">
        <v>143</v>
      </c>
      <c r="AZ407" s="119" t="s">
        <v>1150</v>
      </c>
    </row>
    <row r="408" s="125" customFormat="1" spans="1:52">
      <c r="A408" s="125" t="s">
        <v>1151</v>
      </c>
      <c r="B408" s="131" t="s">
        <v>48</v>
      </c>
      <c r="C408" s="125">
        <v>53</v>
      </c>
      <c r="D408" s="185">
        <v>1.64</v>
      </c>
      <c r="E408" s="125">
        <v>46.4</v>
      </c>
      <c r="F408" s="216">
        <f t="shared" si="94"/>
        <v>17.2516359309935</v>
      </c>
      <c r="G408" s="125">
        <v>1</v>
      </c>
      <c r="I408" s="186">
        <v>44829</v>
      </c>
      <c r="J408" s="186">
        <v>44834</v>
      </c>
      <c r="L408" s="187">
        <v>1</v>
      </c>
      <c r="M408" s="187">
        <v>10</v>
      </c>
      <c r="N408" s="248" t="s">
        <v>1152</v>
      </c>
      <c r="O408" s="114">
        <v>1</v>
      </c>
      <c r="P408" s="114"/>
      <c r="Q408" s="114"/>
      <c r="R408" s="114"/>
      <c r="S408" s="114"/>
      <c r="T408" s="114">
        <v>1</v>
      </c>
      <c r="U408" s="114">
        <v>0</v>
      </c>
      <c r="V408" s="114">
        <v>0</v>
      </c>
      <c r="W408" s="114">
        <v>1</v>
      </c>
      <c r="X408" s="114">
        <v>1</v>
      </c>
      <c r="Y408" s="114">
        <v>1</v>
      </c>
      <c r="Z408" s="116" t="s">
        <v>321</v>
      </c>
      <c r="AA408" s="114">
        <v>3</v>
      </c>
      <c r="AB408" s="114">
        <f t="shared" si="85"/>
        <v>1</v>
      </c>
      <c r="AC408" s="114">
        <f t="shared" si="86"/>
        <v>2</v>
      </c>
      <c r="AD408" s="114">
        <f t="shared" si="87"/>
        <v>1</v>
      </c>
      <c r="AE408" s="114">
        <f t="shared" si="88"/>
        <v>8</v>
      </c>
      <c r="AF408" s="116" t="s">
        <v>63</v>
      </c>
      <c r="AG408" s="114">
        <f t="shared" si="89"/>
        <v>0.245614035087719</v>
      </c>
      <c r="AH408" s="114">
        <f t="shared" si="90"/>
        <v>9.45701357466063</v>
      </c>
      <c r="AI408" s="114">
        <f t="shared" si="91"/>
        <v>1.01</v>
      </c>
      <c r="AJ408" s="159">
        <f>LN(IF(AG408&gt;=1,AG408,1))*3.8+LN(IF(AH408&gt;=1,AH408,1))*9.6+11.2*LN(IF(AI408&gt;=1,AI408,1))+6.4*AN408</f>
        <v>28.0803074825901</v>
      </c>
      <c r="AK408" s="160">
        <f>IF(AND(AG408&gt;0,AH408&gt;0,AI408&gt;0),AJ408,"")</f>
        <v>28.0803074825901</v>
      </c>
      <c r="AL408" s="160">
        <f t="shared" si="92"/>
        <v>28.0803074825901</v>
      </c>
      <c r="AM408" s="160">
        <f>IF(AV408&gt;135,135,IF(AV408&lt;120,120,AV408))</f>
        <v>135</v>
      </c>
      <c r="AN408" s="114">
        <v>1</v>
      </c>
      <c r="AO408" s="114">
        <f t="shared" si="93"/>
        <v>3</v>
      </c>
      <c r="AP408" s="114">
        <v>2.52</v>
      </c>
      <c r="AQ408" s="114">
        <v>98</v>
      </c>
      <c r="AR408" s="114">
        <v>1.01</v>
      </c>
      <c r="AS408" s="160">
        <v>33</v>
      </c>
      <c r="AT408" s="161">
        <v>4.2</v>
      </c>
      <c r="AU408" s="114">
        <v>836</v>
      </c>
      <c r="AV408" s="114">
        <v>135</v>
      </c>
      <c r="AZ408" s="131" t="s">
        <v>1153</v>
      </c>
    </row>
    <row r="409" spans="1:52">
      <c r="A409" s="117" t="s">
        <v>1154</v>
      </c>
      <c r="B409" s="119" t="s">
        <v>48</v>
      </c>
      <c r="C409" s="117">
        <v>47</v>
      </c>
      <c r="D409" s="135">
        <v>1.72</v>
      </c>
      <c r="E409" s="117">
        <v>79</v>
      </c>
      <c r="F409" s="136">
        <f t="shared" si="94"/>
        <v>26.7036235803137</v>
      </c>
      <c r="G409" s="114">
        <v>3</v>
      </c>
      <c r="H409" s="114"/>
      <c r="I409" s="210">
        <v>44833</v>
      </c>
      <c r="J409" s="210">
        <v>44845</v>
      </c>
      <c r="K409" s="114"/>
      <c r="L409" s="138">
        <v>2</v>
      </c>
      <c r="M409" s="138">
        <v>12</v>
      </c>
      <c r="N409" s="265" t="s">
        <v>1155</v>
      </c>
      <c r="O409" s="114"/>
      <c r="P409" s="114"/>
      <c r="Q409" s="114"/>
      <c r="R409" s="114"/>
      <c r="S409" s="114">
        <v>1</v>
      </c>
      <c r="T409" s="114">
        <v>0</v>
      </c>
      <c r="U409" s="114">
        <v>0</v>
      </c>
      <c r="V409" s="114">
        <v>1</v>
      </c>
      <c r="W409" s="114">
        <v>0</v>
      </c>
      <c r="X409" s="114">
        <v>1</v>
      </c>
      <c r="Y409" s="114">
        <v>1</v>
      </c>
      <c r="Z409" s="116" t="s">
        <v>58</v>
      </c>
      <c r="AA409" s="114">
        <v>1</v>
      </c>
      <c r="AB409" s="114">
        <f t="shared" si="85"/>
        <v>1</v>
      </c>
      <c r="AC409" s="114">
        <f t="shared" si="86"/>
        <v>1</v>
      </c>
      <c r="AD409" s="114">
        <f t="shared" si="87"/>
        <v>1</v>
      </c>
      <c r="AE409" s="114">
        <f t="shared" si="88"/>
        <v>5</v>
      </c>
      <c r="AF409" s="116" t="s">
        <v>59</v>
      </c>
      <c r="AG409" s="114">
        <f t="shared" si="89"/>
        <v>0.900584795321637</v>
      </c>
      <c r="AH409" s="114">
        <f t="shared" si="90"/>
        <v>0.757918552036199</v>
      </c>
      <c r="AI409" s="114">
        <f t="shared" si="91"/>
        <v>1.39</v>
      </c>
      <c r="AJ409" s="159">
        <f>LN(IF(AG409&gt;=1,AG409,1))*3.8+LN(IF(AH409&gt;=1,AH409,1))*9.6+11.2*LN(IF(AI409&gt;=1,AI409,1))+6.4*AN409</f>
        <v>10.0882019679971</v>
      </c>
      <c r="AK409" s="160">
        <f>IF(AND(AG409&gt;0,AH409&gt;0,AI409&gt;0),AJ409,"")</f>
        <v>10.0882019679971</v>
      </c>
      <c r="AL409" s="160">
        <f t="shared" si="92"/>
        <v>10.0882019679971</v>
      </c>
      <c r="AM409" s="160">
        <f>IF(AV409&gt;135,135,IF(AV409&lt;120,120,AV409))</f>
        <v>135</v>
      </c>
      <c r="AN409" s="114">
        <v>1</v>
      </c>
      <c r="AO409" s="114">
        <f t="shared" si="93"/>
        <v>1</v>
      </c>
      <c r="AP409" s="114">
        <v>5.14</v>
      </c>
      <c r="AQ409" s="114">
        <v>116</v>
      </c>
      <c r="AR409" s="114">
        <v>1.39</v>
      </c>
      <c r="AS409" s="160">
        <v>36</v>
      </c>
      <c r="AT409" s="161">
        <v>15.4</v>
      </c>
      <c r="AU409" s="114">
        <v>67</v>
      </c>
      <c r="AV409" s="114">
        <v>142</v>
      </c>
      <c r="AZ409" s="119" t="s">
        <v>1156</v>
      </c>
    </row>
    <row r="410" s="123" customFormat="1" spans="1:52">
      <c r="A410" s="123" t="s">
        <v>659</v>
      </c>
      <c r="B410" s="132" t="s">
        <v>48</v>
      </c>
      <c r="C410" s="123">
        <v>58</v>
      </c>
      <c r="D410" s="176">
        <v>1.6</v>
      </c>
      <c r="E410" s="123">
        <v>60</v>
      </c>
      <c r="F410" s="189">
        <f t="shared" si="94"/>
        <v>23.4375</v>
      </c>
      <c r="G410" s="123">
        <v>6</v>
      </c>
      <c r="I410" s="177">
        <v>44830</v>
      </c>
      <c r="J410" s="177">
        <v>44839</v>
      </c>
      <c r="L410" s="178">
        <v>3</v>
      </c>
      <c r="M410" s="178">
        <v>9</v>
      </c>
      <c r="N410" s="254" t="s">
        <v>1157</v>
      </c>
      <c r="O410" s="114"/>
      <c r="P410" s="114">
        <v>1</v>
      </c>
      <c r="Q410" s="114"/>
      <c r="R410" s="114"/>
      <c r="S410" s="114"/>
      <c r="T410" s="114">
        <v>1</v>
      </c>
      <c r="U410" s="114">
        <v>1</v>
      </c>
      <c r="V410" s="114">
        <v>1</v>
      </c>
      <c r="W410" s="114">
        <v>0</v>
      </c>
      <c r="X410" s="114">
        <v>1</v>
      </c>
      <c r="Y410" s="114">
        <v>2</v>
      </c>
      <c r="Z410" s="116" t="s">
        <v>307</v>
      </c>
      <c r="AA410" s="114">
        <v>3</v>
      </c>
      <c r="AB410" s="114">
        <f t="shared" si="85"/>
        <v>3</v>
      </c>
      <c r="AC410" s="114">
        <f t="shared" si="86"/>
        <v>2</v>
      </c>
      <c r="AD410" s="114">
        <f t="shared" si="87"/>
        <v>1</v>
      </c>
      <c r="AE410" s="114">
        <f t="shared" si="88"/>
        <v>11</v>
      </c>
      <c r="AF410" s="116" t="s">
        <v>50</v>
      </c>
      <c r="AG410" s="114">
        <f t="shared" si="89"/>
        <v>6.19883040935672</v>
      </c>
      <c r="AH410" s="114">
        <f t="shared" si="90"/>
        <v>1.13122171945701</v>
      </c>
      <c r="AI410" s="114">
        <f t="shared" si="91"/>
        <v>1.51</v>
      </c>
      <c r="AJ410" s="159">
        <f>LN(IF(AG410&gt;=1,AG410,1))*3.8+LN(IF(AH410&gt;=1,AH410,1))*9.6+11.2*LN(IF(AI410&gt;=1,AI410,1))+6.4*AN410</f>
        <v>12.7318613624608</v>
      </c>
      <c r="AK410" s="160">
        <f>IF(AND(AG410&gt;0,AH410&gt;0,AI410&gt;0),AJ410,"")</f>
        <v>12.7318613624608</v>
      </c>
      <c r="AL410" s="160">
        <f t="shared" si="92"/>
        <v>12.7318613624608</v>
      </c>
      <c r="AM410" s="160">
        <f>IF(AV410&gt;135,135,IF(AV410&lt;120,120,AV410))</f>
        <v>135</v>
      </c>
      <c r="AN410" s="114">
        <v>0</v>
      </c>
      <c r="AO410" s="114">
        <f t="shared" si="93"/>
        <v>1</v>
      </c>
      <c r="AP410" s="114">
        <v>7.3</v>
      </c>
      <c r="AQ410" s="114">
        <v>116</v>
      </c>
      <c r="AR410" s="114">
        <v>1.51</v>
      </c>
      <c r="AS410" s="160">
        <v>30</v>
      </c>
      <c r="AT410" s="161">
        <v>106</v>
      </c>
      <c r="AU410" s="114">
        <v>100</v>
      </c>
      <c r="AV410" s="114">
        <v>136</v>
      </c>
      <c r="AZ410" s="132" t="s">
        <v>1158</v>
      </c>
    </row>
    <row r="411" s="125" customFormat="1" spans="1:52">
      <c r="A411" s="125" t="s">
        <v>867</v>
      </c>
      <c r="B411" s="131" t="s">
        <v>53</v>
      </c>
      <c r="C411" s="125">
        <v>53</v>
      </c>
      <c r="D411" s="185">
        <v>1.65</v>
      </c>
      <c r="E411" s="125">
        <v>33</v>
      </c>
      <c r="F411" s="216">
        <f t="shared" si="94"/>
        <v>12.1212121212121</v>
      </c>
      <c r="G411" s="125">
        <v>3</v>
      </c>
      <c r="I411" s="186">
        <v>44830</v>
      </c>
      <c r="J411" s="186">
        <v>44835</v>
      </c>
      <c r="L411" s="187">
        <v>7</v>
      </c>
      <c r="M411" s="187">
        <v>5</v>
      </c>
      <c r="N411" s="248" t="s">
        <v>1159</v>
      </c>
      <c r="O411" s="114"/>
      <c r="P411" s="114"/>
      <c r="Q411" s="116" t="s">
        <v>1083</v>
      </c>
      <c r="R411" s="114"/>
      <c r="S411" s="114"/>
      <c r="T411" s="114">
        <v>0</v>
      </c>
      <c r="U411" s="114">
        <v>0</v>
      </c>
      <c r="V411" s="114">
        <v>1</v>
      </c>
      <c r="W411" s="114">
        <v>0</v>
      </c>
      <c r="X411" s="114">
        <v>1</v>
      </c>
      <c r="Y411" s="114">
        <v>1</v>
      </c>
      <c r="Z411" s="116" t="s">
        <v>58</v>
      </c>
      <c r="AA411" s="114">
        <v>1</v>
      </c>
      <c r="AB411" s="114">
        <f t="shared" si="85"/>
        <v>1</v>
      </c>
      <c r="AC411" s="114">
        <f t="shared" si="86"/>
        <v>3</v>
      </c>
      <c r="AD411" s="114">
        <f t="shared" si="87"/>
        <v>1</v>
      </c>
      <c r="AE411" s="114">
        <f t="shared" si="88"/>
        <v>7</v>
      </c>
      <c r="AF411" s="116" t="s">
        <v>63</v>
      </c>
      <c r="AG411" s="114">
        <f t="shared" si="89"/>
        <v>1.01169590643275</v>
      </c>
      <c r="AH411" s="114">
        <f t="shared" si="90"/>
        <v>0.520361990950226</v>
      </c>
      <c r="AI411" s="114">
        <f t="shared" si="91"/>
        <v>1.27</v>
      </c>
      <c r="AJ411" s="159">
        <f>LN(IF(AG411&gt;=1,AG411,1))*3.8+LN(IF(AH411&gt;=1,AH411,1))*9.6+11.2*LN(IF(AI411&gt;=1,AI411,1))+6.4*AN411</f>
        <v>9.12117582965105</v>
      </c>
      <c r="AK411" s="160">
        <f>IF(AND(AG411&gt;0,AH411&gt;0,AI411&gt;0),AJ411,"")</f>
        <v>9.12117582965105</v>
      </c>
      <c r="AL411" s="160">
        <f t="shared" si="92"/>
        <v>9.12117582965105</v>
      </c>
      <c r="AM411" s="160">
        <f>IF(AV411&gt;135,135,IF(AV411&lt;120,120,AV411))</f>
        <v>135</v>
      </c>
      <c r="AN411" s="114">
        <v>1</v>
      </c>
      <c r="AO411" s="114">
        <f t="shared" si="93"/>
        <v>1</v>
      </c>
      <c r="AP411" s="114">
        <v>1.84</v>
      </c>
      <c r="AQ411" s="114">
        <v>43</v>
      </c>
      <c r="AR411" s="114">
        <v>1.27</v>
      </c>
      <c r="AS411" s="160">
        <v>26</v>
      </c>
      <c r="AT411" s="161">
        <v>17.3</v>
      </c>
      <c r="AU411" s="114">
        <v>46</v>
      </c>
      <c r="AV411" s="114">
        <v>139</v>
      </c>
      <c r="AZ411" s="131" t="s">
        <v>1160</v>
      </c>
    </row>
    <row r="412" s="123" customFormat="1" spans="1:52">
      <c r="A412" s="123" t="s">
        <v>775</v>
      </c>
      <c r="B412" s="132" t="s">
        <v>53</v>
      </c>
      <c r="C412" s="123">
        <v>82</v>
      </c>
      <c r="D412" s="176">
        <v>1.6</v>
      </c>
      <c r="E412" s="123">
        <v>55</v>
      </c>
      <c r="F412" s="189">
        <f>E412/(D412*D412)</f>
        <v>21.484375</v>
      </c>
      <c r="I412" s="177">
        <v>44794</v>
      </c>
      <c r="J412" s="177">
        <v>44800</v>
      </c>
      <c r="L412" s="178">
        <v>2</v>
      </c>
      <c r="M412" s="178">
        <v>6</v>
      </c>
      <c r="N412" s="254" t="s">
        <v>1161</v>
      </c>
      <c r="O412" s="114"/>
      <c r="P412" s="114"/>
      <c r="Q412" s="114">
        <v>1</v>
      </c>
      <c r="R412" s="114"/>
      <c r="S412" s="114"/>
      <c r="T412" s="114">
        <v>1</v>
      </c>
      <c r="U412" s="114">
        <v>0</v>
      </c>
      <c r="V412" s="114">
        <v>1</v>
      </c>
      <c r="W412" s="114">
        <v>0</v>
      </c>
      <c r="X412" s="114">
        <v>1</v>
      </c>
      <c r="Y412" s="114">
        <v>1</v>
      </c>
      <c r="Z412" s="116" t="s">
        <v>321</v>
      </c>
      <c r="AA412" s="114">
        <v>3</v>
      </c>
      <c r="AB412" s="114">
        <f>_xlfn.IFS(AT412&gt;51,3,AT412&gt;=34,2,AT412&lt;34,1)</f>
        <v>3</v>
      </c>
      <c r="AC412" s="114">
        <f>_xlfn.IFS(AS412&gt;35,1,AS412&gt;=28,2,AS412&lt;28,3)</f>
        <v>3</v>
      </c>
      <c r="AD412" s="114">
        <f>_xlfn.IFS(AR412&gt;2.3,3,AR412&gt;=1.7,2,AR412&lt;1.7,1)</f>
        <v>1</v>
      </c>
      <c r="AE412" s="114">
        <f>Y412+AA412+AB412+AC412+AD412</f>
        <v>11</v>
      </c>
      <c r="AF412" s="116" t="s">
        <v>50</v>
      </c>
      <c r="AG412" s="114">
        <f>AT412/17.1</f>
        <v>3.96491228070175</v>
      </c>
      <c r="AH412" s="114">
        <f>AU412/88.4</f>
        <v>1.31221719457014</v>
      </c>
      <c r="AI412" s="114">
        <f>AR412</f>
        <v>1.68</v>
      </c>
      <c r="AJ412" s="159">
        <f>LN(IF(AG412&gt;=1,AG412,1))*3.8+LN(IF(AH412&gt;=1,AH412,1))*9.6+11.2*LN(IF(AI412&gt;=1,AI412,1))+6.4*AN412</f>
        <v>20.0534235917558</v>
      </c>
      <c r="AK412" s="160">
        <f>IF(AND(AG412&gt;0,AH412&gt;0,AI412&gt;0),AJ412,"")</f>
        <v>20.0534235917558</v>
      </c>
      <c r="AL412" s="160">
        <f>AK412+1.59*(135-AM412)</f>
        <v>23.2334235917558</v>
      </c>
      <c r="AM412" s="160">
        <f>IF(AV412&gt;135,135,IF(AV412&lt;120,120,AV412))</f>
        <v>133</v>
      </c>
      <c r="AN412" s="114">
        <v>1</v>
      </c>
      <c r="AO412" s="114">
        <f>_xlfn.IFS(AJ412&lt;15,1,AJ412=15-18,2,AJ412&gt;18,3)</f>
        <v>3</v>
      </c>
      <c r="AP412" s="114">
        <v>3.23</v>
      </c>
      <c r="AQ412" s="114">
        <v>69</v>
      </c>
      <c r="AR412" s="114">
        <v>1.68</v>
      </c>
      <c r="AS412" s="160">
        <v>24</v>
      </c>
      <c r="AT412" s="161">
        <v>67.8</v>
      </c>
      <c r="AU412" s="114">
        <v>116</v>
      </c>
      <c r="AV412" s="114">
        <v>133</v>
      </c>
      <c r="AZ412" s="132" t="s">
        <v>1162</v>
      </c>
    </row>
    <row r="413" spans="1:52">
      <c r="A413" s="117" t="s">
        <v>1163</v>
      </c>
      <c r="B413" s="119" t="s">
        <v>48</v>
      </c>
      <c r="C413" s="117">
        <v>56</v>
      </c>
      <c r="D413" s="135">
        <v>1.75</v>
      </c>
      <c r="E413" s="117">
        <v>67.5</v>
      </c>
      <c r="F413" s="136">
        <f>E413/(D413*D413)</f>
        <v>22.0408163265306</v>
      </c>
      <c r="G413" s="114">
        <v>3</v>
      </c>
      <c r="H413" s="114"/>
      <c r="I413" s="210">
        <v>44817</v>
      </c>
      <c r="J413" s="210">
        <v>44832</v>
      </c>
      <c r="K413" s="114"/>
      <c r="L413" s="138">
        <v>1</v>
      </c>
      <c r="M413" s="138">
        <v>15</v>
      </c>
      <c r="N413" s="265" t="s">
        <v>1164</v>
      </c>
      <c r="O413" s="114">
        <v>1</v>
      </c>
      <c r="P413" s="114"/>
      <c r="Q413" s="114"/>
      <c r="R413" s="114"/>
      <c r="S413" s="114"/>
      <c r="T413" s="114">
        <v>0</v>
      </c>
      <c r="U413" s="114">
        <v>0</v>
      </c>
      <c r="V413" s="114">
        <v>1</v>
      </c>
      <c r="W413" s="114">
        <v>0</v>
      </c>
      <c r="X413" s="114">
        <v>1</v>
      </c>
      <c r="Y413" s="114">
        <v>1</v>
      </c>
      <c r="Z413" s="116" t="s">
        <v>58</v>
      </c>
      <c r="AA413" s="114">
        <v>1</v>
      </c>
      <c r="AB413" s="114">
        <f>_xlfn.IFS(AT413&gt;51,3,AT413&gt;=34,2,AT413&lt;34,1)</f>
        <v>1</v>
      </c>
      <c r="AC413" s="114">
        <f>_xlfn.IFS(AS413&gt;35,1,AS413&gt;=28,2,AS413&lt;28,3)</f>
        <v>2</v>
      </c>
      <c r="AD413" s="114">
        <f>_xlfn.IFS(AR413&gt;2.3,3,AR413&gt;=1.7,2,AR413&lt;1.7,1)</f>
        <v>1</v>
      </c>
      <c r="AE413" s="114">
        <f>Y413+AA413+AB413+AC413+AD413</f>
        <v>6</v>
      </c>
      <c r="AF413" s="116" t="s">
        <v>59</v>
      </c>
      <c r="AG413" s="114">
        <f>AT413/17.1</f>
        <v>0.526315789473684</v>
      </c>
      <c r="AH413" s="114">
        <f>AU413/88.4</f>
        <v>1.04072398190045</v>
      </c>
      <c r="AI413" s="114">
        <f>AR413</f>
        <v>1.16</v>
      </c>
      <c r="AJ413" s="159">
        <f>LN(IF(AG413&gt;=1,AG413,1))*3.8+LN(IF(AH413&gt;=1,AH413,1))*9.6+11.2*LN(IF(AI413&gt;=1,AI413,1))+6.4*AN413</f>
        <v>8.44550348841691</v>
      </c>
      <c r="AK413" s="160">
        <f>IF(AND(AG413&gt;0,AH413&gt;0,AI413&gt;0),AJ413,"")</f>
        <v>8.44550348841691</v>
      </c>
      <c r="AL413" s="160">
        <f>AK413+1.59*(135-AM413)</f>
        <v>8.44550348841691</v>
      </c>
      <c r="AM413" s="160">
        <f>IF(AV413&gt;135,135,IF(AV413&lt;120,120,AV413))</f>
        <v>135</v>
      </c>
      <c r="AN413" s="114">
        <v>1</v>
      </c>
      <c r="AO413" s="114">
        <f>_xlfn.IFS(AJ413&lt;15,1,AJ413=15-18,2,AJ413&gt;18,3)</f>
        <v>1</v>
      </c>
      <c r="AP413" s="114">
        <v>1.72</v>
      </c>
      <c r="AQ413" s="114">
        <v>75</v>
      </c>
      <c r="AR413" s="114">
        <v>1.16</v>
      </c>
      <c r="AS413" s="160">
        <v>34</v>
      </c>
      <c r="AT413" s="161">
        <v>9</v>
      </c>
      <c r="AU413" s="114">
        <v>92</v>
      </c>
      <c r="AV413" s="114">
        <v>135</v>
      </c>
      <c r="AZ413" s="119" t="s">
        <v>1165</v>
      </c>
    </row>
    <row r="414" spans="1:52">
      <c r="A414" s="117" t="s">
        <v>1166</v>
      </c>
      <c r="B414" s="119" t="s">
        <v>53</v>
      </c>
      <c r="C414" s="117">
        <v>44</v>
      </c>
      <c r="D414" s="135">
        <v>1.55</v>
      </c>
      <c r="E414" s="117">
        <v>51</v>
      </c>
      <c r="F414" s="136">
        <f>E414/(D414*D414)</f>
        <v>21.2278876170656</v>
      </c>
      <c r="G414" s="114">
        <v>1</v>
      </c>
      <c r="H414" s="114"/>
      <c r="I414" s="210">
        <v>44818</v>
      </c>
      <c r="J414" s="210">
        <v>44827</v>
      </c>
      <c r="K414" s="114"/>
      <c r="L414" s="138">
        <v>2</v>
      </c>
      <c r="M414" s="138">
        <v>9</v>
      </c>
      <c r="N414" s="265" t="s">
        <v>1167</v>
      </c>
      <c r="O414" s="114"/>
      <c r="P414" s="114"/>
      <c r="Q414" s="114"/>
      <c r="R414" s="114">
        <v>1</v>
      </c>
      <c r="S414" s="114"/>
      <c r="T414" s="114">
        <v>1</v>
      </c>
      <c r="U414" s="114">
        <v>0</v>
      </c>
      <c r="V414" s="114">
        <v>1</v>
      </c>
      <c r="W414" s="114">
        <v>0</v>
      </c>
      <c r="X414" s="114">
        <v>1</v>
      </c>
      <c r="Y414" s="114">
        <v>1</v>
      </c>
      <c r="Z414" s="116" t="s">
        <v>300</v>
      </c>
      <c r="AA414" s="114">
        <v>2</v>
      </c>
      <c r="AB414" s="114">
        <f>_xlfn.IFS(AT414&gt;51,3,AT414&gt;=34,2,AT414&lt;34,1)</f>
        <v>2</v>
      </c>
      <c r="AC414" s="114">
        <f>_xlfn.IFS(AS414&gt;35,1,AS414&gt;=28,2,AS414&lt;28,3)</f>
        <v>2</v>
      </c>
      <c r="AD414" s="114">
        <f>_xlfn.IFS(AR414&gt;2.3,3,AR414&gt;=1.7,2,AR414&lt;1.7,1)</f>
        <v>1</v>
      </c>
      <c r="AE414" s="114">
        <f>Y414+AA414+AB414+AC414+AD414</f>
        <v>8</v>
      </c>
      <c r="AF414" s="116" t="s">
        <v>63</v>
      </c>
      <c r="AG414" s="114">
        <f>AT414/17.1</f>
        <v>2.55555555555556</v>
      </c>
      <c r="AH414" s="114">
        <f>AU414/88.4</f>
        <v>0.452488687782805</v>
      </c>
      <c r="AI414" s="114">
        <f>AR414</f>
        <v>1.11</v>
      </c>
      <c r="AJ414" s="159">
        <f>LN(IF(AG414&gt;=1,AG414,1))*3.8+LN(IF(AH414&gt;=1,AH414,1))*9.6+11.2*LN(IF(AI414&gt;=1,AI414,1))+6.4*AN414</f>
        <v>4.73425679828465</v>
      </c>
      <c r="AK414" s="160">
        <f>IF(AND(AG414&gt;0,AH414&gt;0,AI414&gt;0),AJ414,"")</f>
        <v>4.73425679828465</v>
      </c>
      <c r="AL414" s="160">
        <f>AK414+1.59*(135-AM414)</f>
        <v>4.73425679828465</v>
      </c>
      <c r="AM414" s="160">
        <f>IF(AV414&gt;135,135,IF(AV414&lt;120,120,AV414))</f>
        <v>135</v>
      </c>
      <c r="AN414" s="114">
        <v>0</v>
      </c>
      <c r="AO414" s="114">
        <f>_xlfn.IFS(AJ414&lt;15,1,AJ414=15-18,2,AJ414&gt;18,3)</f>
        <v>1</v>
      </c>
      <c r="AP414" s="114">
        <v>1.42</v>
      </c>
      <c r="AQ414" s="114">
        <v>55</v>
      </c>
      <c r="AR414" s="114">
        <v>1.11</v>
      </c>
      <c r="AS414" s="160">
        <v>30</v>
      </c>
      <c r="AT414" s="161">
        <v>43.7</v>
      </c>
      <c r="AU414" s="114">
        <v>40</v>
      </c>
      <c r="AV414" s="114">
        <v>140</v>
      </c>
      <c r="AZ414" s="119" t="s">
        <v>1168</v>
      </c>
    </row>
    <row r="415" spans="1:52">
      <c r="A415" s="117" t="s">
        <v>1169</v>
      </c>
      <c r="B415" s="119" t="s">
        <v>48</v>
      </c>
      <c r="C415" s="117">
        <v>55</v>
      </c>
      <c r="D415" s="135">
        <v>1.7</v>
      </c>
      <c r="E415" s="117">
        <v>102</v>
      </c>
      <c r="F415" s="136">
        <f>E415/(D415*D415)</f>
        <v>35.2941176470588</v>
      </c>
      <c r="G415" s="114">
        <v>6</v>
      </c>
      <c r="H415" s="114"/>
      <c r="I415" s="210">
        <v>44825</v>
      </c>
      <c r="J415" s="210">
        <v>44828</v>
      </c>
      <c r="K415" s="114"/>
      <c r="L415" s="138">
        <v>1</v>
      </c>
      <c r="M415" s="138">
        <v>3</v>
      </c>
      <c r="N415" s="265" t="s">
        <v>1170</v>
      </c>
      <c r="O415" s="114"/>
      <c r="P415" s="114">
        <v>1</v>
      </c>
      <c r="Q415" s="114"/>
      <c r="R415" s="114"/>
      <c r="S415" s="114"/>
      <c r="T415" s="114">
        <v>0</v>
      </c>
      <c r="U415" s="114">
        <v>0</v>
      </c>
      <c r="V415" s="114">
        <v>1</v>
      </c>
      <c r="W415" s="114">
        <v>0</v>
      </c>
      <c r="X415" s="114">
        <v>1</v>
      </c>
      <c r="Y415" s="114">
        <v>1</v>
      </c>
      <c r="Z415" s="116" t="s">
        <v>58</v>
      </c>
      <c r="AA415" s="114">
        <v>1</v>
      </c>
      <c r="AB415" s="114">
        <f>_xlfn.IFS(AT415&gt;51,3,AT415&gt;=34,2,AT415&lt;34,1)</f>
        <v>1</v>
      </c>
      <c r="AC415" s="114">
        <f>_xlfn.IFS(AS415&gt;35,1,AS415&gt;=28,2,AS415&lt;28,3)</f>
        <v>1</v>
      </c>
      <c r="AD415" s="114">
        <f>_xlfn.IFS(AR415&gt;2.3,3,AR415&gt;=1.7,2,AR415&lt;1.7,1)</f>
        <v>1</v>
      </c>
      <c r="AE415" s="114">
        <f>Y415+AA415+AB415+AC415+AD415</f>
        <v>5</v>
      </c>
      <c r="AF415" s="116" t="s">
        <v>59</v>
      </c>
      <c r="AG415" s="114">
        <f>AT415/17.1</f>
        <v>1.2046783625731</v>
      </c>
      <c r="AH415" s="114">
        <f>AU415/88.4</f>
        <v>0.565610859728507</v>
      </c>
      <c r="AI415" s="114">
        <f>AR415</f>
        <v>1.16</v>
      </c>
      <c r="AJ415" s="159">
        <f>LN(IF(AG415&gt;=1,AG415,1))*3.8+LN(IF(AH415&gt;=1,AH415,1))*9.6+11.2*LN(IF(AI415&gt;=1,AI415,1))+6.4*AN415</f>
        <v>2.36991198401496</v>
      </c>
      <c r="AK415" s="160">
        <f>IF(AND(AG415&gt;0,AH415&gt;0,AI415&gt;0),AJ415,"")</f>
        <v>2.36991198401496</v>
      </c>
      <c r="AL415" s="160">
        <f>AK415+1.59*(135-AM415)</f>
        <v>2.36991198401496</v>
      </c>
      <c r="AM415" s="160">
        <f>IF(AV415&gt;135,135,IF(AV415&lt;120,120,AV415))</f>
        <v>135</v>
      </c>
      <c r="AN415" s="114">
        <v>0</v>
      </c>
      <c r="AO415" s="114">
        <f>_xlfn.IFS(AJ415&lt;15,1,AJ415=15-18,2,AJ415&gt;18,3)</f>
        <v>1</v>
      </c>
      <c r="AP415" s="114">
        <v>4.41</v>
      </c>
      <c r="AQ415" s="114">
        <v>125</v>
      </c>
      <c r="AR415" s="114">
        <v>1.16</v>
      </c>
      <c r="AS415" s="160">
        <v>37</v>
      </c>
      <c r="AT415" s="161">
        <v>20.6</v>
      </c>
      <c r="AU415" s="114">
        <v>50</v>
      </c>
      <c r="AV415" s="114">
        <v>145</v>
      </c>
      <c r="AZ415" s="119" t="s">
        <v>1171</v>
      </c>
    </row>
    <row r="416" s="125" customFormat="1" spans="1:52">
      <c r="A416" s="125" t="s">
        <v>1172</v>
      </c>
      <c r="B416" s="131" t="s">
        <v>48</v>
      </c>
      <c r="C416" s="125">
        <v>59</v>
      </c>
      <c r="D416" s="185">
        <v>1.76</v>
      </c>
      <c r="E416" s="125">
        <v>60</v>
      </c>
      <c r="F416" s="216">
        <f>E416/(D416*D416)</f>
        <v>19.3698347107438</v>
      </c>
      <c r="G416" s="125">
        <v>7</v>
      </c>
      <c r="I416" s="186">
        <v>44824</v>
      </c>
      <c r="J416" s="186">
        <v>44834</v>
      </c>
      <c r="L416" s="187">
        <v>1</v>
      </c>
      <c r="M416" s="187">
        <v>10</v>
      </c>
      <c r="N416" s="248" t="s">
        <v>1173</v>
      </c>
      <c r="O416" s="114"/>
      <c r="P416" s="114"/>
      <c r="Q416" s="114"/>
      <c r="R416" s="114"/>
      <c r="S416" s="114">
        <v>1</v>
      </c>
      <c r="T416" s="114">
        <v>1</v>
      </c>
      <c r="U416" s="114">
        <v>0</v>
      </c>
      <c r="V416" s="114">
        <v>1</v>
      </c>
      <c r="W416" s="114">
        <v>0</v>
      </c>
      <c r="X416" s="114">
        <v>1</v>
      </c>
      <c r="Y416" s="114">
        <v>1</v>
      </c>
      <c r="Z416" s="116" t="s">
        <v>307</v>
      </c>
      <c r="AA416" s="114">
        <v>3</v>
      </c>
      <c r="AB416" s="114">
        <f>_xlfn.IFS(AT416&gt;51,3,AT416&gt;=34,2,AT416&lt;34,1)</f>
        <v>1</v>
      </c>
      <c r="AC416" s="114">
        <f>_xlfn.IFS(AS416&gt;35,1,AS416&gt;=28,2,AS416&lt;28,3)</f>
        <v>2</v>
      </c>
      <c r="AD416" s="114">
        <f>_xlfn.IFS(AR416&gt;2.3,3,AR416&gt;=1.7,2,AR416&lt;1.7,1)</f>
        <v>1</v>
      </c>
      <c r="AE416" s="114">
        <f>Y416+AA416+AB416+AC416+AD416</f>
        <v>8</v>
      </c>
      <c r="AF416" s="116" t="s">
        <v>63</v>
      </c>
      <c r="AG416" s="114">
        <f>AT416/17.1</f>
        <v>1.61988304093567</v>
      </c>
      <c r="AH416" s="114">
        <f>AU416/88.4</f>
        <v>0.633484162895928</v>
      </c>
      <c r="AI416" s="114">
        <f>AR416</f>
        <v>1.36</v>
      </c>
      <c r="AJ416" s="159">
        <f>LN(IF(AG416&gt;=1,AG416,1))*3.8+LN(IF(AH416&gt;=1,AH416,1))*9.6+11.2*LN(IF(AI416&gt;=1,AI416,1))+6.4*AN416</f>
        <v>11.6767736459789</v>
      </c>
      <c r="AK416" s="160">
        <f>IF(AND(AG416&gt;0,AH416&gt;0,AI416&gt;0),AJ416,"")</f>
        <v>11.6767736459789</v>
      </c>
      <c r="AL416" s="160">
        <f>AK416+1.59*(135-AM416)</f>
        <v>11.6767736459789</v>
      </c>
      <c r="AM416" s="160">
        <f>IF(AV416&gt;135,135,IF(AV416&lt;120,120,AV416))</f>
        <v>135</v>
      </c>
      <c r="AN416" s="114">
        <v>1</v>
      </c>
      <c r="AO416" s="114">
        <f>_xlfn.IFS(AJ416&lt;15,1,AJ416=15-18,2,AJ416&gt;18,3)</f>
        <v>1</v>
      </c>
      <c r="AP416" s="114">
        <v>1.37</v>
      </c>
      <c r="AQ416" s="114">
        <v>69</v>
      </c>
      <c r="AR416" s="114">
        <v>1.36</v>
      </c>
      <c r="AS416" s="160">
        <v>31</v>
      </c>
      <c r="AT416" s="161">
        <v>27.7</v>
      </c>
      <c r="AU416" s="114">
        <v>56</v>
      </c>
      <c r="AV416" s="114">
        <v>138</v>
      </c>
      <c r="AZ416" s="131" t="s">
        <v>1174</v>
      </c>
    </row>
    <row r="417" spans="1:52">
      <c r="A417" s="117" t="s">
        <v>1154</v>
      </c>
      <c r="B417" s="119" t="s">
        <v>48</v>
      </c>
      <c r="C417" s="117">
        <v>47</v>
      </c>
      <c r="D417" s="135">
        <v>1.72</v>
      </c>
      <c r="E417" s="117">
        <v>82</v>
      </c>
      <c r="F417" s="136">
        <f t="shared" ref="F417:F425" si="95">E417/(D417*D417)</f>
        <v>27.7176852352623</v>
      </c>
      <c r="G417" s="114">
        <v>3</v>
      </c>
      <c r="H417" s="114"/>
      <c r="I417" s="210">
        <v>44785</v>
      </c>
      <c r="J417" s="210">
        <v>44797</v>
      </c>
      <c r="K417" s="114"/>
      <c r="L417" s="138">
        <v>1</v>
      </c>
      <c r="M417" s="138">
        <v>12</v>
      </c>
      <c r="N417" s="265" t="s">
        <v>1175</v>
      </c>
      <c r="O417" s="114"/>
      <c r="P417" s="114"/>
      <c r="Q417" s="114"/>
      <c r="R417" s="114"/>
      <c r="S417" s="114">
        <v>1</v>
      </c>
      <c r="T417" s="114">
        <v>1</v>
      </c>
      <c r="U417" s="114">
        <v>0</v>
      </c>
      <c r="V417" s="114">
        <v>1</v>
      </c>
      <c r="W417" s="114">
        <v>0</v>
      </c>
      <c r="X417" s="114">
        <v>1</v>
      </c>
      <c r="Y417" s="114">
        <v>1</v>
      </c>
      <c r="Z417" s="116" t="s">
        <v>300</v>
      </c>
      <c r="AA417" s="114">
        <v>2</v>
      </c>
      <c r="AB417" s="114">
        <f t="shared" ref="AB417:AB425" si="96">_xlfn.IFS(AT417&gt;51,3,AT417&gt;=34,2,AT417&lt;34,1)</f>
        <v>1</v>
      </c>
      <c r="AC417" s="114">
        <f t="shared" ref="AC417:AC429" si="97">_xlfn.IFS(AS417&gt;35,1,AS417&gt;=28,2,AS417&lt;28,3)</f>
        <v>3</v>
      </c>
      <c r="AD417" s="114">
        <f>_xlfn.IFS(AR417&gt;2.3,3,AR417&gt;=1.7,2,AR417&lt;1.7,1)</f>
        <v>1</v>
      </c>
      <c r="AE417" s="114">
        <f>Y417+AA417+AB417+AC417+AD417</f>
        <v>8</v>
      </c>
      <c r="AF417" s="116" t="s">
        <v>63</v>
      </c>
      <c r="AG417" s="114">
        <f>AT417/17.1</f>
        <v>0.608187134502924</v>
      </c>
      <c r="AH417" s="114">
        <f>AU417/88.4</f>
        <v>0.644796380090498</v>
      </c>
      <c r="AI417" s="114">
        <f>AR417</f>
        <v>1.3</v>
      </c>
      <c r="AJ417" s="159">
        <f t="shared" ref="AJ417:AJ425" si="98">LN(IF(AG417&gt;=1,AG417,1))*3.8+LN(IF(AH417&gt;=1,AH417,1))*9.6+11.2*LN(IF(AI417&gt;=1,AI417,1))+6.4*AN417</f>
        <v>9.3384797620359</v>
      </c>
      <c r="AK417" s="160">
        <f t="shared" ref="AK417:AK430" si="99">IF(AND(AG417&gt;0,AH417&gt;0,AI417&gt;0),AJ417,"")</f>
        <v>9.3384797620359</v>
      </c>
      <c r="AL417" s="160">
        <f t="shared" ref="AL417:AL425" si="100">AK417+1.59*(135-AM417)</f>
        <v>9.3384797620359</v>
      </c>
      <c r="AM417" s="160">
        <f t="shared" ref="AM417:AM433" si="101">IF(AV417&gt;135,135,IF(AV417&lt;120,120,AV417))</f>
        <v>135</v>
      </c>
      <c r="AN417" s="114">
        <v>1</v>
      </c>
      <c r="AO417" s="114">
        <f>_xlfn.IFS(AJ417&lt;15,1,AJ417=15-18,2,AJ417&gt;18,3)</f>
        <v>1</v>
      </c>
      <c r="AP417" s="114">
        <v>9.55</v>
      </c>
      <c r="AQ417" s="114">
        <v>77</v>
      </c>
      <c r="AR417" s="114">
        <v>1.3</v>
      </c>
      <c r="AS417" s="160">
        <v>26</v>
      </c>
      <c r="AT417" s="161">
        <v>10.4</v>
      </c>
      <c r="AU417" s="114">
        <v>57</v>
      </c>
      <c r="AV417" s="114">
        <v>140</v>
      </c>
      <c r="AZ417" s="119" t="s">
        <v>1176</v>
      </c>
    </row>
    <row r="418" spans="1:52">
      <c r="A418" s="117" t="s">
        <v>1148</v>
      </c>
      <c r="B418" s="119" t="s">
        <v>48</v>
      </c>
      <c r="C418" s="117">
        <v>36</v>
      </c>
      <c r="D418" s="135">
        <v>1.71</v>
      </c>
      <c r="E418" s="117">
        <v>75</v>
      </c>
      <c r="F418" s="136">
        <f t="shared" si="95"/>
        <v>25.6489176156766</v>
      </c>
      <c r="G418" s="114">
        <v>0</v>
      </c>
      <c r="H418" s="114"/>
      <c r="I418" s="210">
        <v>44781</v>
      </c>
      <c r="J418" s="210">
        <v>44783</v>
      </c>
      <c r="K418" s="114"/>
      <c r="L418" s="138">
        <v>2</v>
      </c>
      <c r="M418" s="138">
        <v>2</v>
      </c>
      <c r="N418" s="265" t="s">
        <v>1177</v>
      </c>
      <c r="O418" s="114"/>
      <c r="P418" s="114"/>
      <c r="Q418" s="114"/>
      <c r="R418" s="114"/>
      <c r="S418" s="114">
        <v>1</v>
      </c>
      <c r="T418" s="114">
        <v>0</v>
      </c>
      <c r="U418" s="114">
        <v>0</v>
      </c>
      <c r="V418" s="114">
        <v>1</v>
      </c>
      <c r="W418" s="114">
        <v>0</v>
      </c>
      <c r="X418" s="114">
        <v>1</v>
      </c>
      <c r="Y418" s="114">
        <v>1</v>
      </c>
      <c r="Z418" s="116" t="s">
        <v>58</v>
      </c>
      <c r="AA418" s="114">
        <v>1</v>
      </c>
      <c r="AB418" s="114">
        <f t="shared" si="96"/>
        <v>1</v>
      </c>
      <c r="AC418" s="114">
        <f t="shared" si="97"/>
        <v>1</v>
      </c>
      <c r="AD418" s="114">
        <f>_xlfn.IFS(AR418&gt;2.3,3,AR418&gt;=1.7,2,AR418&lt;1.7,1)</f>
        <v>1</v>
      </c>
      <c r="AE418" s="114">
        <f>Y418+AA418+AB418+AC418+AD418</f>
        <v>5</v>
      </c>
      <c r="AF418" s="116" t="s">
        <v>59</v>
      </c>
      <c r="AG418" s="114">
        <f>AT418/17.1</f>
        <v>1.43859649122807</v>
      </c>
      <c r="AH418" s="114">
        <f>AU418/88.4</f>
        <v>0.576923076923077</v>
      </c>
      <c r="AI418" s="114">
        <f>AR418</f>
        <v>1.3</v>
      </c>
      <c r="AJ418" s="159">
        <f t="shared" si="98"/>
        <v>10.7204180838688</v>
      </c>
      <c r="AK418" s="160">
        <f t="shared" si="99"/>
        <v>10.7204180838688</v>
      </c>
      <c r="AL418" s="160">
        <f t="shared" si="100"/>
        <v>10.7204180838688</v>
      </c>
      <c r="AM418" s="160">
        <f t="shared" si="101"/>
        <v>135</v>
      </c>
      <c r="AN418" s="114">
        <v>1</v>
      </c>
      <c r="AO418" s="114">
        <f>_xlfn.IFS(AJ418&lt;15,1,AJ418=15-18,2,AJ418&gt;18,3)</f>
        <v>1</v>
      </c>
      <c r="AP418" s="114">
        <v>3.12</v>
      </c>
      <c r="AQ418" s="114">
        <v>68</v>
      </c>
      <c r="AR418" s="114">
        <v>1.3</v>
      </c>
      <c r="AS418" s="160">
        <v>42</v>
      </c>
      <c r="AT418" s="161">
        <v>24.6</v>
      </c>
      <c r="AU418" s="114">
        <v>51</v>
      </c>
      <c r="AV418" s="114">
        <v>142</v>
      </c>
      <c r="AZ418" s="119" t="s">
        <v>58</v>
      </c>
    </row>
    <row r="419" s="125" customFormat="1" spans="1:52">
      <c r="A419" s="125" t="s">
        <v>848</v>
      </c>
      <c r="B419" s="131" t="s">
        <v>53</v>
      </c>
      <c r="C419" s="125">
        <v>67</v>
      </c>
      <c r="D419" s="185">
        <v>1.58</v>
      </c>
      <c r="E419" s="125">
        <v>51</v>
      </c>
      <c r="F419" s="216">
        <f t="shared" si="95"/>
        <v>20.4294183624419</v>
      </c>
      <c r="G419" s="125">
        <v>6</v>
      </c>
      <c r="I419" s="186">
        <v>44778</v>
      </c>
      <c r="J419" s="186">
        <v>44789</v>
      </c>
      <c r="L419" s="187">
        <v>3</v>
      </c>
      <c r="M419" s="187">
        <v>11</v>
      </c>
      <c r="N419" s="248" t="s">
        <v>1178</v>
      </c>
      <c r="Q419" s="131">
        <v>1</v>
      </c>
      <c r="R419" s="125">
        <v>1</v>
      </c>
      <c r="T419" s="125">
        <v>1</v>
      </c>
      <c r="U419" s="125">
        <v>0</v>
      </c>
      <c r="V419" s="125">
        <v>1</v>
      </c>
      <c r="W419" s="125">
        <v>0</v>
      </c>
      <c r="X419" s="125">
        <v>1</v>
      </c>
      <c r="Y419" s="125">
        <v>1</v>
      </c>
      <c r="Z419" s="131" t="s">
        <v>307</v>
      </c>
      <c r="AA419" s="125">
        <v>3</v>
      </c>
      <c r="AB419" s="125">
        <f t="shared" si="96"/>
        <v>2</v>
      </c>
      <c r="AC419" s="125">
        <f t="shared" si="97"/>
        <v>3</v>
      </c>
      <c r="AD419" s="125">
        <f>_xlfn.IFS(AR419&gt;2.3,3,AR419&gt;=1.7,2,AR419&lt;1.7,1)</f>
        <v>1</v>
      </c>
      <c r="AE419" s="125">
        <f>Y419+AA419+AB419+AC419+AD419</f>
        <v>10</v>
      </c>
      <c r="AF419" s="131" t="s">
        <v>50</v>
      </c>
      <c r="AG419" s="125">
        <f>AT419/17.1</f>
        <v>1.98830409356725</v>
      </c>
      <c r="AH419" s="125">
        <f>AU419/88.4</f>
        <v>1.210407239819</v>
      </c>
      <c r="AI419" s="125">
        <f>AR419</f>
        <v>1.41</v>
      </c>
      <c r="AJ419" s="240">
        <f t="shared" si="98"/>
        <v>8.2930624236333</v>
      </c>
      <c r="AK419" s="241">
        <f t="shared" si="99"/>
        <v>8.2930624236333</v>
      </c>
      <c r="AL419" s="241">
        <f t="shared" si="100"/>
        <v>13.0630624236333</v>
      </c>
      <c r="AM419" s="241">
        <f t="shared" si="101"/>
        <v>132</v>
      </c>
      <c r="AN419" s="125">
        <v>0</v>
      </c>
      <c r="AO419" s="125">
        <f>_xlfn.IFS(AJ419&lt;15,1,AJ419=15-18,2,AJ419&gt;18,3)</f>
        <v>1</v>
      </c>
      <c r="AP419" s="125">
        <v>3.83</v>
      </c>
      <c r="AQ419" s="125">
        <v>92</v>
      </c>
      <c r="AR419" s="125">
        <v>1.41</v>
      </c>
      <c r="AS419" s="241">
        <v>26</v>
      </c>
      <c r="AT419" s="242">
        <v>34</v>
      </c>
      <c r="AU419" s="125">
        <v>107</v>
      </c>
      <c r="AV419" s="125">
        <v>132</v>
      </c>
      <c r="AZ419" s="131" t="s">
        <v>1179</v>
      </c>
    </row>
    <row r="420" s="125" customFormat="1" spans="1:52">
      <c r="A420" s="125" t="s">
        <v>1180</v>
      </c>
      <c r="B420" s="131" t="s">
        <v>48</v>
      </c>
      <c r="C420" s="125">
        <v>61</v>
      </c>
      <c r="D420" s="185">
        <v>1.8</v>
      </c>
      <c r="E420" s="125">
        <v>68</v>
      </c>
      <c r="F420" s="216">
        <f t="shared" si="95"/>
        <v>20.9876543209877</v>
      </c>
      <c r="G420" s="125">
        <v>5</v>
      </c>
      <c r="I420" s="186">
        <v>44777</v>
      </c>
      <c r="J420" s="186">
        <v>44782</v>
      </c>
      <c r="L420" s="187">
        <v>1</v>
      </c>
      <c r="M420" s="187">
        <v>5</v>
      </c>
      <c r="N420" s="248" t="s">
        <v>1181</v>
      </c>
      <c r="S420" s="125">
        <v>1</v>
      </c>
      <c r="T420" s="125">
        <v>1</v>
      </c>
      <c r="U420" s="125">
        <v>0</v>
      </c>
      <c r="V420" s="125">
        <v>0</v>
      </c>
      <c r="W420" s="125">
        <v>0</v>
      </c>
      <c r="X420" s="125">
        <v>1</v>
      </c>
      <c r="Y420" s="125">
        <v>1</v>
      </c>
      <c r="Z420" s="131" t="s">
        <v>321</v>
      </c>
      <c r="AA420" s="125">
        <v>3</v>
      </c>
      <c r="AB420" s="125">
        <f t="shared" si="96"/>
        <v>1</v>
      </c>
      <c r="AC420" s="125">
        <f t="shared" si="97"/>
        <v>2</v>
      </c>
      <c r="AD420" s="125">
        <f>_xlfn.IFS(AR420&gt;2.3,3,AR420&gt;=1.7,2,AR420&lt;1.7,1)</f>
        <v>1</v>
      </c>
      <c r="AE420" s="125">
        <f>Y420+AA420+AB420+AC420+AD420</f>
        <v>8</v>
      </c>
      <c r="AF420" s="131" t="s">
        <v>63</v>
      </c>
      <c r="AG420" s="125">
        <f>AT420/17.1</f>
        <v>1.87719298245614</v>
      </c>
      <c r="AH420" s="125">
        <f>AU420/88.4</f>
        <v>1.94570135746606</v>
      </c>
      <c r="AI420" s="125">
        <f>AR420</f>
        <v>1.3</v>
      </c>
      <c r="AJ420" s="240">
        <f t="shared" si="98"/>
        <v>18.1216105840505</v>
      </c>
      <c r="AK420" s="241">
        <f t="shared" si="99"/>
        <v>18.1216105840505</v>
      </c>
      <c r="AL420" s="241">
        <f t="shared" si="100"/>
        <v>18.1216105840505</v>
      </c>
      <c r="AM420" s="241">
        <f t="shared" si="101"/>
        <v>135</v>
      </c>
      <c r="AN420" s="125">
        <v>1</v>
      </c>
      <c r="AO420" s="125">
        <f>_xlfn.IFS(AJ420&lt;15,1,AJ420=15-18,2,AJ420&gt;18,3)</f>
        <v>3</v>
      </c>
      <c r="AP420" s="125">
        <v>4.81</v>
      </c>
      <c r="AQ420" s="125">
        <v>94</v>
      </c>
      <c r="AR420" s="125">
        <v>1.3</v>
      </c>
      <c r="AS420" s="241">
        <v>33</v>
      </c>
      <c r="AT420" s="242">
        <v>32.1</v>
      </c>
      <c r="AU420" s="125">
        <v>172</v>
      </c>
      <c r="AV420" s="125">
        <v>138</v>
      </c>
      <c r="AZ420" s="131" t="s">
        <v>1182</v>
      </c>
    </row>
    <row r="421" spans="1:52">
      <c r="A421" s="117" t="s">
        <v>1183</v>
      </c>
      <c r="B421" s="119" t="s">
        <v>48</v>
      </c>
      <c r="C421" s="117">
        <v>53</v>
      </c>
      <c r="D421" s="135">
        <v>1.7</v>
      </c>
      <c r="E421" s="117">
        <v>60</v>
      </c>
      <c r="F421" s="136">
        <f t="shared" si="95"/>
        <v>20.7612456747405</v>
      </c>
      <c r="G421" s="114">
        <v>6</v>
      </c>
      <c r="H421" s="114"/>
      <c r="I421" s="210">
        <v>44782</v>
      </c>
      <c r="J421" s="210">
        <v>44790</v>
      </c>
      <c r="K421" s="114"/>
      <c r="L421" s="138">
        <v>1</v>
      </c>
      <c r="M421" s="138">
        <v>8</v>
      </c>
      <c r="N421" s="265" t="s">
        <v>1184</v>
      </c>
      <c r="O421" s="114"/>
      <c r="P421" s="114">
        <v>1</v>
      </c>
      <c r="Q421" s="114"/>
      <c r="R421" s="114"/>
      <c r="S421" s="114"/>
      <c r="T421" s="114">
        <v>1</v>
      </c>
      <c r="U421" s="114">
        <v>0</v>
      </c>
      <c r="V421" s="114">
        <v>1</v>
      </c>
      <c r="W421" s="114">
        <v>1</v>
      </c>
      <c r="X421" s="114">
        <v>1</v>
      </c>
      <c r="Y421" s="114">
        <v>1</v>
      </c>
      <c r="Z421" s="116" t="s">
        <v>321</v>
      </c>
      <c r="AA421" s="114">
        <v>3</v>
      </c>
      <c r="AB421" s="114">
        <f t="shared" si="96"/>
        <v>1</v>
      </c>
      <c r="AC421" s="114">
        <f t="shared" si="97"/>
        <v>2</v>
      </c>
      <c r="AD421" s="114">
        <f>_xlfn.IFS(AR421&gt;2.3,3,AR421&gt;=1.7,2,AR421&lt;1.7,1)</f>
        <v>1</v>
      </c>
      <c r="AE421" s="114">
        <f>Y421+AA421+AB421+AC421+AD421</f>
        <v>8</v>
      </c>
      <c r="AF421" s="116" t="s">
        <v>63</v>
      </c>
      <c r="AG421" s="114">
        <f>AT421/17.1</f>
        <v>1.61988304093567</v>
      </c>
      <c r="AH421" s="114">
        <f>AU421/88.4</f>
        <v>0.599547511312217</v>
      </c>
      <c r="AI421" s="114">
        <f>AR421</f>
        <v>1.16</v>
      </c>
      <c r="AJ421" s="159">
        <f t="shared" si="98"/>
        <v>3.49524906612644</v>
      </c>
      <c r="AK421" s="160">
        <f t="shared" si="99"/>
        <v>3.49524906612644</v>
      </c>
      <c r="AL421" s="160">
        <f t="shared" si="100"/>
        <v>3.49524906612644</v>
      </c>
      <c r="AM421" s="160">
        <f t="shared" si="101"/>
        <v>135</v>
      </c>
      <c r="AN421" s="114">
        <v>0</v>
      </c>
      <c r="AO421" s="114">
        <f>_xlfn.IFS(AJ421&lt;15,1,AJ421=15-18,2,AJ421&gt;18,3)</f>
        <v>1</v>
      </c>
      <c r="AP421" s="114">
        <v>1.92</v>
      </c>
      <c r="AQ421" s="114">
        <v>115</v>
      </c>
      <c r="AR421" s="114">
        <v>1.16</v>
      </c>
      <c r="AS421" s="160">
        <v>33</v>
      </c>
      <c r="AT421" s="161">
        <v>27.7</v>
      </c>
      <c r="AU421" s="114">
        <v>53</v>
      </c>
      <c r="AV421" s="114">
        <v>140</v>
      </c>
      <c r="AZ421" s="119" t="s">
        <v>1185</v>
      </c>
    </row>
    <row r="422" spans="1:52">
      <c r="A422" s="117" t="s">
        <v>1186</v>
      </c>
      <c r="B422" s="119" t="s">
        <v>48</v>
      </c>
      <c r="C422" s="117">
        <v>54</v>
      </c>
      <c r="D422" s="135">
        <v>1.7</v>
      </c>
      <c r="E422" s="117">
        <v>77</v>
      </c>
      <c r="F422" s="136">
        <f t="shared" si="95"/>
        <v>26.643598615917</v>
      </c>
      <c r="G422" s="114">
        <v>6</v>
      </c>
      <c r="H422" s="114"/>
      <c r="I422" s="210">
        <v>44781</v>
      </c>
      <c r="J422" s="210">
        <v>44789</v>
      </c>
      <c r="K422" s="114"/>
      <c r="L422" s="138">
        <v>1</v>
      </c>
      <c r="M422" s="138">
        <v>8</v>
      </c>
      <c r="N422" s="265" t="s">
        <v>1187</v>
      </c>
      <c r="O422" s="114"/>
      <c r="P422" s="114">
        <v>1</v>
      </c>
      <c r="Q422" s="114"/>
      <c r="R422" s="114"/>
      <c r="S422" s="114"/>
      <c r="T422" s="114">
        <v>1</v>
      </c>
      <c r="U422" s="114">
        <v>0</v>
      </c>
      <c r="V422" s="114">
        <v>1</v>
      </c>
      <c r="W422" s="114">
        <v>0</v>
      </c>
      <c r="X422" s="114">
        <v>1</v>
      </c>
      <c r="Y422" s="114">
        <v>1</v>
      </c>
      <c r="Z422" s="116" t="s">
        <v>321</v>
      </c>
      <c r="AA422" s="114">
        <v>3</v>
      </c>
      <c r="AB422" s="114">
        <f t="shared" si="96"/>
        <v>1</v>
      </c>
      <c r="AC422" s="114">
        <f t="shared" si="97"/>
        <v>1</v>
      </c>
      <c r="AD422" s="114">
        <f>_xlfn.IFS(AR422&gt;2.3,3,AR422&gt;=1.7,2,AR422&lt;1.7,1)</f>
        <v>1</v>
      </c>
      <c r="AE422" s="114">
        <f>Y422+AA422+AB422+AC422+AD422</f>
        <v>7</v>
      </c>
      <c r="AF422" s="116" t="s">
        <v>63</v>
      </c>
      <c r="AG422" s="114">
        <f>AT422/17.1</f>
        <v>0.842105263157895</v>
      </c>
      <c r="AH422" s="114">
        <f>AU422/88.4</f>
        <v>0.486425339366516</v>
      </c>
      <c r="AI422" s="114">
        <f>AR422</f>
        <v>1.61</v>
      </c>
      <c r="AJ422" s="159">
        <f t="shared" si="98"/>
        <v>5.33382280475936</v>
      </c>
      <c r="AK422" s="160">
        <f t="shared" si="99"/>
        <v>5.33382280475936</v>
      </c>
      <c r="AL422" s="160">
        <f t="shared" si="100"/>
        <v>5.33382280475936</v>
      </c>
      <c r="AM422" s="160">
        <f t="shared" si="101"/>
        <v>135</v>
      </c>
      <c r="AN422" s="114">
        <v>0</v>
      </c>
      <c r="AO422" s="114">
        <f>_xlfn.IFS(AJ422&lt;15,1,AJ422=15-18,2,AJ422&gt;18,3)</f>
        <v>1</v>
      </c>
      <c r="AP422" s="114">
        <v>4.09</v>
      </c>
      <c r="AQ422" s="114">
        <v>135</v>
      </c>
      <c r="AR422" s="114">
        <v>1.61</v>
      </c>
      <c r="AS422" s="160">
        <v>36</v>
      </c>
      <c r="AT422" s="161">
        <v>14.4</v>
      </c>
      <c r="AU422" s="114">
        <v>43</v>
      </c>
      <c r="AV422" s="114">
        <v>140</v>
      </c>
      <c r="AZ422" s="119" t="s">
        <v>1188</v>
      </c>
    </row>
    <row r="423" spans="1:52">
      <c r="A423" s="117" t="s">
        <v>1189</v>
      </c>
      <c r="B423" s="119" t="s">
        <v>48</v>
      </c>
      <c r="C423" s="117">
        <v>44</v>
      </c>
      <c r="D423" s="135">
        <v>1.73</v>
      </c>
      <c r="E423" s="117">
        <v>71</v>
      </c>
      <c r="F423" s="136">
        <f t="shared" si="95"/>
        <v>23.7228106518761</v>
      </c>
      <c r="G423" s="114">
        <v>6</v>
      </c>
      <c r="H423" s="114"/>
      <c r="I423" s="210">
        <v>44776</v>
      </c>
      <c r="J423" s="210">
        <v>44782</v>
      </c>
      <c r="K423" s="114"/>
      <c r="L423" s="138">
        <v>1</v>
      </c>
      <c r="M423" s="138">
        <v>6</v>
      </c>
      <c r="N423" s="265" t="s">
        <v>1190</v>
      </c>
      <c r="O423" s="114"/>
      <c r="P423" s="116">
        <v>1</v>
      </c>
      <c r="Q423" s="114"/>
      <c r="R423" s="114"/>
      <c r="S423" s="114"/>
      <c r="T423" s="114">
        <v>1</v>
      </c>
      <c r="U423" s="114">
        <v>0</v>
      </c>
      <c r="V423" s="114">
        <v>1</v>
      </c>
      <c r="W423" s="114">
        <v>0</v>
      </c>
      <c r="X423" s="114">
        <v>1</v>
      </c>
      <c r="Y423" s="114">
        <v>1</v>
      </c>
      <c r="Z423" s="116" t="s">
        <v>300</v>
      </c>
      <c r="AA423" s="114">
        <v>2</v>
      </c>
      <c r="AB423" s="114">
        <f t="shared" si="96"/>
        <v>1</v>
      </c>
      <c r="AC423" s="114">
        <f t="shared" si="97"/>
        <v>2</v>
      </c>
      <c r="AD423" s="114">
        <v>2</v>
      </c>
      <c r="AE423" s="114">
        <f>Y423+AA423+AB423+AC423+AD423</f>
        <v>8</v>
      </c>
      <c r="AF423" s="116" t="s">
        <v>63</v>
      </c>
      <c r="AG423" s="114">
        <f>AT423/17.1</f>
        <v>1.91228070175439</v>
      </c>
      <c r="AH423" s="114">
        <f>AU423/88.4</f>
        <v>0.622171945701357</v>
      </c>
      <c r="AI423" s="114">
        <f>AR423</f>
        <v>1.7</v>
      </c>
      <c r="AJ423" s="159">
        <f t="shared" si="98"/>
        <v>8.40656354659576</v>
      </c>
      <c r="AK423" s="160">
        <f t="shared" si="99"/>
        <v>8.40656354659576</v>
      </c>
      <c r="AL423" s="160">
        <f t="shared" si="100"/>
        <v>8.40656354659576</v>
      </c>
      <c r="AM423" s="160">
        <f t="shared" si="101"/>
        <v>135</v>
      </c>
      <c r="AN423" s="114">
        <v>0</v>
      </c>
      <c r="AO423" s="114">
        <f>_xlfn.IFS(AJ423&lt;15,1,AJ423=15-18,2,AJ423&gt;18,3)</f>
        <v>1</v>
      </c>
      <c r="AP423" s="114">
        <v>2.81</v>
      </c>
      <c r="AQ423" s="114">
        <v>66</v>
      </c>
      <c r="AR423" s="114">
        <v>1.7</v>
      </c>
      <c r="AS423" s="160">
        <v>30</v>
      </c>
      <c r="AT423" s="161">
        <v>32.7</v>
      </c>
      <c r="AU423" s="114">
        <v>55</v>
      </c>
      <c r="AV423" s="114">
        <v>138</v>
      </c>
      <c r="AZ423" s="119" t="s">
        <v>58</v>
      </c>
    </row>
    <row r="424" spans="1:52">
      <c r="A424" s="117" t="s">
        <v>732</v>
      </c>
      <c r="B424" s="119" t="s">
        <v>48</v>
      </c>
      <c r="C424" s="117">
        <v>70</v>
      </c>
      <c r="D424" s="135">
        <v>1.85</v>
      </c>
      <c r="E424" s="117">
        <v>90</v>
      </c>
      <c r="F424" s="136">
        <f t="shared" si="95"/>
        <v>26.2965668371074</v>
      </c>
      <c r="G424" s="114">
        <v>6</v>
      </c>
      <c r="H424" s="114"/>
      <c r="I424" s="210">
        <v>44777</v>
      </c>
      <c r="J424" s="210">
        <v>44782</v>
      </c>
      <c r="K424" s="114"/>
      <c r="L424" s="138">
        <v>2</v>
      </c>
      <c r="M424" s="138">
        <v>5</v>
      </c>
      <c r="N424" s="265" t="s">
        <v>1191</v>
      </c>
      <c r="O424" s="114">
        <v>1</v>
      </c>
      <c r="P424" s="114">
        <v>1</v>
      </c>
      <c r="Q424" s="114"/>
      <c r="R424" s="114"/>
      <c r="S424" s="114"/>
      <c r="T424" s="114">
        <v>0</v>
      </c>
      <c r="U424" s="114">
        <v>0</v>
      </c>
      <c r="V424" s="114">
        <v>1</v>
      </c>
      <c r="W424" s="114">
        <v>0</v>
      </c>
      <c r="X424" s="114">
        <v>1</v>
      </c>
      <c r="Y424" s="114">
        <v>1</v>
      </c>
      <c r="Z424" s="116" t="s">
        <v>58</v>
      </c>
      <c r="AA424" s="114">
        <v>1</v>
      </c>
      <c r="AB424" s="114">
        <f t="shared" si="96"/>
        <v>1</v>
      </c>
      <c r="AC424" s="114">
        <f t="shared" si="97"/>
        <v>1</v>
      </c>
      <c r="AD424" s="114">
        <f>_xlfn.IFS(AR424&gt;2.3,3,AR424&gt;=1.7,2,AR424&lt;1.7,1)</f>
        <v>1</v>
      </c>
      <c r="AE424" s="114">
        <f>Y424+AA424+AB424+AC424+AD424</f>
        <v>5</v>
      </c>
      <c r="AF424" s="116" t="s">
        <v>59</v>
      </c>
      <c r="AG424" s="114">
        <f>AT424/17.1</f>
        <v>0.56140350877193</v>
      </c>
      <c r="AH424" s="114">
        <f>AU424/88.4</f>
        <v>0.82579185520362</v>
      </c>
      <c r="AI424" s="114">
        <f>AR424</f>
        <v>1.2</v>
      </c>
      <c r="AJ424" s="159">
        <f t="shared" si="98"/>
        <v>2.04200143609229</v>
      </c>
      <c r="AK424" s="160">
        <f t="shared" si="99"/>
        <v>2.04200143609229</v>
      </c>
      <c r="AL424" s="160">
        <f t="shared" si="100"/>
        <v>2.04200143609229</v>
      </c>
      <c r="AM424" s="160">
        <f t="shared" si="101"/>
        <v>135</v>
      </c>
      <c r="AN424" s="114">
        <v>0</v>
      </c>
      <c r="AO424" s="114">
        <f>_xlfn.IFS(AJ424&lt;15,1,AJ424=15-18,2,AJ424&gt;18,3)</f>
        <v>1</v>
      </c>
      <c r="AP424" s="114">
        <v>3.24</v>
      </c>
      <c r="AQ424" s="114">
        <v>94</v>
      </c>
      <c r="AR424" s="114">
        <v>1.2</v>
      </c>
      <c r="AS424" s="160">
        <v>37</v>
      </c>
      <c r="AT424" s="161">
        <v>9.6</v>
      </c>
      <c r="AU424" s="114">
        <v>73</v>
      </c>
      <c r="AV424" s="114">
        <v>145</v>
      </c>
      <c r="AZ424" s="119" t="s">
        <v>1192</v>
      </c>
    </row>
    <row r="425" spans="1:52">
      <c r="A425" s="117" t="s">
        <v>1193</v>
      </c>
      <c r="B425" s="119" t="s">
        <v>53</v>
      </c>
      <c r="C425" s="117">
        <v>62</v>
      </c>
      <c r="D425" s="135">
        <v>1.56</v>
      </c>
      <c r="E425" s="117">
        <v>90</v>
      </c>
      <c r="F425" s="136">
        <f>E425/(D425*D425)</f>
        <v>36.9822485207101</v>
      </c>
      <c r="G425" s="114">
        <v>2</v>
      </c>
      <c r="H425" s="114"/>
      <c r="I425" s="210">
        <v>44771</v>
      </c>
      <c r="J425" s="210">
        <v>44779</v>
      </c>
      <c r="K425" s="114"/>
      <c r="L425" s="138">
        <v>1</v>
      </c>
      <c r="M425" s="138">
        <v>8</v>
      </c>
      <c r="N425" s="265" t="s">
        <v>1194</v>
      </c>
      <c r="O425" s="114"/>
      <c r="P425" s="114"/>
      <c r="Q425" s="114">
        <v>1</v>
      </c>
      <c r="R425" s="114">
        <v>1</v>
      </c>
      <c r="S425" s="114"/>
      <c r="T425" s="114">
        <v>0</v>
      </c>
      <c r="U425" s="114">
        <v>0</v>
      </c>
      <c r="V425" s="114">
        <v>0</v>
      </c>
      <c r="W425" s="114">
        <v>0</v>
      </c>
      <c r="X425" s="114">
        <v>1</v>
      </c>
      <c r="Y425" s="114">
        <v>1</v>
      </c>
      <c r="Z425" s="116" t="s">
        <v>58</v>
      </c>
      <c r="AA425" s="114">
        <v>1</v>
      </c>
      <c r="AB425" s="114">
        <f>_xlfn.IFS(AT425&gt;51,3,AT425&gt;=34,2,AT425&lt;34,1)</f>
        <v>1</v>
      </c>
      <c r="AC425" s="114">
        <f>_xlfn.IFS(AS425&gt;35,1,AS425&gt;=28,2,AS425&lt;28,3)</f>
        <v>2</v>
      </c>
      <c r="AD425" s="114">
        <f>_xlfn.IFS(AR425&gt;2.3,3,AR425&gt;=1.7,2,AR425&lt;1.7,1)</f>
        <v>1</v>
      </c>
      <c r="AE425" s="114">
        <f>Y425+AA425+AB425+AC425+AD425</f>
        <v>6</v>
      </c>
      <c r="AF425" s="116" t="s">
        <v>59</v>
      </c>
      <c r="AG425" s="114">
        <f>AT425/17.1</f>
        <v>1.01169590643275</v>
      </c>
      <c r="AH425" s="114">
        <f>AU425/88.4</f>
        <v>0.429864253393665</v>
      </c>
      <c r="AI425" s="114">
        <f>AR425</f>
        <v>1</v>
      </c>
      <c r="AJ425" s="159">
        <f>LN(IF(AG425&gt;=1,AG425,1))*3.8+LN(IF(AH425&gt;=1,AH425,1))*9.6+11.2*LN(IF(AI425&gt;=1,AI425,1))+6.4*AN425</f>
        <v>0.0441865443814522</v>
      </c>
      <c r="AK425" s="160">
        <f>IF(AND(AG425&gt;0,AH425&gt;0,AI425&gt;0),AJ425,"")</f>
        <v>0.0441865443814522</v>
      </c>
      <c r="AL425" s="160">
        <f>AK425+1.59*(135-AM425)</f>
        <v>0.0441865443814522</v>
      </c>
      <c r="AM425" s="160">
        <f>IF(AV425&gt;135,135,IF(AV425&lt;120,120,AV425))</f>
        <v>135</v>
      </c>
      <c r="AN425" s="114">
        <v>0</v>
      </c>
      <c r="AO425" s="114">
        <f>_xlfn.IFS(AJ425&lt;15,1,AJ425=15-18,2,AJ425&gt;18,3)</f>
        <v>1</v>
      </c>
      <c r="AP425" s="114">
        <v>4.53</v>
      </c>
      <c r="AQ425" s="114">
        <v>114</v>
      </c>
      <c r="AR425" s="114">
        <v>1</v>
      </c>
      <c r="AS425" s="160">
        <v>29</v>
      </c>
      <c r="AT425" s="161">
        <v>17.3</v>
      </c>
      <c r="AU425" s="114">
        <v>38</v>
      </c>
      <c r="AV425" s="114">
        <v>141</v>
      </c>
      <c r="AZ425" s="119" t="s">
        <v>1195</v>
      </c>
    </row>
    <row r="426" s="125" customFormat="1" spans="1:52">
      <c r="A426" s="125" t="s">
        <v>564</v>
      </c>
      <c r="B426" s="131" t="s">
        <v>53</v>
      </c>
      <c r="C426" s="125">
        <v>65</v>
      </c>
      <c r="D426" s="185">
        <v>1.55</v>
      </c>
      <c r="E426" s="125">
        <v>64</v>
      </c>
      <c r="F426" s="216">
        <f>E426/(D426*D426)</f>
        <v>26.6389177939646</v>
      </c>
      <c r="G426" s="125">
        <v>1</v>
      </c>
      <c r="I426" s="186">
        <v>44764</v>
      </c>
      <c r="J426" s="186">
        <v>44781</v>
      </c>
      <c r="L426" s="187">
        <v>3</v>
      </c>
      <c r="M426" s="187">
        <v>17</v>
      </c>
      <c r="N426" s="248" t="s">
        <v>1196</v>
      </c>
      <c r="O426" s="125">
        <v>1</v>
      </c>
      <c r="T426" s="125">
        <v>0</v>
      </c>
      <c r="U426" s="125">
        <v>0</v>
      </c>
      <c r="V426" s="125">
        <v>1</v>
      </c>
      <c r="W426" s="125">
        <v>0</v>
      </c>
      <c r="X426" s="125">
        <v>1</v>
      </c>
      <c r="Y426" s="125">
        <v>1</v>
      </c>
      <c r="Z426" s="131" t="s">
        <v>58</v>
      </c>
      <c r="AA426" s="125">
        <v>1</v>
      </c>
      <c r="AB426" s="125">
        <f>_xlfn.IFS(AT426&gt;51,3,AT426&gt;=34,2,AT426&lt;34,1)</f>
        <v>1</v>
      </c>
      <c r="AC426" s="125">
        <f>_xlfn.IFS(AS426&gt;35,1,AS426&gt;=28,2,AS426&lt;28,3)</f>
        <v>2</v>
      </c>
      <c r="AD426" s="125">
        <f>_xlfn.IFS(AR426&gt;2.3,3,AR426&gt;=1.7,2,AR426&lt;1.7,1)</f>
        <v>1</v>
      </c>
      <c r="AE426" s="125">
        <f>Y426+AA426+AB426+AC426+AD426</f>
        <v>6</v>
      </c>
      <c r="AF426" s="131" t="s">
        <v>59</v>
      </c>
      <c r="AG426" s="125">
        <f>AT426/17.1</f>
        <v>0.608187134502924</v>
      </c>
      <c r="AH426" s="125">
        <f>AU426/88.4</f>
        <v>0.395927601809955</v>
      </c>
      <c r="AI426" s="125">
        <f>AR426</f>
        <v>1.23</v>
      </c>
      <c r="AJ426" s="240">
        <f>LN(IF(AG426&gt;=1,AG426,1))*3.8+LN(IF(AH426&gt;=1,AH426,1))*9.6+11.2*LN(IF(AI426&gt;=1,AI426,1))+6.4*AN426</f>
        <v>8.71855869710445</v>
      </c>
      <c r="AK426" s="241">
        <f>IF(AND(AG426&gt;0,AH426&gt;0,AI426&gt;0),AJ426,"")</f>
        <v>8.71855869710445</v>
      </c>
      <c r="AL426" s="241">
        <f>AK426+1.59*(135-AM426)</f>
        <v>15.0785586971045</v>
      </c>
      <c r="AM426" s="241">
        <f>IF(AV426&gt;135,135,IF(AV426&lt;120,120,AV426))</f>
        <v>131</v>
      </c>
      <c r="AN426" s="125">
        <v>1</v>
      </c>
      <c r="AO426" s="125">
        <f>_xlfn.IFS(AJ426&lt;15,1,AJ426=15-18,2,AJ426&gt;18,3)</f>
        <v>1</v>
      </c>
      <c r="AP426" s="125">
        <v>3.62</v>
      </c>
      <c r="AQ426" s="125">
        <v>76</v>
      </c>
      <c r="AR426" s="125">
        <v>1.23</v>
      </c>
      <c r="AS426" s="241">
        <v>32</v>
      </c>
      <c r="AT426" s="242">
        <v>10.4</v>
      </c>
      <c r="AU426" s="125">
        <v>35</v>
      </c>
      <c r="AV426" s="125">
        <v>131</v>
      </c>
      <c r="AZ426" s="131" t="s">
        <v>1197</v>
      </c>
    </row>
    <row r="427" s="125" customFormat="1" spans="1:52">
      <c r="A427" s="125" t="s">
        <v>1001</v>
      </c>
      <c r="B427" s="131" t="s">
        <v>48</v>
      </c>
      <c r="C427" s="125">
        <v>58</v>
      </c>
      <c r="D427" s="185">
        <v>1.75</v>
      </c>
      <c r="E427" s="125">
        <v>85</v>
      </c>
      <c r="F427" s="216">
        <f>E427/(D427*D427)</f>
        <v>27.7551020408163</v>
      </c>
      <c r="G427" s="125">
        <v>6</v>
      </c>
      <c r="I427" s="186">
        <v>44767</v>
      </c>
      <c r="J427" s="186">
        <v>44779</v>
      </c>
      <c r="L427" s="187">
        <v>2</v>
      </c>
      <c r="M427" s="187">
        <v>8</v>
      </c>
      <c r="N427" s="248" t="s">
        <v>1198</v>
      </c>
      <c r="O427" s="114"/>
      <c r="P427" s="114"/>
      <c r="Q427" s="114"/>
      <c r="R427" s="114"/>
      <c r="S427" s="114"/>
      <c r="T427" s="114">
        <v>1</v>
      </c>
      <c r="U427" s="114">
        <v>0</v>
      </c>
      <c r="V427" s="114">
        <v>1</v>
      </c>
      <c r="W427" s="114">
        <v>0</v>
      </c>
      <c r="X427" s="114">
        <v>1</v>
      </c>
      <c r="Y427" s="114">
        <v>1</v>
      </c>
      <c r="Z427" s="116" t="s">
        <v>300</v>
      </c>
      <c r="AA427" s="114">
        <v>2</v>
      </c>
      <c r="AB427" s="114">
        <f>_xlfn.IFS(AT427&gt;51,3,AT427&gt;=34,2,AT427&lt;34,1)</f>
        <v>1</v>
      </c>
      <c r="AC427" s="114">
        <f>_xlfn.IFS(AS427&gt;35,1,AS427&gt;=28,2,AS427&lt;28,3)</f>
        <v>2</v>
      </c>
      <c r="AD427" s="114">
        <f>_xlfn.IFS(AR427&gt;2.3,3,AR427&gt;=1.7,2,AR427&lt;1.7,1)</f>
        <v>1</v>
      </c>
      <c r="AE427" s="114">
        <f>Y427+AA427+AB427+AC427+AD427</f>
        <v>7</v>
      </c>
      <c r="AF427" s="116" t="s">
        <v>63</v>
      </c>
      <c r="AG427" s="114">
        <f>AT427/17.1</f>
        <v>1.82456140350877</v>
      </c>
      <c r="AH427" s="114">
        <f>AU427/88.4</f>
        <v>0.463800904977376</v>
      </c>
      <c r="AI427" s="114">
        <f>AR427</f>
        <v>1.51</v>
      </c>
      <c r="AJ427" s="159">
        <f>LN(IF(AG427&gt;=1,AG427,1))*3.8+LN(IF(AH427&gt;=1,AH427,1))*9.6+11.2*LN(IF(AI427&gt;=1,AI427,1))+6.4*AN427</f>
        <v>13.3007186882265</v>
      </c>
      <c r="AK427" s="160">
        <f>IF(AND(AG427&gt;0,AH427&gt;0,AI427&gt;0),AJ427,"")</f>
        <v>13.3007186882265</v>
      </c>
      <c r="AL427" s="160">
        <f>AK427+1.59*(135-AM427)</f>
        <v>13.3007186882265</v>
      </c>
      <c r="AM427" s="160">
        <f>IF(AV427&gt;135,135,IF(AV427&lt;120,120,AV427))</f>
        <v>135</v>
      </c>
      <c r="AN427" s="114">
        <v>1</v>
      </c>
      <c r="AO427" s="114">
        <f>_xlfn.IFS(AJ427&lt;15,1,AJ427=15-18,2,AJ427&gt;18,3)</f>
        <v>1</v>
      </c>
      <c r="AP427" s="114">
        <v>3.93</v>
      </c>
      <c r="AQ427" s="114">
        <v>107</v>
      </c>
      <c r="AR427" s="114">
        <v>1.51</v>
      </c>
      <c r="AS427" s="160">
        <v>29</v>
      </c>
      <c r="AT427" s="161">
        <v>31.2</v>
      </c>
      <c r="AU427" s="114">
        <v>41</v>
      </c>
      <c r="AV427" s="114">
        <v>139</v>
      </c>
      <c r="AZ427" s="131" t="s">
        <v>58</v>
      </c>
    </row>
    <row r="428" s="123" customFormat="1" spans="1:52">
      <c r="A428" s="123" t="s">
        <v>1199</v>
      </c>
      <c r="B428" s="132" t="s">
        <v>53</v>
      </c>
      <c r="C428" s="123">
        <v>77</v>
      </c>
      <c r="D428" s="176">
        <v>1.58</v>
      </c>
      <c r="E428" s="123">
        <v>52</v>
      </c>
      <c r="F428" s="189">
        <f>E428/(D428*D428)</f>
        <v>20.829995193078</v>
      </c>
      <c r="G428" s="123">
        <v>3</v>
      </c>
      <c r="I428" s="177">
        <v>44765</v>
      </c>
      <c r="J428" s="177">
        <v>44779</v>
      </c>
      <c r="L428" s="178">
        <v>1</v>
      </c>
      <c r="M428" s="178">
        <v>14</v>
      </c>
      <c r="N428" s="254" t="s">
        <v>1200</v>
      </c>
      <c r="O428" s="114"/>
      <c r="P428" s="114"/>
      <c r="Q428" s="114">
        <v>1</v>
      </c>
      <c r="R428" s="114">
        <v>1</v>
      </c>
      <c r="S428" s="114"/>
      <c r="T428" s="114">
        <v>1</v>
      </c>
      <c r="U428" s="114">
        <v>0</v>
      </c>
      <c r="V428" s="114">
        <v>1</v>
      </c>
      <c r="W428" s="114">
        <v>0</v>
      </c>
      <c r="X428" s="114">
        <v>1</v>
      </c>
      <c r="Y428" s="114">
        <v>1</v>
      </c>
      <c r="Z428" s="116" t="s">
        <v>300</v>
      </c>
      <c r="AA428" s="114">
        <v>2</v>
      </c>
      <c r="AB428" s="114">
        <f>_xlfn.IFS(AT428&gt;51,3,AT428&gt;=34,2,AT428&lt;34,1)</f>
        <v>3</v>
      </c>
      <c r="AC428" s="114">
        <f>_xlfn.IFS(AS428&gt;35,1,AS428&gt;=28,2,AS428&lt;28,3)</f>
        <v>3</v>
      </c>
      <c r="AD428" s="114">
        <f>_xlfn.IFS(AR428&gt;2.3,3,AR428&gt;=1.7,2,AR428&lt;1.7,1)</f>
        <v>1</v>
      </c>
      <c r="AE428" s="114">
        <f>Y428+AA428+AB428+AC428+AD428</f>
        <v>10</v>
      </c>
      <c r="AF428" s="116" t="s">
        <v>50</v>
      </c>
      <c r="AG428" s="114">
        <f>AT428/17.1</f>
        <v>8.75438596491228</v>
      </c>
      <c r="AH428" s="114">
        <f>AU428/88.4</f>
        <v>0.656108597285068</v>
      </c>
      <c r="AI428" s="114">
        <f>AR428</f>
        <v>1.12</v>
      </c>
      <c r="AJ428" s="159">
        <f>LN(IF(AG428&gt;=1,AG428,1))*3.8+LN(IF(AH428&gt;=1,AH428,1))*9.6+11.2*LN(IF(AI428&gt;=1,AI428,1))+6.4*AN428</f>
        <v>9.51358962152291</v>
      </c>
      <c r="AK428" s="160">
        <f>IF(AND(AG428&gt;0,AH428&gt;0,AI428&gt;0),AJ428,"")</f>
        <v>9.51358962152291</v>
      </c>
      <c r="AL428" s="160">
        <f>AK428+1.59*(135-AM428)</f>
        <v>12.6935896215229</v>
      </c>
      <c r="AM428" s="160">
        <f>IF(AV428&gt;135,135,IF(AV428&lt;120,120,AV428))</f>
        <v>133</v>
      </c>
      <c r="AN428" s="114">
        <v>0</v>
      </c>
      <c r="AO428" s="114">
        <v>1</v>
      </c>
      <c r="AP428" s="114">
        <v>4.11</v>
      </c>
      <c r="AQ428" s="114">
        <v>105</v>
      </c>
      <c r="AR428" s="114">
        <v>1.12</v>
      </c>
      <c r="AS428" s="160">
        <v>24</v>
      </c>
      <c r="AT428" s="161">
        <v>149.7</v>
      </c>
      <c r="AU428" s="114">
        <v>58</v>
      </c>
      <c r="AV428" s="114">
        <v>133</v>
      </c>
      <c r="AZ428" s="132" t="s">
        <v>1201</v>
      </c>
    </row>
    <row r="429" spans="1:52">
      <c r="A429" s="117" t="s">
        <v>1202</v>
      </c>
      <c r="B429" s="119" t="s">
        <v>48</v>
      </c>
      <c r="C429" s="117">
        <v>68</v>
      </c>
      <c r="D429" s="135">
        <v>1.76</v>
      </c>
      <c r="E429" s="117">
        <v>73</v>
      </c>
      <c r="F429" s="136">
        <f>E429/(D429*D429)</f>
        <v>23.566632231405</v>
      </c>
      <c r="G429" s="114">
        <v>0</v>
      </c>
      <c r="H429" s="114"/>
      <c r="I429" s="210">
        <v>44764</v>
      </c>
      <c r="J429" s="210">
        <v>44778</v>
      </c>
      <c r="K429" s="114"/>
      <c r="L429" s="138">
        <v>1</v>
      </c>
      <c r="M429" s="138">
        <v>14</v>
      </c>
      <c r="N429" s="265" t="s">
        <v>1203</v>
      </c>
      <c r="O429" s="114">
        <v>1</v>
      </c>
      <c r="P429" s="114"/>
      <c r="Q429" s="114"/>
      <c r="R429" s="114"/>
      <c r="S429" s="114"/>
      <c r="T429" s="114">
        <v>0</v>
      </c>
      <c r="U429" s="114">
        <v>0</v>
      </c>
      <c r="V429" s="114">
        <v>0</v>
      </c>
      <c r="W429" s="114">
        <v>0</v>
      </c>
      <c r="X429" s="114">
        <v>0</v>
      </c>
      <c r="Y429" s="114">
        <v>1</v>
      </c>
      <c r="Z429" s="116" t="s">
        <v>58</v>
      </c>
      <c r="AA429" s="114">
        <v>1</v>
      </c>
      <c r="AB429" s="114">
        <f>_xlfn.IFS(AT429&gt;51,3,AT429&gt;=34,2,AT429&lt;34,1)</f>
        <v>1</v>
      </c>
      <c r="AC429" s="114">
        <f>_xlfn.IFS(AS429&gt;35,1,AS429&gt;=28,2,AS429&lt;28,3)</f>
        <v>1</v>
      </c>
      <c r="AD429" s="114">
        <f>_xlfn.IFS(AR429&gt;2.3,3,AR429&gt;=1.7,2,AR429&lt;1.7,1)</f>
        <v>3</v>
      </c>
      <c r="AE429" s="114">
        <f>Y429+AA429+AB429+AC429+AD429</f>
        <v>7</v>
      </c>
      <c r="AF429" s="116" t="s">
        <v>63</v>
      </c>
      <c r="AG429" s="114">
        <f>AT429/17.1</f>
        <v>0.789473684210526</v>
      </c>
      <c r="AH429" s="114">
        <f>AU429/88.4</f>
        <v>0.644796380090498</v>
      </c>
      <c r="AI429" s="114">
        <f>AR429</f>
        <v>2.37</v>
      </c>
      <c r="AJ429" s="159">
        <f>LN(IF(AG429&gt;=1,AG429,1))*3.8+LN(IF(AH429&gt;=1,AH429,1))*9.6+11.2*LN(IF(AI429&gt;=1,AI429,1))+6.4*AN429</f>
        <v>16.0643674976468</v>
      </c>
      <c r="AK429" s="160">
        <f>IF(AND(AG429&gt;0,AH429&gt;0,AI429&gt;0),AJ429,"")</f>
        <v>16.0643674976468</v>
      </c>
      <c r="AL429" s="160">
        <f>AK429+1.59*(135-AM429)</f>
        <v>16.0643674976468</v>
      </c>
      <c r="AM429" s="160">
        <f>IF(AV429&gt;135,135,IF(AV429&lt;120,120,AV429))</f>
        <v>135</v>
      </c>
      <c r="AN429" s="114">
        <v>1</v>
      </c>
      <c r="AO429" s="114">
        <v>2</v>
      </c>
      <c r="AP429" s="114">
        <v>3.37</v>
      </c>
      <c r="AQ429" s="114">
        <v>95</v>
      </c>
      <c r="AR429" s="114">
        <v>2.37</v>
      </c>
      <c r="AS429" s="160">
        <v>37</v>
      </c>
      <c r="AT429" s="161">
        <v>13.5</v>
      </c>
      <c r="AU429" s="114">
        <v>57</v>
      </c>
      <c r="AV429" s="114">
        <v>140</v>
      </c>
      <c r="AZ429" s="119" t="s">
        <v>1204</v>
      </c>
    </row>
    <row r="430" s="125" customFormat="1" spans="1:52">
      <c r="A430" s="125" t="s">
        <v>1205</v>
      </c>
      <c r="B430" s="131" t="s">
        <v>48</v>
      </c>
      <c r="C430" s="125">
        <v>74</v>
      </c>
      <c r="D430" s="185">
        <v>1.71</v>
      </c>
      <c r="E430" s="125">
        <v>70</v>
      </c>
      <c r="F430" s="216">
        <f>E430/(D430*D430)</f>
        <v>23.9389897746315</v>
      </c>
      <c r="G430" s="125">
        <v>6</v>
      </c>
      <c r="I430" s="186">
        <v>44751</v>
      </c>
      <c r="J430" s="186">
        <v>44782</v>
      </c>
      <c r="L430" s="187">
        <v>1</v>
      </c>
      <c r="M430" s="187">
        <v>31</v>
      </c>
      <c r="N430" s="248" t="s">
        <v>1206</v>
      </c>
      <c r="O430" s="114"/>
      <c r="P430" s="114"/>
      <c r="Q430" s="114"/>
      <c r="R430" s="114"/>
      <c r="S430" s="114">
        <v>1</v>
      </c>
      <c r="T430" s="114">
        <v>1</v>
      </c>
      <c r="U430" s="114">
        <v>0</v>
      </c>
      <c r="V430" s="114">
        <v>1</v>
      </c>
      <c r="W430" s="114">
        <v>0</v>
      </c>
      <c r="X430" s="114">
        <v>1</v>
      </c>
      <c r="Y430" s="114">
        <v>1</v>
      </c>
      <c r="Z430" s="116" t="s">
        <v>321</v>
      </c>
      <c r="AA430" s="114">
        <v>3</v>
      </c>
      <c r="AB430" s="114">
        <f>_xlfn.IFS(AT430&gt;51,3,AT430&gt;=34,2,AT430&lt;34,1)</f>
        <v>1</v>
      </c>
      <c r="AC430" s="114">
        <f>_xlfn.IFS(AS430&gt;35,1,AS430&gt;=28,2,AS430&lt;28,3)</f>
        <v>3</v>
      </c>
      <c r="AD430" s="114">
        <f>_xlfn.IFS(AR430&gt;2.3,3,AR430&gt;=1.7,2,AR430&lt;1.7,1)</f>
        <v>1</v>
      </c>
      <c r="AE430" s="114">
        <f>Y430+AA430+AB430+AC430+AD430</f>
        <v>9</v>
      </c>
      <c r="AF430" s="116" t="s">
        <v>63</v>
      </c>
      <c r="AG430" s="114">
        <f>AT430/17.1</f>
        <v>0.929824561403509</v>
      </c>
      <c r="AH430" s="114">
        <f>AU430/88.4</f>
        <v>0.8710407239819</v>
      </c>
      <c r="AI430" s="114">
        <f>AR430</f>
        <v>1.06</v>
      </c>
      <c r="AJ430" s="159">
        <f>LN(IF(AG430&gt;=1,AG430,1))*3.8+LN(IF(AH430&gt;=1,AH430,1))*9.6+11.2*LN(IF(AI430&gt;=1,AI430,1))+6.4*AN430</f>
        <v>7.05261177098853</v>
      </c>
      <c r="AK430" s="160">
        <f>IF(AND(AG430&gt;0,AH430&gt;0,AI430&gt;0),AJ430,"")</f>
        <v>7.05261177098853</v>
      </c>
      <c r="AL430" s="160">
        <f>AK430+1.59*(135-AM430)</f>
        <v>7.05261177098853</v>
      </c>
      <c r="AM430" s="160">
        <f>IF(AV430&gt;135,135,IF(AV430&lt;120,120,AV430))</f>
        <v>135</v>
      </c>
      <c r="AN430" s="114">
        <v>1</v>
      </c>
      <c r="AO430" s="114">
        <f>_xlfn.IFS(AJ430&lt;15,1,AJ430=15-18,2,AJ430&gt;18,3)</f>
        <v>1</v>
      </c>
      <c r="AP430" s="114">
        <v>8.07</v>
      </c>
      <c r="AQ430" s="114">
        <v>93</v>
      </c>
      <c r="AR430" s="114">
        <v>1.06</v>
      </c>
      <c r="AS430" s="160">
        <v>26</v>
      </c>
      <c r="AT430" s="161">
        <v>15.9</v>
      </c>
      <c r="AU430" s="114">
        <v>77</v>
      </c>
      <c r="AV430" s="114">
        <v>142</v>
      </c>
      <c r="AZ430" s="131" t="s">
        <v>1207</v>
      </c>
    </row>
    <row r="431" s="123" customFormat="1" spans="1:52">
      <c r="A431" s="123" t="s">
        <v>1208</v>
      </c>
      <c r="B431" s="132" t="s">
        <v>53</v>
      </c>
      <c r="C431" s="123">
        <v>77</v>
      </c>
      <c r="D431" s="176">
        <v>1.7</v>
      </c>
      <c r="E431" s="123">
        <v>80</v>
      </c>
      <c r="F431" s="189">
        <f>E431/(D431*D431)</f>
        <v>27.681660899654</v>
      </c>
      <c r="G431" s="123">
        <v>7</v>
      </c>
      <c r="I431" s="177">
        <v>44761</v>
      </c>
      <c r="J431" s="177">
        <v>44770</v>
      </c>
      <c r="L431" s="178">
        <v>1</v>
      </c>
      <c r="M431" s="178">
        <v>9</v>
      </c>
      <c r="N431" s="254" t="s">
        <v>1209</v>
      </c>
      <c r="O431" s="114"/>
      <c r="P431" s="114"/>
      <c r="Q431" s="114"/>
      <c r="R431" s="114"/>
      <c r="S431" s="114">
        <v>1</v>
      </c>
      <c r="T431" s="114">
        <v>1</v>
      </c>
      <c r="U431" s="114">
        <v>0</v>
      </c>
      <c r="V431" s="114">
        <v>0</v>
      </c>
      <c r="W431" s="114">
        <v>0</v>
      </c>
      <c r="X431" s="114">
        <v>1</v>
      </c>
      <c r="Y431" s="114">
        <v>1</v>
      </c>
      <c r="Z431" s="116" t="s">
        <v>300</v>
      </c>
      <c r="AA431" s="114">
        <v>2</v>
      </c>
      <c r="AB431" s="114">
        <f>_xlfn.IFS(AT431&gt;51,3,AT431&gt;=34,2,AT431&lt;34,1)</f>
        <v>1</v>
      </c>
      <c r="AC431" s="114">
        <f>_xlfn.IFS(AS431&gt;35,1,AS431&gt;=28,2,AS431&lt;28,3)</f>
        <v>2</v>
      </c>
      <c r="AD431" s="114">
        <f>_xlfn.IFS(AR431&gt;2.3,3,AR431&gt;=1.7,2,AR431&lt;1.7,1)</f>
        <v>1</v>
      </c>
      <c r="AE431" s="114">
        <f>Y431+AA431+AB431+AC431+AD431</f>
        <v>7</v>
      </c>
      <c r="AF431" s="116" t="s">
        <v>63</v>
      </c>
      <c r="AG431" s="114">
        <f>AT431/17.1</f>
        <v>0.83625730994152</v>
      </c>
      <c r="AH431" s="114">
        <f>AU431/88.4</f>
        <v>0.927601809954751</v>
      </c>
      <c r="AI431" s="114">
        <f>AR431</f>
        <v>1.18</v>
      </c>
      <c r="AJ431" s="159">
        <f>LN(IF(AG431&gt;=1,AG431,1))*3.8+LN(IF(AH431&gt;=1,AH431,1))*9.6+11.2*LN(IF(AI431&gt;=1,AI431,1))+6.4*AN431</f>
        <v>8.25376171094882</v>
      </c>
      <c r="AK431" s="160">
        <f>IF(AND(AG431&gt;0,AH431&gt;0,AI431&gt;0),AJ431,"")</f>
        <v>8.25376171094882</v>
      </c>
      <c r="AL431" s="160">
        <f>AK431+1.59*(135-AM431)</f>
        <v>8.25376171094882</v>
      </c>
      <c r="AM431" s="160">
        <f>IF(AV431&gt;135,135,IF(AV431&lt;120,120,AV431))</f>
        <v>135</v>
      </c>
      <c r="AN431" s="114">
        <v>1</v>
      </c>
      <c r="AO431" s="114">
        <f>_xlfn.IFS(AJ431&lt;15,1,AJ431=15-18,2,AJ431&gt;18,3)</f>
        <v>1</v>
      </c>
      <c r="AP431" s="114">
        <v>3.36</v>
      </c>
      <c r="AQ431" s="114">
        <v>99</v>
      </c>
      <c r="AR431" s="114">
        <v>1.18</v>
      </c>
      <c r="AS431" s="160">
        <v>30</v>
      </c>
      <c r="AT431" s="161">
        <v>14.3</v>
      </c>
      <c r="AU431" s="114">
        <v>82</v>
      </c>
      <c r="AV431" s="114">
        <v>141</v>
      </c>
      <c r="AZ431" s="132" t="s">
        <v>1210</v>
      </c>
    </row>
    <row r="432" s="125" customFormat="1" spans="1:52">
      <c r="A432" s="125" t="s">
        <v>1211</v>
      </c>
      <c r="B432" s="131" t="s">
        <v>48</v>
      </c>
      <c r="C432" s="125">
        <v>63</v>
      </c>
      <c r="D432" s="185">
        <v>1.59</v>
      </c>
      <c r="E432" s="125">
        <v>57</v>
      </c>
      <c r="F432" s="216">
        <f>E432/(D432*D432)</f>
        <v>22.5465764803607</v>
      </c>
      <c r="G432" s="125">
        <v>6</v>
      </c>
      <c r="H432" s="125"/>
      <c r="I432" s="186">
        <v>44763</v>
      </c>
      <c r="J432" s="186">
        <v>44772</v>
      </c>
      <c r="K432" s="125"/>
      <c r="L432" s="187">
        <v>2</v>
      </c>
      <c r="M432" s="187">
        <v>9</v>
      </c>
      <c r="N432" s="248" t="s">
        <v>1212</v>
      </c>
      <c r="O432" s="125"/>
      <c r="P432" s="125">
        <v>1</v>
      </c>
      <c r="Q432" s="125"/>
      <c r="R432" s="125"/>
      <c r="S432" s="125"/>
      <c r="T432" s="125">
        <v>1</v>
      </c>
      <c r="U432" s="125">
        <v>0</v>
      </c>
      <c r="V432" s="125">
        <v>1</v>
      </c>
      <c r="W432" s="125">
        <v>0</v>
      </c>
      <c r="X432" s="125">
        <v>1</v>
      </c>
      <c r="Y432" s="125">
        <v>1</v>
      </c>
      <c r="Z432" s="131" t="s">
        <v>321</v>
      </c>
      <c r="AA432" s="125">
        <v>3</v>
      </c>
      <c r="AB432" s="125">
        <f>_xlfn.IFS(AT432&gt;51,3,AT432&gt;=34,2,AT432&lt;34,1)</f>
        <v>1</v>
      </c>
      <c r="AC432" s="125">
        <f>_xlfn.IFS(AS432&gt;35,1,AS432&gt;=28,2,AS432&lt;28,3)</f>
        <v>3</v>
      </c>
      <c r="AD432" s="125">
        <f>_xlfn.IFS(AR432&gt;2.3,3,AR432&gt;=1.7,2,AR432&lt;1.7,1)</f>
        <v>1</v>
      </c>
      <c r="AE432" s="125">
        <f>Y432+AA432+AB432+AC432+AD432</f>
        <v>9</v>
      </c>
      <c r="AF432" s="131" t="s">
        <v>63</v>
      </c>
      <c r="AG432" s="125">
        <f>AT432/17.1</f>
        <v>0.976608187134503</v>
      </c>
      <c r="AH432" s="125">
        <f>AU432/88.4</f>
        <v>0.81447963800905</v>
      </c>
      <c r="AI432" s="125">
        <f>AR432</f>
        <v>1.13</v>
      </c>
      <c r="AJ432" s="240">
        <f t="shared" ref="AJ432:AJ441" si="102">LN(IF(AG432&gt;=1,AG432,1))*3.8+LN(IF(AH432&gt;=1,AH432,1))*9.6+11.2*LN(IF(AI432&gt;=1,AI432,1))+6.4*AN432</f>
        <v>1.36883748651159</v>
      </c>
      <c r="AK432" s="241">
        <f>IF(AND(AG432&gt;0,AH432&gt;0,AI432&gt;0),AJ432,"")</f>
        <v>1.36883748651159</v>
      </c>
      <c r="AL432" s="241">
        <f>AK432+1.59*(135-AM432)</f>
        <v>1.36883748651159</v>
      </c>
      <c r="AM432" s="241">
        <f>IF(AV432&gt;135,135,IF(AV432&lt;120,120,AV432))</f>
        <v>135</v>
      </c>
      <c r="AN432" s="125">
        <v>0</v>
      </c>
      <c r="AO432" s="125">
        <f>_xlfn.IFS(AJ432&lt;15,1,AJ432=15-18,2,AJ432&gt;18,3)</f>
        <v>1</v>
      </c>
      <c r="AP432" s="125">
        <v>3.01</v>
      </c>
      <c r="AQ432" s="125">
        <v>104</v>
      </c>
      <c r="AR432" s="125">
        <v>1.13</v>
      </c>
      <c r="AS432" s="241">
        <v>24</v>
      </c>
      <c r="AT432" s="242">
        <v>16.7</v>
      </c>
      <c r="AU432" s="125">
        <v>72</v>
      </c>
      <c r="AV432" s="125">
        <v>139</v>
      </c>
      <c r="AW432" s="125"/>
      <c r="AX432" s="125"/>
      <c r="AY432" s="125"/>
      <c r="AZ432" s="131" t="s">
        <v>1213</v>
      </c>
    </row>
    <row r="433" s="125" customFormat="1" spans="1:52">
      <c r="A433" s="125" t="s">
        <v>857</v>
      </c>
      <c r="B433" s="131" t="s">
        <v>48</v>
      </c>
      <c r="C433" s="125">
        <v>72</v>
      </c>
      <c r="D433" s="185">
        <v>1.72</v>
      </c>
      <c r="E433" s="125">
        <v>80</v>
      </c>
      <c r="F433" s="216">
        <f>E433/(D433*D433)</f>
        <v>27.0416441319632</v>
      </c>
      <c r="G433" s="125">
        <v>4</v>
      </c>
      <c r="I433" s="186">
        <v>44757</v>
      </c>
      <c r="J433" s="186">
        <v>44769</v>
      </c>
      <c r="L433" s="187">
        <v>4</v>
      </c>
      <c r="M433" s="187">
        <v>12</v>
      </c>
      <c r="N433" s="248" t="s">
        <v>1214</v>
      </c>
      <c r="O433" s="114"/>
      <c r="P433" s="114">
        <v>1</v>
      </c>
      <c r="Q433" s="114"/>
      <c r="R433" s="114"/>
      <c r="S433" s="114"/>
      <c r="T433" s="114">
        <v>1</v>
      </c>
      <c r="U433" s="114">
        <v>0</v>
      </c>
      <c r="V433" s="114">
        <v>0</v>
      </c>
      <c r="W433" s="114">
        <v>0</v>
      </c>
      <c r="X433" s="114">
        <v>1</v>
      </c>
      <c r="Y433" s="114">
        <v>1</v>
      </c>
      <c r="Z433" s="116" t="s">
        <v>300</v>
      </c>
      <c r="AA433" s="114">
        <v>2</v>
      </c>
      <c r="AB433" s="114">
        <f>_xlfn.IFS(AT433&gt;51,3,AT433&gt;=34,2,AT433&lt;34,1)</f>
        <v>2</v>
      </c>
      <c r="AC433" s="114">
        <f>_xlfn.IFS(AS433&gt;35,1,AS433&gt;=28,2,AS433&lt;28,3)</f>
        <v>3</v>
      </c>
      <c r="AD433" s="114">
        <f>_xlfn.IFS(AR433&gt;2.3,3,AR433&gt;=1.7,2,AR433&lt;1.7,1)</f>
        <v>1</v>
      </c>
      <c r="AE433" s="114">
        <f>Y433+AA433+AB433+AC433+AD433</f>
        <v>9</v>
      </c>
      <c r="AF433" s="116" t="s">
        <v>63</v>
      </c>
      <c r="AG433" s="114">
        <f>AT433/17.1</f>
        <v>2.5906432748538</v>
      </c>
      <c r="AH433" s="114">
        <f>AU433/88.4</f>
        <v>1.07466063348416</v>
      </c>
      <c r="AI433" s="114">
        <f>AR433</f>
        <v>1.44</v>
      </c>
      <c r="AJ433" s="159">
        <f t="shared" si="102"/>
        <v>8.39249373443264</v>
      </c>
      <c r="AK433" s="160">
        <f>IF(AND(AG433&gt;0,AH433&gt;0,AI433&gt;0),AJ433,"")</f>
        <v>8.39249373443264</v>
      </c>
      <c r="AL433" s="160">
        <f>AK433+1.59*(135-AM433)</f>
        <v>9.98249373443264</v>
      </c>
      <c r="AM433" s="160">
        <f>IF(AV433&gt;135,135,IF(AV433&lt;120,120,AV433))</f>
        <v>134</v>
      </c>
      <c r="AN433" s="114">
        <v>0</v>
      </c>
      <c r="AO433" s="114">
        <f>_xlfn.IFS(AJ433&lt;15,1,AJ433=15-18,2,AJ433&gt;18,3)</f>
        <v>1</v>
      </c>
      <c r="AP433" s="114">
        <v>5.82</v>
      </c>
      <c r="AQ433" s="114">
        <v>105</v>
      </c>
      <c r="AR433" s="114">
        <v>1.44</v>
      </c>
      <c r="AS433" s="160">
        <v>27</v>
      </c>
      <c r="AT433" s="161">
        <v>44.3</v>
      </c>
      <c r="AU433" s="114">
        <v>95</v>
      </c>
      <c r="AV433" s="114">
        <v>134</v>
      </c>
      <c r="AZ433" s="131" t="s">
        <v>1215</v>
      </c>
    </row>
    <row r="434" s="123" customFormat="1" spans="1:52">
      <c r="A434" s="123" t="s">
        <v>1216</v>
      </c>
      <c r="B434" s="132" t="s">
        <v>48</v>
      </c>
      <c r="C434" s="123">
        <v>35</v>
      </c>
      <c r="D434" s="176">
        <v>1.69</v>
      </c>
      <c r="E434" s="123">
        <v>90</v>
      </c>
      <c r="F434" s="189">
        <f>E434/(D434*D434)</f>
        <v>31.5115016981198</v>
      </c>
      <c r="G434" s="123">
        <v>0</v>
      </c>
      <c r="I434" s="177">
        <v>44757</v>
      </c>
      <c r="J434" s="177">
        <v>44765</v>
      </c>
      <c r="L434" s="178">
        <v>1</v>
      </c>
      <c r="M434" s="178">
        <v>8</v>
      </c>
      <c r="N434" s="254" t="s">
        <v>1217</v>
      </c>
      <c r="O434" s="114"/>
      <c r="P434" s="114"/>
      <c r="Q434" s="114"/>
      <c r="R434" s="114"/>
      <c r="S434" s="114">
        <v>1</v>
      </c>
      <c r="T434" s="114">
        <v>1</v>
      </c>
      <c r="U434" s="114">
        <v>0</v>
      </c>
      <c r="V434" s="114">
        <v>0</v>
      </c>
      <c r="W434" s="114">
        <v>0</v>
      </c>
      <c r="X434" s="114">
        <v>1</v>
      </c>
      <c r="Y434" s="114">
        <v>1</v>
      </c>
      <c r="Z434" s="116" t="s">
        <v>300</v>
      </c>
      <c r="AA434" s="114">
        <v>2</v>
      </c>
      <c r="AB434" s="114">
        <f>_xlfn.IFS(AT434&gt;51,3,AT434&gt;=34,2,AT434&lt;34,1)</f>
        <v>1</v>
      </c>
      <c r="AC434" s="114">
        <f>_xlfn.IFS(AS434&gt;35,1,AS434&gt;=28,2,AS434&lt;28,3)</f>
        <v>1</v>
      </c>
      <c r="AD434" s="114">
        <f>_xlfn.IFS(AR434&gt;2.3,3,AR434&gt;=1.7,2,AR434&lt;1.7,1)</f>
        <v>1</v>
      </c>
      <c r="AE434" s="114">
        <f>Y434+AA434+AB434+AC434+AD434</f>
        <v>6</v>
      </c>
      <c r="AF434" s="116" t="s">
        <v>59</v>
      </c>
      <c r="AG434" s="114">
        <f>AT434/17.1</f>
        <v>1.83625730994152</v>
      </c>
      <c r="AH434" s="114">
        <f>AU434/88.4</f>
        <v>0.950226244343891</v>
      </c>
      <c r="AI434" s="114">
        <f>AR434</f>
        <v>1.05</v>
      </c>
      <c r="AJ434" s="159">
        <f t="shared" si="102"/>
        <v>9.25582167043889</v>
      </c>
      <c r="AK434" s="160">
        <f>IF(AND(AG434&gt;0,AH434&gt;0,AI434&gt;0),AJ434,"")</f>
        <v>9.25582167043889</v>
      </c>
      <c r="AL434" s="160">
        <f>AK434+1.59*(135-AM434)</f>
        <v>9.25582167043889</v>
      </c>
      <c r="AM434" s="160">
        <f>IF(AV434&gt;135,135,IF(AV434&lt;120,120,AV434))</f>
        <v>135</v>
      </c>
      <c r="AN434" s="114">
        <v>1</v>
      </c>
      <c r="AO434" s="114">
        <f>_xlfn.IFS(AJ434&lt;15,1,AJ434=15-18,2,AJ434&gt;18,3)</f>
        <v>1</v>
      </c>
      <c r="AP434" s="114">
        <v>8.3</v>
      </c>
      <c r="AQ434" s="114">
        <v>119</v>
      </c>
      <c r="AR434" s="114">
        <v>1.05</v>
      </c>
      <c r="AS434" s="160">
        <v>41</v>
      </c>
      <c r="AT434" s="161">
        <v>31.4</v>
      </c>
      <c r="AU434" s="114">
        <v>84</v>
      </c>
      <c r="AV434" s="114">
        <v>142</v>
      </c>
      <c r="AZ434" s="132" t="s">
        <v>1218</v>
      </c>
    </row>
    <row r="435" spans="1:52">
      <c r="A435" s="117" t="s">
        <v>1219</v>
      </c>
      <c r="B435" s="119" t="s">
        <v>53</v>
      </c>
      <c r="C435" s="117">
        <v>71</v>
      </c>
      <c r="D435" s="135">
        <v>1.65</v>
      </c>
      <c r="E435" s="117">
        <v>60</v>
      </c>
      <c r="F435" s="136">
        <f>E435/(D435*D435)</f>
        <v>22.038567493113</v>
      </c>
      <c r="G435" s="114"/>
      <c r="H435" s="114"/>
      <c r="I435" s="210">
        <v>44756</v>
      </c>
      <c r="J435" s="210">
        <v>44764</v>
      </c>
      <c r="K435" s="114"/>
      <c r="L435" s="138">
        <v>1</v>
      </c>
      <c r="M435" s="138">
        <v>8</v>
      </c>
      <c r="N435" s="265" t="s">
        <v>1220</v>
      </c>
      <c r="O435" s="114"/>
      <c r="P435" s="114"/>
      <c r="Q435" s="114">
        <v>1</v>
      </c>
      <c r="R435" s="114">
        <v>1</v>
      </c>
      <c r="S435" s="114"/>
      <c r="T435" s="114">
        <v>1</v>
      </c>
      <c r="U435" s="114">
        <v>0</v>
      </c>
      <c r="V435" s="114">
        <v>0</v>
      </c>
      <c r="W435" s="114">
        <v>0</v>
      </c>
      <c r="X435" s="116">
        <v>1</v>
      </c>
      <c r="Y435" s="114">
        <v>1</v>
      </c>
      <c r="Z435" s="116" t="s">
        <v>300</v>
      </c>
      <c r="AA435" s="114">
        <v>2</v>
      </c>
      <c r="AB435" s="114">
        <f>_xlfn.IFS(AT435&gt;51,3,AT435&gt;=34,2,AT435&lt;34,1)</f>
        <v>1</v>
      </c>
      <c r="AC435" s="114">
        <f>_xlfn.IFS(AS435&gt;35,1,AS435&gt;=28,2,AS435&lt;28,3)</f>
        <v>1</v>
      </c>
      <c r="AD435" s="114">
        <f>_xlfn.IFS(AR435&gt;2.3,3,AR435&gt;=1.7,2,AR435&lt;1.7,1)</f>
        <v>1</v>
      </c>
      <c r="AE435" s="114">
        <f>Y435+AA435+AB435+AC435+AD435</f>
        <v>6</v>
      </c>
      <c r="AF435" s="116" t="s">
        <v>59</v>
      </c>
      <c r="AG435" s="114">
        <f>AT435/17.1</f>
        <v>0.906432748538012</v>
      </c>
      <c r="AH435" s="114">
        <f>AU435/88.4</f>
        <v>0.678733031674208</v>
      </c>
      <c r="AI435" s="114">
        <f>AR435</f>
        <v>1.08</v>
      </c>
      <c r="AJ435" s="159">
        <f t="shared" si="102"/>
        <v>0.861963660724638</v>
      </c>
      <c r="AK435" s="160">
        <f>IF(AND(AG435&gt;0,AH435&gt;0,AI435&gt;0),AJ435,"")</f>
        <v>0.861963660724638</v>
      </c>
      <c r="AL435" s="160">
        <f>AK435+1.59*(135-AM435)</f>
        <v>0.861963660724638</v>
      </c>
      <c r="AM435" s="160">
        <f>IF(AV435&gt;135,135,IF(AV435&lt;120,120,AV435))</f>
        <v>135</v>
      </c>
      <c r="AN435" s="114">
        <v>0</v>
      </c>
      <c r="AO435" s="116">
        <f>_xlfn.IFS(AJ435&lt;15,1,AJ435=15-18,2,AJ435&gt;18,3)</f>
        <v>1</v>
      </c>
      <c r="AP435" s="114">
        <v>3.89</v>
      </c>
      <c r="AQ435" s="114">
        <v>113</v>
      </c>
      <c r="AR435" s="114">
        <v>1.08</v>
      </c>
      <c r="AS435" s="160">
        <v>40</v>
      </c>
      <c r="AT435" s="161">
        <v>15.5</v>
      </c>
      <c r="AU435" s="114">
        <v>60</v>
      </c>
      <c r="AV435" s="114">
        <v>140</v>
      </c>
      <c r="AZ435" s="119" t="s">
        <v>1221</v>
      </c>
    </row>
    <row r="436" spans="1:52">
      <c r="A436" s="117" t="s">
        <v>1020</v>
      </c>
      <c r="B436" s="119" t="s">
        <v>53</v>
      </c>
      <c r="C436" s="117">
        <v>44</v>
      </c>
      <c r="D436" s="135">
        <v>1.6</v>
      </c>
      <c r="E436" s="117">
        <v>60</v>
      </c>
      <c r="F436" s="136">
        <f>E436/(D436*D436)</f>
        <v>23.4375</v>
      </c>
      <c r="G436" s="114">
        <v>3</v>
      </c>
      <c r="H436" s="114"/>
      <c r="I436" s="210">
        <v>44749</v>
      </c>
      <c r="J436" s="210">
        <v>44761</v>
      </c>
      <c r="K436" s="114"/>
      <c r="L436" s="138">
        <v>2</v>
      </c>
      <c r="M436" s="138">
        <v>12</v>
      </c>
      <c r="N436" s="265" t="s">
        <v>1222</v>
      </c>
      <c r="O436" s="114"/>
      <c r="P436" s="114"/>
      <c r="Q436" s="114"/>
      <c r="R436" s="114"/>
      <c r="S436" s="114">
        <v>1</v>
      </c>
      <c r="T436" s="114">
        <v>0</v>
      </c>
      <c r="U436" s="114">
        <v>0</v>
      </c>
      <c r="V436" s="114">
        <v>1</v>
      </c>
      <c r="W436" s="114">
        <v>0</v>
      </c>
      <c r="X436" s="114">
        <v>1</v>
      </c>
      <c r="Y436" s="114">
        <v>1</v>
      </c>
      <c r="Z436" s="116" t="s">
        <v>58</v>
      </c>
      <c r="AA436" s="114">
        <v>1</v>
      </c>
      <c r="AB436" s="114">
        <f>_xlfn.IFS(AT436&gt;51,3,AT436&gt;=34,2,AT436&lt;34,1)</f>
        <v>1</v>
      </c>
      <c r="AC436" s="114">
        <f>_xlfn.IFS(AS436&gt;35,1,AS436&gt;=28,2,AS436&lt;28,3)</f>
        <v>1</v>
      </c>
      <c r="AD436" s="114">
        <f>_xlfn.IFS(AR436&gt;2.3,3,AR436&gt;=1.7,2,AR436&lt;1.7,1)</f>
        <v>1</v>
      </c>
      <c r="AE436" s="114">
        <f>Y436+AA436+AB436+AC436+AD436</f>
        <v>5</v>
      </c>
      <c r="AF436" s="116" t="s">
        <v>59</v>
      </c>
      <c r="AG436" s="114">
        <f>AT436/17.1</f>
        <v>0.678362573099415</v>
      </c>
      <c r="AH436" s="114">
        <f>AU436/88.4</f>
        <v>0.441176470588235</v>
      </c>
      <c r="AI436" s="114">
        <f>AR436</f>
        <v>1.53</v>
      </c>
      <c r="AJ436" s="159">
        <f t="shared" si="102"/>
        <v>11.1629986365287</v>
      </c>
      <c r="AK436" s="160">
        <f>IF(AND(AG436&gt;0,AH436&gt;0,AI436&gt;0),AJ436,"")</f>
        <v>11.1629986365287</v>
      </c>
      <c r="AL436" s="160">
        <f>AK436+1.59*(135-AM436)</f>
        <v>11.1629986365287</v>
      </c>
      <c r="AM436" s="160">
        <f>IF(AV436&gt;135,135,IF(AV436&lt;120,120,AV436))</f>
        <v>135</v>
      </c>
      <c r="AN436" s="114">
        <v>1</v>
      </c>
      <c r="AO436" s="114">
        <f>_xlfn.IFS(AJ436&lt;15,1,AJ436=15-18,2,AJ436&gt;18,3)</f>
        <v>1</v>
      </c>
      <c r="AP436" s="114">
        <v>2.42</v>
      </c>
      <c r="AQ436" s="114">
        <v>68</v>
      </c>
      <c r="AR436" s="114">
        <v>1.53</v>
      </c>
      <c r="AS436" s="160">
        <v>44</v>
      </c>
      <c r="AT436" s="161">
        <v>11.6</v>
      </c>
      <c r="AU436" s="114">
        <v>39</v>
      </c>
      <c r="AV436" s="114">
        <v>143</v>
      </c>
      <c r="AZ436" s="119" t="s">
        <v>58</v>
      </c>
    </row>
    <row r="437" spans="1:52">
      <c r="A437" s="117" t="s">
        <v>1223</v>
      </c>
      <c r="B437" s="119" t="s">
        <v>53</v>
      </c>
      <c r="C437" s="117">
        <v>55</v>
      </c>
      <c r="D437" s="135">
        <v>1.59</v>
      </c>
      <c r="E437" s="117">
        <v>60</v>
      </c>
      <c r="F437" s="136">
        <f>E437/(D437*D437)</f>
        <v>23.7332384003797</v>
      </c>
      <c r="G437" s="114">
        <v>1</v>
      </c>
      <c r="H437" s="114"/>
      <c r="I437" s="210">
        <v>44748</v>
      </c>
      <c r="J437" s="210">
        <v>44758</v>
      </c>
      <c r="K437" s="114"/>
      <c r="L437" s="138">
        <v>1</v>
      </c>
      <c r="M437" s="138">
        <v>10</v>
      </c>
      <c r="N437" s="265" t="s">
        <v>1224</v>
      </c>
      <c r="O437" s="114">
        <v>1</v>
      </c>
      <c r="P437" s="114"/>
      <c r="Q437" s="114"/>
      <c r="R437" s="114"/>
      <c r="S437" s="114"/>
      <c r="T437" s="114">
        <v>0</v>
      </c>
      <c r="U437" s="114">
        <v>0</v>
      </c>
      <c r="V437" s="114">
        <v>1</v>
      </c>
      <c r="W437" s="114">
        <v>0</v>
      </c>
      <c r="X437" s="114">
        <v>1</v>
      </c>
      <c r="Y437" s="114">
        <v>1</v>
      </c>
      <c r="Z437" s="116" t="s">
        <v>58</v>
      </c>
      <c r="AA437" s="114">
        <v>1</v>
      </c>
      <c r="AB437" s="114">
        <f>_xlfn.IFS(AT437&gt;51,3,AT437&gt;=34,2,AT437&lt;34,1)</f>
        <v>1</v>
      </c>
      <c r="AC437" s="114">
        <f>_xlfn.IFS(AS437&gt;35,1,AS437&gt;=28,2,AS437&lt;28,3)</f>
        <v>1</v>
      </c>
      <c r="AD437" s="114">
        <f>_xlfn.IFS(AR437&gt;2.3,3,AR437&gt;=1.7,2,AR437&lt;1.7,1)</f>
        <v>1</v>
      </c>
      <c r="AE437" s="114">
        <f>Y437+AA437+AB437+AC437+AD437</f>
        <v>5</v>
      </c>
      <c r="AF437" s="116" t="s">
        <v>59</v>
      </c>
      <c r="AG437" s="114">
        <f>AT437/17.1</f>
        <v>0.730994152046784</v>
      </c>
      <c r="AH437" s="114">
        <f>AU437/88.4</f>
        <v>0.475113122171946</v>
      </c>
      <c r="AI437" s="114">
        <f>AR437</f>
        <v>1.03</v>
      </c>
      <c r="AJ437" s="159">
        <f t="shared" si="102"/>
        <v>6.7310585851053</v>
      </c>
      <c r="AK437" s="160">
        <f>IF(AND(AG437&gt;0,AH437&gt;0,AI437&gt;0),AJ437,"")</f>
        <v>6.7310585851053</v>
      </c>
      <c r="AL437" s="160">
        <f>AK437+1.59*(135-AM437)</f>
        <v>6.7310585851053</v>
      </c>
      <c r="AM437" s="160">
        <f>IF(AV437&gt;135,135,IF(AV437&lt;120,120,AV437))</f>
        <v>135</v>
      </c>
      <c r="AN437" s="114">
        <v>1</v>
      </c>
      <c r="AO437" s="114">
        <f>_xlfn.IFS(AJ437&lt;15,1,AJ437=15-18,2,AJ437&gt;18,3)</f>
        <v>1</v>
      </c>
      <c r="AP437" s="114">
        <v>7.71</v>
      </c>
      <c r="AQ437" s="114">
        <v>151</v>
      </c>
      <c r="AR437" s="114">
        <v>1.03</v>
      </c>
      <c r="AS437" s="160">
        <v>37</v>
      </c>
      <c r="AT437" s="161">
        <v>12.5</v>
      </c>
      <c r="AU437" s="114">
        <v>42</v>
      </c>
      <c r="AV437" s="114">
        <v>139</v>
      </c>
      <c r="AZ437" s="119" t="s">
        <v>1225</v>
      </c>
    </row>
    <row r="438" spans="1:52">
      <c r="A438" s="117" t="s">
        <v>1226</v>
      </c>
      <c r="B438" s="119" t="s">
        <v>53</v>
      </c>
      <c r="C438" s="117">
        <v>69</v>
      </c>
      <c r="D438" s="135">
        <v>1.63</v>
      </c>
      <c r="E438" s="117">
        <v>45</v>
      </c>
      <c r="F438" s="136">
        <f>E438/(D438*D438)</f>
        <v>16.9370318792578</v>
      </c>
      <c r="G438" s="114">
        <v>3</v>
      </c>
      <c r="H438" s="114"/>
      <c r="I438" s="210">
        <v>44741</v>
      </c>
      <c r="J438" s="210">
        <v>44749</v>
      </c>
      <c r="K438" s="114"/>
      <c r="L438" s="138">
        <v>1</v>
      </c>
      <c r="M438" s="138">
        <v>8</v>
      </c>
      <c r="N438" s="265" t="s">
        <v>1227</v>
      </c>
      <c r="O438" s="114"/>
      <c r="P438" s="114"/>
      <c r="Q438" s="114">
        <v>1</v>
      </c>
      <c r="R438" s="114"/>
      <c r="S438" s="114"/>
      <c r="T438" s="114">
        <v>1</v>
      </c>
      <c r="U438" s="114">
        <v>0</v>
      </c>
      <c r="V438" s="114">
        <v>1</v>
      </c>
      <c r="W438" s="114">
        <v>0</v>
      </c>
      <c r="X438" s="114">
        <v>1</v>
      </c>
      <c r="Y438" s="114">
        <v>1</v>
      </c>
      <c r="Z438" s="116" t="s">
        <v>300</v>
      </c>
      <c r="AA438" s="114">
        <v>2</v>
      </c>
      <c r="AB438" s="114">
        <f>_xlfn.IFS(AT438&gt;51,3,AT438&gt;=34,2,AT438&lt;34,1)</f>
        <v>1</v>
      </c>
      <c r="AC438" s="114">
        <f>_xlfn.IFS(AS438&gt;35,1,AS438&gt;=28,2,AS438&lt;28,3)</f>
        <v>3</v>
      </c>
      <c r="AD438" s="114">
        <f>_xlfn.IFS(AR438&gt;2.3,3,AR438&gt;=1.7,2,AR438&lt;1.7,1)</f>
        <v>1</v>
      </c>
      <c r="AE438" s="114">
        <f>Y438+AA438+AB438+AC438+AD438</f>
        <v>8</v>
      </c>
      <c r="AF438" s="116" t="s">
        <v>63</v>
      </c>
      <c r="AG438" s="114">
        <f>AT438/17.1</f>
        <v>1.14619883040936</v>
      </c>
      <c r="AH438" s="114">
        <f>AU438/88.4</f>
        <v>0.542986425339366</v>
      </c>
      <c r="AI438" s="114">
        <f>AR438</f>
        <v>1.26</v>
      </c>
      <c r="AJ438" s="159">
        <f t="shared" si="102"/>
        <v>9.50696546515579</v>
      </c>
      <c r="AK438" s="160">
        <f>IF(AND(AG438&gt;0,AH438&gt;0,AI438&gt;0),AJ438,"")</f>
        <v>9.50696546515579</v>
      </c>
      <c r="AL438" s="160">
        <f>AK438+1.59*(135-AM438)</f>
        <v>9.50696546515579</v>
      </c>
      <c r="AM438" s="160">
        <f>IF(AV438&gt;135,135,IF(AV438&lt;120,120,AV438))</f>
        <v>135</v>
      </c>
      <c r="AN438" s="114">
        <v>1</v>
      </c>
      <c r="AO438" s="114">
        <f>_xlfn.IFS(AJ438&lt;15,1,AJ438=15-18,2,AJ438&gt;18,3)</f>
        <v>1</v>
      </c>
      <c r="AP438" s="114">
        <v>3.3</v>
      </c>
      <c r="AQ438" s="114">
        <v>69</v>
      </c>
      <c r="AR438" s="114">
        <v>1.26</v>
      </c>
      <c r="AS438" s="160">
        <v>27</v>
      </c>
      <c r="AT438" s="161">
        <v>19.6</v>
      </c>
      <c r="AU438" s="114">
        <v>48</v>
      </c>
      <c r="AV438" s="114">
        <v>144</v>
      </c>
      <c r="AZ438" s="119" t="s">
        <v>1228</v>
      </c>
    </row>
    <row r="439" spans="1:52">
      <c r="A439" s="117" t="s">
        <v>1229</v>
      </c>
      <c r="B439" s="119" t="s">
        <v>48</v>
      </c>
      <c r="C439" s="117">
        <v>74</v>
      </c>
      <c r="D439" s="135">
        <v>1.7</v>
      </c>
      <c r="E439" s="117">
        <v>70</v>
      </c>
      <c r="F439" s="136">
        <f>E439/(D439*D439)</f>
        <v>24.2214532871972</v>
      </c>
      <c r="G439" s="114">
        <v>2</v>
      </c>
      <c r="H439" s="114"/>
      <c r="I439" s="210">
        <v>44735</v>
      </c>
      <c r="J439" s="210">
        <v>44758</v>
      </c>
      <c r="K439" s="114"/>
      <c r="L439" s="138">
        <v>1</v>
      </c>
      <c r="M439" s="138">
        <v>23</v>
      </c>
      <c r="N439" s="265" t="s">
        <v>1230</v>
      </c>
      <c r="O439" s="114"/>
      <c r="P439" s="114"/>
      <c r="Q439" s="116">
        <v>1</v>
      </c>
      <c r="R439" s="114"/>
      <c r="S439" s="114"/>
      <c r="T439" s="114">
        <v>1</v>
      </c>
      <c r="U439" s="114">
        <v>0</v>
      </c>
      <c r="V439" s="114">
        <v>1</v>
      </c>
      <c r="W439" s="114">
        <v>0</v>
      </c>
      <c r="X439" s="114">
        <v>1</v>
      </c>
      <c r="Y439" s="114">
        <v>1</v>
      </c>
      <c r="Z439" s="116" t="s">
        <v>307</v>
      </c>
      <c r="AA439" s="114">
        <v>3</v>
      </c>
      <c r="AB439" s="114">
        <f>_xlfn.IFS(AT439&gt;51,3,AT439&gt;=34,2,AT439&lt;34,1)</f>
        <v>1</v>
      </c>
      <c r="AC439" s="114">
        <f>_xlfn.IFS(AS439&gt;35,1,AS439&gt;=28,2,AS439&lt;28,3)</f>
        <v>2</v>
      </c>
      <c r="AD439" s="114">
        <f>_xlfn.IFS(AR439&gt;2.3,3,AR439&gt;=1.7,2,AR439&lt;1.7,1)</f>
        <v>1</v>
      </c>
      <c r="AE439" s="114">
        <f>Y439+AA439+AB439+AC439+AD439</f>
        <v>8</v>
      </c>
      <c r="AF439" s="116" t="s">
        <v>63</v>
      </c>
      <c r="AG439" s="114">
        <f>AT439/17.1</f>
        <v>0.947368421052631</v>
      </c>
      <c r="AH439" s="114">
        <f>AU439/88.4</f>
        <v>1.0972850678733</v>
      </c>
      <c r="AI439" s="114">
        <f>AR439</f>
        <v>1.45</v>
      </c>
      <c r="AJ439" s="159">
        <f t="shared" si="102"/>
        <v>11.4527663170977</v>
      </c>
      <c r="AK439" s="160">
        <f>IF(AND(AG439&gt;0,AH439&gt;0,AI439&gt;0),AJ439,"")</f>
        <v>11.4527663170977</v>
      </c>
      <c r="AL439" s="160">
        <f>AK439+1.59*(135-AM439)</f>
        <v>11.4527663170977</v>
      </c>
      <c r="AM439" s="160">
        <f>IF(AV439&gt;135,135,IF(AV439&lt;120,120,AV439))</f>
        <v>135</v>
      </c>
      <c r="AN439" s="114">
        <v>1</v>
      </c>
      <c r="AO439" s="114">
        <f>_xlfn.IFS(AJ439&lt;15,1,AJ439=15-18,2,AJ439&gt;18,3)</f>
        <v>1</v>
      </c>
      <c r="AP439" s="114">
        <v>17.08</v>
      </c>
      <c r="AQ439" s="114">
        <v>57</v>
      </c>
      <c r="AR439" s="114">
        <v>1.45</v>
      </c>
      <c r="AS439" s="160">
        <v>28</v>
      </c>
      <c r="AT439" s="161">
        <v>16.2</v>
      </c>
      <c r="AU439" s="114">
        <v>97</v>
      </c>
      <c r="AV439" s="114">
        <v>137</v>
      </c>
      <c r="AZ439" s="119" t="s">
        <v>1231</v>
      </c>
    </row>
    <row r="440" spans="1:52">
      <c r="A440" s="117" t="s">
        <v>1063</v>
      </c>
      <c r="B440" s="119" t="s">
        <v>53</v>
      </c>
      <c r="C440" s="117">
        <v>71</v>
      </c>
      <c r="D440" s="135">
        <v>1.6</v>
      </c>
      <c r="E440" s="117">
        <v>43</v>
      </c>
      <c r="F440" s="136">
        <f>E440/(D440*D440)</f>
        <v>16.796875</v>
      </c>
      <c r="G440" s="114">
        <v>5</v>
      </c>
      <c r="H440" s="114"/>
      <c r="I440" s="210">
        <v>44727</v>
      </c>
      <c r="J440" s="210">
        <v>44739</v>
      </c>
      <c r="K440" s="114"/>
      <c r="L440" s="138">
        <v>2</v>
      </c>
      <c r="M440" s="138">
        <v>12</v>
      </c>
      <c r="N440" s="265" t="s">
        <v>1232</v>
      </c>
      <c r="O440" s="114"/>
      <c r="P440" s="114"/>
      <c r="Q440" s="114">
        <v>1</v>
      </c>
      <c r="R440" s="114">
        <v>1</v>
      </c>
      <c r="S440" s="114"/>
      <c r="T440" s="114">
        <v>1</v>
      </c>
      <c r="U440" s="114">
        <v>0</v>
      </c>
      <c r="V440" s="114">
        <v>0</v>
      </c>
      <c r="W440" s="114">
        <v>0</v>
      </c>
      <c r="X440" s="114">
        <v>1</v>
      </c>
      <c r="Y440" s="114">
        <v>1</v>
      </c>
      <c r="Z440" s="116" t="s">
        <v>321</v>
      </c>
      <c r="AA440" s="114">
        <v>3</v>
      </c>
      <c r="AB440" s="114">
        <f t="shared" ref="AB440:AB447" si="103">_xlfn.IFS(AT440&gt;51,3,AT440&gt;=34,2,AT440&lt;34,1)</f>
        <v>1</v>
      </c>
      <c r="AC440" s="114">
        <f t="shared" ref="AC440:AC446" si="104">_xlfn.IFS(AS440&gt;35,1,AS440&gt;=28,2,AS440&lt;28,3)</f>
        <v>3</v>
      </c>
      <c r="AD440" s="114">
        <f t="shared" ref="AD440:AD446" si="105">_xlfn.IFS(AR440&gt;2.3,3,AR440&gt;=1.7,2,AR440&lt;1.7,1)</f>
        <v>1</v>
      </c>
      <c r="AE440" s="114">
        <f t="shared" ref="AE440:AE464" si="106">Y440+AA440+AB440+AC440+AD440</f>
        <v>9</v>
      </c>
      <c r="AF440" s="116" t="s">
        <v>63</v>
      </c>
      <c r="AG440" s="114">
        <f>AT440/17.1</f>
        <v>0.222222222222222</v>
      </c>
      <c r="AH440" s="114">
        <f>AU440/88.4</f>
        <v>6.83257918552036</v>
      </c>
      <c r="AI440" s="114">
        <f>AR440</f>
        <v>1.03</v>
      </c>
      <c r="AJ440" s="159">
        <f>LN(IF(AG440&gt;=1,AG440,1))*3.8+LN(IF(AH440&gt;=1,AH440,1))*9.6+11.2*LN(IF(AI440&gt;=1,AI440,1))+6.4*AN440</f>
        <v>18.779399976701</v>
      </c>
      <c r="AK440" s="160">
        <f>IF(AND(AG440&gt;0,AH440&gt;0,AI440&gt;0),AJ440,"")</f>
        <v>18.779399976701</v>
      </c>
      <c r="AL440" s="160">
        <f t="shared" ref="AL440:AL460" si="107">AK440+1.59*(135-AM440)</f>
        <v>18.779399976701</v>
      </c>
      <c r="AM440" s="160">
        <f>IF(AV440&gt;135,135,IF(AV440&lt;120,120,AV440))</f>
        <v>135</v>
      </c>
      <c r="AN440" s="114">
        <v>0</v>
      </c>
      <c r="AO440" s="114">
        <f t="shared" ref="AO440:AO446" si="108">_xlfn.IFS(AJ440&lt;15,1,AJ440=15-18,2,AJ440&gt;18,3)</f>
        <v>3</v>
      </c>
      <c r="AP440" s="114">
        <v>4.61</v>
      </c>
      <c r="AQ440" s="114">
        <v>49</v>
      </c>
      <c r="AR440" s="114">
        <v>1.03</v>
      </c>
      <c r="AS440" s="160">
        <v>26</v>
      </c>
      <c r="AT440" s="161">
        <v>3.8</v>
      </c>
      <c r="AU440" s="114">
        <v>604</v>
      </c>
      <c r="AV440" s="114">
        <v>138</v>
      </c>
      <c r="AZ440" s="119" t="s">
        <v>1233</v>
      </c>
    </row>
    <row r="441" spans="1:52">
      <c r="A441" s="117" t="s">
        <v>1234</v>
      </c>
      <c r="B441" s="119" t="s">
        <v>48</v>
      </c>
      <c r="C441" s="117">
        <v>50</v>
      </c>
      <c r="D441" s="135">
        <v>1.75</v>
      </c>
      <c r="E441" s="117">
        <v>100</v>
      </c>
      <c r="F441" s="136">
        <f>E441/(D441*D441)</f>
        <v>32.6530612244898</v>
      </c>
      <c r="G441" s="114">
        <v>2</v>
      </c>
      <c r="H441" s="114"/>
      <c r="I441" s="210">
        <v>44728</v>
      </c>
      <c r="J441" s="210">
        <v>44743</v>
      </c>
      <c r="K441" s="114"/>
      <c r="L441" s="138">
        <v>1</v>
      </c>
      <c r="M441" s="138">
        <v>15</v>
      </c>
      <c r="N441" s="265" t="s">
        <v>1235</v>
      </c>
      <c r="O441" s="114">
        <v>1</v>
      </c>
      <c r="P441" s="114"/>
      <c r="Q441" s="114"/>
      <c r="R441" s="114"/>
      <c r="S441" s="114"/>
      <c r="T441" s="114">
        <v>0</v>
      </c>
      <c r="U441" s="114">
        <v>0</v>
      </c>
      <c r="V441" s="114">
        <v>1</v>
      </c>
      <c r="W441" s="114">
        <v>0</v>
      </c>
      <c r="X441" s="114">
        <v>1</v>
      </c>
      <c r="Y441" s="114">
        <v>1</v>
      </c>
      <c r="Z441" s="116" t="s">
        <v>58</v>
      </c>
      <c r="AA441" s="114">
        <v>1</v>
      </c>
      <c r="AB441" s="114">
        <f t="shared" si="103"/>
        <v>1</v>
      </c>
      <c r="AC441" s="114">
        <f t="shared" si="104"/>
        <v>2</v>
      </c>
      <c r="AD441" s="114">
        <f t="shared" si="105"/>
        <v>1</v>
      </c>
      <c r="AE441" s="114">
        <f t="shared" si="106"/>
        <v>6</v>
      </c>
      <c r="AF441" s="116" t="s">
        <v>59</v>
      </c>
      <c r="AG441" s="114">
        <f>AT441/17.1</f>
        <v>1.45029239766082</v>
      </c>
      <c r="AH441" s="114">
        <f>AU441/88.4</f>
        <v>0.531674208144796</v>
      </c>
      <c r="AI441" s="114">
        <f>AR441</f>
        <v>1.17</v>
      </c>
      <c r="AJ441" s="159">
        <f>LN(IF(AG441&gt;=1,AG441,1))*3.8+LN(IF(AH441&gt;=1,AH441,1))*9.6+11.2*LN(IF(AI441&gt;=1,AI441,1))+6.4*AN441</f>
        <v>9.57114970738507</v>
      </c>
      <c r="AK441" s="160">
        <f>IF(AND(AG441&gt;0,AH441&gt;0,AI441&gt;0),AJ441,"")</f>
        <v>9.57114970738507</v>
      </c>
      <c r="AL441" s="160">
        <f t="shared" si="107"/>
        <v>9.57114970738507</v>
      </c>
      <c r="AM441" s="160">
        <f>IF(AV441&gt;135,135,IF(AV441&lt;120,120,AV441))</f>
        <v>135</v>
      </c>
      <c r="AN441" s="114">
        <v>1</v>
      </c>
      <c r="AO441" s="114">
        <f t="shared" si="108"/>
        <v>1</v>
      </c>
      <c r="AP441" s="114">
        <v>1.57</v>
      </c>
      <c r="AQ441" s="114">
        <v>94</v>
      </c>
      <c r="AR441" s="114">
        <v>1.17</v>
      </c>
      <c r="AS441" s="160">
        <v>33</v>
      </c>
      <c r="AT441" s="161">
        <v>24.8</v>
      </c>
      <c r="AU441" s="114">
        <v>47</v>
      </c>
      <c r="AV441" s="114">
        <v>142</v>
      </c>
      <c r="AZ441" s="119" t="s">
        <v>1236</v>
      </c>
    </row>
    <row r="442" s="123" customFormat="1" spans="1:52">
      <c r="A442" s="123" t="s">
        <v>1237</v>
      </c>
      <c r="B442" s="132" t="s">
        <v>53</v>
      </c>
      <c r="C442" s="123">
        <v>57</v>
      </c>
      <c r="D442" s="176">
        <v>1.68</v>
      </c>
      <c r="E442" s="123">
        <v>80</v>
      </c>
      <c r="F442" s="189">
        <f>E442/(D442*D442)</f>
        <v>28.3446712018141</v>
      </c>
      <c r="G442" s="123">
        <v>2</v>
      </c>
      <c r="I442" s="177">
        <v>44732</v>
      </c>
      <c r="J442" s="177">
        <v>44739</v>
      </c>
      <c r="L442" s="178">
        <v>1</v>
      </c>
      <c r="M442" s="178">
        <v>7</v>
      </c>
      <c r="N442" s="254" t="s">
        <v>1238</v>
      </c>
      <c r="O442" s="114"/>
      <c r="P442" s="114"/>
      <c r="Q442" s="114"/>
      <c r="R442" s="114"/>
      <c r="S442" s="114">
        <v>1</v>
      </c>
      <c r="T442" s="114">
        <v>0</v>
      </c>
      <c r="U442" s="114">
        <v>0</v>
      </c>
      <c r="V442" s="114">
        <v>1</v>
      </c>
      <c r="W442" s="114">
        <v>0</v>
      </c>
      <c r="X442" s="114">
        <v>1</v>
      </c>
      <c r="Y442" s="114">
        <v>1</v>
      </c>
      <c r="Z442" s="116" t="s">
        <v>58</v>
      </c>
      <c r="AA442" s="114">
        <v>1</v>
      </c>
      <c r="AB442" s="114">
        <f t="shared" si="103"/>
        <v>1</v>
      </c>
      <c r="AC442" s="114">
        <f t="shared" si="104"/>
        <v>2</v>
      </c>
      <c r="AD442" s="114">
        <f t="shared" si="105"/>
        <v>1</v>
      </c>
      <c r="AE442" s="114">
        <f t="shared" si="106"/>
        <v>6</v>
      </c>
      <c r="AF442" s="116" t="s">
        <v>59</v>
      </c>
      <c r="AG442" s="114">
        <f>AT442/17.1</f>
        <v>0.736842105263158</v>
      </c>
      <c r="AH442" s="114">
        <f>AU442/88.4</f>
        <v>1.16515837104072</v>
      </c>
      <c r="AI442" s="114">
        <f>AR442</f>
        <v>1.17</v>
      </c>
      <c r="AJ442" s="159">
        <f>LN(IF(AG442&gt;=1,AG442,1))*3.8+LN(IF(AH442&gt;=1,AH442,1))*9.6+11.2*LN(IF(AI442&gt;=1,AI442,1))+6.4*AN442</f>
        <v>9.62586936509421</v>
      </c>
      <c r="AK442" s="160">
        <f>IF(AND(AG442&gt;0,AH442&gt;0,AI442&gt;0),AJ442,"")</f>
        <v>9.62586936509421</v>
      </c>
      <c r="AL442" s="160">
        <f t="shared" si="107"/>
        <v>9.62586936509421</v>
      </c>
      <c r="AM442" s="160">
        <f>IF(AV442&gt;135,135,IF(AV442&lt;120,120,AV442))</f>
        <v>135</v>
      </c>
      <c r="AN442" s="114">
        <v>1</v>
      </c>
      <c r="AO442" s="114">
        <f t="shared" si="108"/>
        <v>1</v>
      </c>
      <c r="AP442" s="114">
        <v>2.66</v>
      </c>
      <c r="AQ442" s="114">
        <v>82</v>
      </c>
      <c r="AR442" s="114">
        <v>1.17</v>
      </c>
      <c r="AS442" s="160">
        <v>34</v>
      </c>
      <c r="AT442" s="161">
        <v>12.6</v>
      </c>
      <c r="AU442" s="114">
        <v>103</v>
      </c>
      <c r="AV442" s="114">
        <v>144</v>
      </c>
      <c r="AZ442" s="132" t="s">
        <v>1239</v>
      </c>
    </row>
    <row r="443" spans="1:52">
      <c r="A443" s="117" t="s">
        <v>1240</v>
      </c>
      <c r="B443" s="119" t="s">
        <v>53</v>
      </c>
      <c r="C443" s="117">
        <v>51</v>
      </c>
      <c r="D443" s="135">
        <v>1.66</v>
      </c>
      <c r="E443" s="117">
        <v>70</v>
      </c>
      <c r="F443" s="136">
        <f>E443/(D443*D443)</f>
        <v>25.4028160836116</v>
      </c>
      <c r="G443" s="114">
        <v>3</v>
      </c>
      <c r="H443" s="114"/>
      <c r="I443" s="210">
        <v>44730</v>
      </c>
      <c r="J443" s="210">
        <v>44740</v>
      </c>
      <c r="K443" s="114"/>
      <c r="L443" s="138">
        <v>2</v>
      </c>
      <c r="M443" s="138">
        <v>10</v>
      </c>
      <c r="N443" s="265" t="s">
        <v>1241</v>
      </c>
      <c r="O443" s="114"/>
      <c r="P443" s="114"/>
      <c r="Q443" s="114">
        <v>1</v>
      </c>
      <c r="R443" s="114"/>
      <c r="S443" s="114"/>
      <c r="T443" s="114">
        <v>1</v>
      </c>
      <c r="U443" s="114">
        <v>0</v>
      </c>
      <c r="V443" s="114">
        <v>1</v>
      </c>
      <c r="W443" s="114">
        <v>0</v>
      </c>
      <c r="X443" s="114">
        <v>1</v>
      </c>
      <c r="Y443" s="114">
        <v>1</v>
      </c>
      <c r="Z443" s="116" t="s">
        <v>300</v>
      </c>
      <c r="AA443" s="114">
        <v>2</v>
      </c>
      <c r="AB443" s="114">
        <f t="shared" si="103"/>
        <v>1</v>
      </c>
      <c r="AC443" s="114">
        <f t="shared" si="104"/>
        <v>2</v>
      </c>
      <c r="AD443" s="114">
        <f t="shared" si="105"/>
        <v>1</v>
      </c>
      <c r="AE443" s="114">
        <f t="shared" si="106"/>
        <v>7</v>
      </c>
      <c r="AF443" s="116" t="s">
        <v>63</v>
      </c>
      <c r="AG443" s="114">
        <f>AT443/17.1</f>
        <v>0.690058479532164</v>
      </c>
      <c r="AH443" s="114">
        <f>AU443/88.4</f>
        <v>0.520361990950226</v>
      </c>
      <c r="AI443" s="114">
        <f>AR443</f>
        <v>1.1</v>
      </c>
      <c r="AJ443" s="159">
        <f>LN(IF(AG443&gt;=1,AG443,1))*3.8+LN(IF(AH443&gt;=1,AH443,1))*9.6+11.2*LN(IF(AI443&gt;=1,AI443,1))+6.4*AN443</f>
        <v>7.46747401380844</v>
      </c>
      <c r="AK443" s="160">
        <f>IF(AND(AG443&gt;0,AH443&gt;0,AI443&gt;0),AJ443,"")</f>
        <v>7.46747401380844</v>
      </c>
      <c r="AL443" s="160">
        <f t="shared" si="107"/>
        <v>7.46747401380844</v>
      </c>
      <c r="AM443" s="160">
        <f>IF(AV443&gt;135,135,IF(AV443&lt;120,120,AV443))</f>
        <v>135</v>
      </c>
      <c r="AN443" s="114">
        <v>1</v>
      </c>
      <c r="AO443" s="114">
        <f t="shared" si="108"/>
        <v>1</v>
      </c>
      <c r="AP443" s="114">
        <v>4.99</v>
      </c>
      <c r="AQ443" s="114">
        <v>108</v>
      </c>
      <c r="AR443" s="114">
        <v>1.1</v>
      </c>
      <c r="AS443" s="160">
        <v>33</v>
      </c>
      <c r="AT443" s="161">
        <v>11.8</v>
      </c>
      <c r="AU443" s="114">
        <v>46</v>
      </c>
      <c r="AV443" s="114">
        <v>145</v>
      </c>
      <c r="AZ443" s="119" t="s">
        <v>1242</v>
      </c>
    </row>
    <row r="444" s="125" customFormat="1" spans="1:52">
      <c r="A444" s="125" t="s">
        <v>1243</v>
      </c>
      <c r="B444" s="131" t="s">
        <v>48</v>
      </c>
      <c r="C444" s="125">
        <v>59</v>
      </c>
      <c r="D444" s="185">
        <v>1.76</v>
      </c>
      <c r="E444" s="125">
        <v>71</v>
      </c>
      <c r="F444" s="216">
        <f>E444/(D444*D444)</f>
        <v>22.9209710743802</v>
      </c>
      <c r="G444" s="125">
        <v>7</v>
      </c>
      <c r="I444" s="186">
        <v>44733</v>
      </c>
      <c r="J444" s="186">
        <v>44741</v>
      </c>
      <c r="L444" s="187">
        <v>1</v>
      </c>
      <c r="M444" s="187">
        <v>8</v>
      </c>
      <c r="N444" s="248" t="s">
        <v>1244</v>
      </c>
      <c r="Q444" s="125">
        <v>1</v>
      </c>
      <c r="R444" s="125">
        <v>1</v>
      </c>
      <c r="T444" s="125">
        <v>1</v>
      </c>
      <c r="U444" s="125">
        <v>0</v>
      </c>
      <c r="V444" s="125">
        <v>0</v>
      </c>
      <c r="W444" s="125">
        <v>0</v>
      </c>
      <c r="X444" s="125">
        <v>1</v>
      </c>
      <c r="Y444" s="125">
        <v>1</v>
      </c>
      <c r="Z444" s="131" t="s">
        <v>321</v>
      </c>
      <c r="AA444" s="125">
        <v>3</v>
      </c>
      <c r="AB444" s="125">
        <f t="shared" si="103"/>
        <v>2</v>
      </c>
      <c r="AC444" s="125">
        <f t="shared" si="104"/>
        <v>2</v>
      </c>
      <c r="AD444" s="125">
        <f t="shared" si="105"/>
        <v>1</v>
      </c>
      <c r="AE444" s="125">
        <f t="shared" si="106"/>
        <v>9</v>
      </c>
      <c r="AF444" s="131" t="s">
        <v>63</v>
      </c>
      <c r="AG444" s="125">
        <f>AT444/17.1</f>
        <v>2.00584795321637</v>
      </c>
      <c r="AH444" s="125">
        <f>AU444/88.4</f>
        <v>0.961538461538461</v>
      </c>
      <c r="AI444" s="125">
        <f>AR444</f>
        <v>1.5</v>
      </c>
      <c r="AJ444" s="240">
        <f>LN(IF(AG444&gt;=1,AG444,1))*3.8+LN(IF(AH444&gt;=1,AH444,1))*9.6+11.2*LN(IF(AI444&gt;=1,AI444,1))+6.4*AN444</f>
        <v>7.1862633953319</v>
      </c>
      <c r="AK444" s="241">
        <f>IF(AND(AG444&gt;0,AH444&gt;0,AI444&gt;0),AJ444,"")</f>
        <v>7.1862633953319</v>
      </c>
      <c r="AL444" s="241">
        <f t="shared" si="107"/>
        <v>10.3662633953319</v>
      </c>
      <c r="AM444" s="241">
        <f>IF(AV444&gt;135,135,IF(AV444&lt;120,120,AV444))</f>
        <v>133</v>
      </c>
      <c r="AN444" s="125">
        <v>0</v>
      </c>
      <c r="AO444" s="125">
        <f t="shared" si="108"/>
        <v>1</v>
      </c>
      <c r="AP444" s="125">
        <v>6.94</v>
      </c>
      <c r="AQ444" s="125">
        <v>154</v>
      </c>
      <c r="AR444" s="125">
        <v>1.5</v>
      </c>
      <c r="AS444" s="241">
        <v>28</v>
      </c>
      <c r="AT444" s="242">
        <v>34.3</v>
      </c>
      <c r="AU444" s="125">
        <v>85</v>
      </c>
      <c r="AV444" s="125">
        <v>133</v>
      </c>
      <c r="AZ444" s="131" t="s">
        <v>58</v>
      </c>
    </row>
    <row r="445" s="125" customFormat="1" spans="1:52">
      <c r="A445" s="125" t="s">
        <v>726</v>
      </c>
      <c r="B445" s="131" t="s">
        <v>53</v>
      </c>
      <c r="C445" s="125">
        <v>72</v>
      </c>
      <c r="D445" s="185">
        <v>1.56</v>
      </c>
      <c r="E445" s="125">
        <v>46</v>
      </c>
      <c r="F445" s="216">
        <f>E445/(D445*D445)</f>
        <v>18.9020381328074</v>
      </c>
      <c r="G445" s="125">
        <v>5</v>
      </c>
      <c r="I445" s="186">
        <v>44741</v>
      </c>
      <c r="J445" s="186">
        <v>44761</v>
      </c>
      <c r="L445" s="187">
        <v>7</v>
      </c>
      <c r="M445" s="187">
        <v>20</v>
      </c>
      <c r="N445" s="248" t="s">
        <v>1245</v>
      </c>
      <c r="Q445" s="125">
        <v>1</v>
      </c>
      <c r="R445" s="125">
        <v>1</v>
      </c>
      <c r="T445" s="125">
        <v>1</v>
      </c>
      <c r="U445" s="125">
        <v>0</v>
      </c>
      <c r="V445" s="125">
        <v>1</v>
      </c>
      <c r="W445" s="125">
        <v>0</v>
      </c>
      <c r="X445" s="125">
        <v>1</v>
      </c>
      <c r="Y445" s="125">
        <v>1</v>
      </c>
      <c r="Z445" s="131" t="s">
        <v>307</v>
      </c>
      <c r="AA445" s="125">
        <v>3</v>
      </c>
      <c r="AB445" s="125">
        <f t="shared" si="103"/>
        <v>3</v>
      </c>
      <c r="AC445" s="125">
        <f t="shared" si="104"/>
        <v>3</v>
      </c>
      <c r="AD445" s="125">
        <f t="shared" si="105"/>
        <v>1</v>
      </c>
      <c r="AE445" s="125">
        <f t="shared" si="106"/>
        <v>11</v>
      </c>
      <c r="AF445" s="131" t="s">
        <v>50</v>
      </c>
      <c r="AG445" s="125">
        <f>AT445/17.1</f>
        <v>4.30409356725146</v>
      </c>
      <c r="AH445" s="125">
        <f>AU445/88.4</f>
        <v>0.735294117647059</v>
      </c>
      <c r="AI445" s="125">
        <f>AR445</f>
        <v>1.51</v>
      </c>
      <c r="AJ445" s="240">
        <f>LN(IF(AG445&gt;=1,AG445,1))*3.8+LN(IF(AH445&gt;=1,AH445,1))*9.6+11.2*LN(IF(AI445&gt;=1,AI445,1))+6.4*AN445</f>
        <v>10.1619810257202</v>
      </c>
      <c r="AK445" s="241">
        <f>IF(AND(AG445&gt;0,AH445&gt;0,AI445&gt;0),AJ445,"")</f>
        <v>10.1619810257202</v>
      </c>
      <c r="AL445" s="241">
        <f t="shared" si="107"/>
        <v>10.1619810257202</v>
      </c>
      <c r="AM445" s="241">
        <f>IF(AV445&gt;135,135,IF(AV445&lt;120,120,AV445))</f>
        <v>135</v>
      </c>
      <c r="AN445" s="125">
        <v>0</v>
      </c>
      <c r="AO445" s="125">
        <v>1</v>
      </c>
      <c r="AP445" s="125">
        <v>4.45</v>
      </c>
      <c r="AQ445" s="125">
        <v>106</v>
      </c>
      <c r="AR445" s="125">
        <v>1.51</v>
      </c>
      <c r="AS445" s="241">
        <v>23</v>
      </c>
      <c r="AT445" s="242">
        <v>73.6</v>
      </c>
      <c r="AU445" s="125">
        <v>65</v>
      </c>
      <c r="AV445" s="125">
        <v>136</v>
      </c>
      <c r="AZ445" s="131" t="s">
        <v>1246</v>
      </c>
    </row>
    <row r="446" spans="1:52">
      <c r="A446" s="117" t="s">
        <v>1247</v>
      </c>
      <c r="B446" s="119" t="s">
        <v>48</v>
      </c>
      <c r="C446" s="117">
        <v>50</v>
      </c>
      <c r="D446" s="135">
        <v>1.8</v>
      </c>
      <c r="E446" s="117">
        <v>75</v>
      </c>
      <c r="F446" s="136">
        <f>E446/(D446*D446)</f>
        <v>23.1481481481481</v>
      </c>
      <c r="G446" s="114">
        <v>0</v>
      </c>
      <c r="H446" s="114"/>
      <c r="I446" s="210">
        <v>44834</v>
      </c>
      <c r="J446" s="210">
        <v>44846</v>
      </c>
      <c r="K446" s="114"/>
      <c r="L446" s="138">
        <v>1</v>
      </c>
      <c r="M446" s="138">
        <v>12</v>
      </c>
      <c r="N446" s="265" t="s">
        <v>1248</v>
      </c>
      <c r="O446" s="114"/>
      <c r="P446" s="114">
        <v>1</v>
      </c>
      <c r="Q446" s="114"/>
      <c r="R446" s="114"/>
      <c r="S446" s="114"/>
      <c r="T446" s="114">
        <v>0</v>
      </c>
      <c r="U446" s="114">
        <v>0</v>
      </c>
      <c r="V446" s="114">
        <v>1</v>
      </c>
      <c r="W446" s="114">
        <v>0</v>
      </c>
      <c r="X446" s="114">
        <v>1</v>
      </c>
      <c r="Y446" s="114">
        <v>1</v>
      </c>
      <c r="Z446" s="116" t="s">
        <v>58</v>
      </c>
      <c r="AA446" s="114">
        <v>1</v>
      </c>
      <c r="AB446" s="114">
        <f t="shared" si="103"/>
        <v>1</v>
      </c>
      <c r="AC446" s="114">
        <f t="shared" si="104"/>
        <v>2</v>
      </c>
      <c r="AD446" s="114">
        <f t="shared" si="105"/>
        <v>1</v>
      </c>
      <c r="AE446" s="114">
        <f t="shared" si="106"/>
        <v>6</v>
      </c>
      <c r="AF446" s="116" t="s">
        <v>59</v>
      </c>
      <c r="AG446" s="114">
        <f>AT446/17.1</f>
        <v>0.883040935672515</v>
      </c>
      <c r="AH446" s="114">
        <f>AU446/88.4</f>
        <v>0.531674208144796</v>
      </c>
      <c r="AI446" s="114">
        <f>AR446</f>
        <v>1.3</v>
      </c>
      <c r="AJ446" s="159">
        <f>LN(IF(AG446&gt;=1,AG446,1))*3.8+LN(IF(AH446&gt;=1,AH446,1))*9.6+11.2*LN(IF(AI446&gt;=1,AI446,1))+6.4*AN446</f>
        <v>2.9384797620359</v>
      </c>
      <c r="AK446" s="160">
        <f>IF(AND(AG446&gt;0,AH446&gt;0,AI446&gt;0),AJ446,"")</f>
        <v>2.9384797620359</v>
      </c>
      <c r="AL446" s="160">
        <f t="shared" si="107"/>
        <v>2.9384797620359</v>
      </c>
      <c r="AM446" s="160">
        <f>IF(AV446&gt;135,135,IF(AV446&lt;120,120,AV446))</f>
        <v>135</v>
      </c>
      <c r="AN446" s="114">
        <v>0</v>
      </c>
      <c r="AO446" s="114">
        <f t="shared" si="108"/>
        <v>1</v>
      </c>
      <c r="AP446" s="114">
        <v>2.44</v>
      </c>
      <c r="AQ446" s="114">
        <v>61</v>
      </c>
      <c r="AR446" s="114">
        <v>1.3</v>
      </c>
      <c r="AS446" s="160">
        <v>32</v>
      </c>
      <c r="AT446" s="161">
        <v>15.1</v>
      </c>
      <c r="AU446" s="114">
        <v>47</v>
      </c>
      <c r="AV446" s="114">
        <v>140</v>
      </c>
      <c r="AZ446" s="119" t="s">
        <v>1249</v>
      </c>
    </row>
    <row r="447" s="123" customFormat="1" spans="1:52">
      <c r="A447" s="132" t="s">
        <v>1250</v>
      </c>
      <c r="B447" s="132" t="s">
        <v>48</v>
      </c>
      <c r="C447" s="123">
        <v>60</v>
      </c>
      <c r="D447" s="176">
        <v>1.75</v>
      </c>
      <c r="E447" s="123">
        <v>67</v>
      </c>
      <c r="F447" s="189">
        <f>E447/(D447*D447)</f>
        <v>21.8775510204082</v>
      </c>
      <c r="G447" s="123">
        <v>0</v>
      </c>
      <c r="I447" s="177">
        <v>44837</v>
      </c>
      <c r="J447" s="177">
        <v>44846</v>
      </c>
      <c r="L447" s="178">
        <v>1</v>
      </c>
      <c r="M447" s="178">
        <v>11</v>
      </c>
      <c r="N447" s="254" t="s">
        <v>1251</v>
      </c>
      <c r="O447" s="114">
        <v>1</v>
      </c>
      <c r="P447" s="114"/>
      <c r="Q447" s="114"/>
      <c r="R447" s="114"/>
      <c r="S447" s="114"/>
      <c r="T447" s="114">
        <v>0</v>
      </c>
      <c r="U447" s="114">
        <v>0</v>
      </c>
      <c r="V447" s="114">
        <v>1</v>
      </c>
      <c r="W447" s="114">
        <v>0</v>
      </c>
      <c r="X447" s="114">
        <v>1</v>
      </c>
      <c r="Y447" s="114">
        <v>1</v>
      </c>
      <c r="Z447" s="116" t="s">
        <v>58</v>
      </c>
      <c r="AA447" s="114">
        <v>1</v>
      </c>
      <c r="AB447" s="114">
        <f>_xlfn.IFS(AT447&gt;51,3,AT447&gt;=34,2,AT447&lt;34,1)</f>
        <v>1</v>
      </c>
      <c r="AC447" s="114">
        <f>_xlfn.IFS(AS447&gt;35,1,AS447&gt;=28,2,AS447&lt;28,3)</f>
        <v>2</v>
      </c>
      <c r="AD447" s="114">
        <f>_xlfn.IFS(AR447&gt;2.3,3,AR447&gt;=1.7,2,AR447&lt;1.7,1)</f>
        <v>1</v>
      </c>
      <c r="AE447" s="114">
        <f t="shared" si="106"/>
        <v>6</v>
      </c>
      <c r="AF447" s="116" t="s">
        <v>59</v>
      </c>
      <c r="AG447" s="114">
        <f>AT447/17.1</f>
        <v>0.760233918128655</v>
      </c>
      <c r="AH447" s="114">
        <f>AU447/88.4</f>
        <v>0.882352941176471</v>
      </c>
      <c r="AI447" s="114">
        <f>AR447</f>
        <v>1.38</v>
      </c>
      <c r="AJ447" s="159">
        <f>LN(IF(AG447&gt;=1,AG447,1))*3.8+LN(IF(AH447&gt;=1,AH447,1))*9.6+11.2*LN(IF(AI447&gt;=1,AI447,1))+6.4*AN447</f>
        <v>10.0073351906941</v>
      </c>
      <c r="AK447" s="160">
        <f>IF(AND(AG447&gt;0,AH447&gt;0,AI447&gt;0),AJ447,"")</f>
        <v>10.0073351906941</v>
      </c>
      <c r="AL447" s="160">
        <f t="shared" si="107"/>
        <v>10.0073351906941</v>
      </c>
      <c r="AM447" s="160">
        <f>IF(AV447&gt;135,135,IF(AV447&lt;120,120,AV447))</f>
        <v>135</v>
      </c>
      <c r="AN447" s="114">
        <v>1</v>
      </c>
      <c r="AO447" s="114">
        <f>_xlfn.IFS(AJ447&lt;15,1,AJ447=15-18,2,AJ447&gt;18,3)</f>
        <v>1</v>
      </c>
      <c r="AP447" s="114">
        <v>3.97</v>
      </c>
      <c r="AQ447" s="114">
        <v>112</v>
      </c>
      <c r="AR447" s="114">
        <v>1.38</v>
      </c>
      <c r="AS447" s="160">
        <v>33</v>
      </c>
      <c r="AT447" s="114">
        <v>13</v>
      </c>
      <c r="AU447" s="114">
        <v>78</v>
      </c>
      <c r="AV447" s="114">
        <v>140</v>
      </c>
      <c r="AZ447" s="132" t="s">
        <v>1252</v>
      </c>
    </row>
    <row r="448" s="124" customFormat="1" spans="1:52">
      <c r="A448" s="127" t="s">
        <v>916</v>
      </c>
      <c r="B448" s="127" t="s">
        <v>53</v>
      </c>
      <c r="C448" s="124">
        <v>84</v>
      </c>
      <c r="D448" s="180">
        <v>1.55</v>
      </c>
      <c r="E448" s="124">
        <v>45</v>
      </c>
      <c r="F448" s="181">
        <f>E448/(D448*D448)</f>
        <v>18.7304890738814</v>
      </c>
      <c r="G448" s="124">
        <v>1</v>
      </c>
      <c r="I448" s="182">
        <v>44837</v>
      </c>
      <c r="J448" s="182">
        <v>44843</v>
      </c>
      <c r="L448" s="183">
        <v>2</v>
      </c>
      <c r="M448" s="183">
        <v>6</v>
      </c>
      <c r="N448" s="201" t="s">
        <v>1253</v>
      </c>
      <c r="O448" s="114"/>
      <c r="P448" s="114"/>
      <c r="Q448" s="114"/>
      <c r="R448" s="114"/>
      <c r="S448" s="114">
        <v>1</v>
      </c>
      <c r="T448" s="114">
        <v>0</v>
      </c>
      <c r="U448" s="114">
        <v>1</v>
      </c>
      <c r="V448" s="114">
        <v>1</v>
      </c>
      <c r="W448" s="114">
        <v>0</v>
      </c>
      <c r="X448" s="114">
        <v>1</v>
      </c>
      <c r="Y448" s="114">
        <v>2</v>
      </c>
      <c r="Z448" s="116" t="s">
        <v>58</v>
      </c>
      <c r="AA448" s="114">
        <v>1</v>
      </c>
      <c r="AB448" s="114">
        <f>_xlfn.IFS(AT448&gt;51,3,AT448&gt;=34,2,AT448&lt;34,1)</f>
        <v>1</v>
      </c>
      <c r="AC448" s="114">
        <f>_xlfn.IFS(AS448&gt;35,1,AS448&gt;=28,2,AS448&lt;28,3)</f>
        <v>3</v>
      </c>
      <c r="AD448" s="114">
        <f>_xlfn.IFS(AR448&gt;2.3,3,AR448&gt;=1.7,2,AR448&lt;1.7,1)</f>
        <v>1</v>
      </c>
      <c r="AE448" s="114">
        <f t="shared" si="106"/>
        <v>8</v>
      </c>
      <c r="AF448" s="116" t="s">
        <v>63</v>
      </c>
      <c r="AG448" s="114">
        <f>AT448/17.1</f>
        <v>1.31578947368421</v>
      </c>
      <c r="AH448" s="114">
        <f>AU448/88.4</f>
        <v>0.84841628959276</v>
      </c>
      <c r="AI448" s="114">
        <f>AR448</f>
        <v>1.51</v>
      </c>
      <c r="AJ448" s="159">
        <f>LN(IF(AG448&gt;=1,AG448,1))*3.8+LN(IF(AH448&gt;=1,AH448,1))*9.6+11.2*LN(IF(AI448&gt;=1,AI448,1))+6.4*AN448</f>
        <v>12.0584881029272</v>
      </c>
      <c r="AK448" s="160">
        <f>IF(AND(AG448&gt;0,AH448&gt;0,AI448&gt;0),AJ448,"")</f>
        <v>12.0584881029272</v>
      </c>
      <c r="AL448" s="160">
        <f t="shared" si="107"/>
        <v>12.0584881029272</v>
      </c>
      <c r="AM448" s="160">
        <f>IF(AV448&gt;135,135,IF(AV448&lt;120,120,AV448))</f>
        <v>135</v>
      </c>
      <c r="AN448" s="114">
        <v>1</v>
      </c>
      <c r="AO448" s="114">
        <f>_xlfn.IFS(AJ448&lt;15,1,AJ448=15-18,2,AJ448&gt;18,3)</f>
        <v>1</v>
      </c>
      <c r="AP448" s="114">
        <v>8.12</v>
      </c>
      <c r="AQ448" s="114">
        <v>116</v>
      </c>
      <c r="AR448" s="114">
        <v>1.51</v>
      </c>
      <c r="AS448" s="160">
        <v>22</v>
      </c>
      <c r="AT448" s="161">
        <v>22.5</v>
      </c>
      <c r="AU448" s="114">
        <v>75</v>
      </c>
      <c r="AV448" s="114">
        <v>136</v>
      </c>
      <c r="AZ448" s="127" t="s">
        <v>1254</v>
      </c>
    </row>
    <row r="449" spans="1:52">
      <c r="A449" s="110" t="s">
        <v>1112</v>
      </c>
      <c r="B449" s="119" t="s">
        <v>53</v>
      </c>
      <c r="C449" s="117">
        <v>64</v>
      </c>
      <c r="D449" s="135">
        <v>1.59</v>
      </c>
      <c r="E449" s="117">
        <v>55</v>
      </c>
      <c r="F449" s="136">
        <f>E449/(D449*D449)</f>
        <v>21.7554685336814</v>
      </c>
      <c r="G449" s="117">
        <v>3</v>
      </c>
      <c r="I449" s="158">
        <v>44838</v>
      </c>
      <c r="J449" s="158">
        <v>44844</v>
      </c>
      <c r="L449" s="137">
        <v>3</v>
      </c>
      <c r="M449" s="138">
        <v>6</v>
      </c>
      <c r="N449" s="270" t="s">
        <v>1255</v>
      </c>
      <c r="O449" s="114"/>
      <c r="P449" s="114"/>
      <c r="Q449" s="114">
        <v>1</v>
      </c>
      <c r="R449" s="114"/>
      <c r="S449" s="114"/>
      <c r="T449" s="114">
        <v>1</v>
      </c>
      <c r="U449" s="114">
        <v>1</v>
      </c>
      <c r="V449" s="114">
        <v>1</v>
      </c>
      <c r="W449" s="114">
        <v>0</v>
      </c>
      <c r="X449" s="114">
        <v>1</v>
      </c>
      <c r="Y449" s="114">
        <v>2</v>
      </c>
      <c r="Z449" s="116" t="s">
        <v>300</v>
      </c>
      <c r="AA449" s="114">
        <v>2</v>
      </c>
      <c r="AB449" s="114">
        <f>_xlfn.IFS(AT449&gt;51,3,AT449&gt;=34,2,AT449&lt;34,1)</f>
        <v>1</v>
      </c>
      <c r="AC449" s="114">
        <f>_xlfn.IFS(AS449&gt;35,1,AS449&gt;=28,2,AS449&lt;28,3)</f>
        <v>2</v>
      </c>
      <c r="AD449" s="114">
        <f>_xlfn.IFS(AR449&gt;2.3,3,AR449&gt;=1.7,2,AR449&lt;1.7,1)</f>
        <v>1</v>
      </c>
      <c r="AE449" s="114">
        <f t="shared" si="106"/>
        <v>8</v>
      </c>
      <c r="AF449" s="116" t="s">
        <v>63</v>
      </c>
      <c r="AG449" s="114">
        <f>AT449/17.1</f>
        <v>0.298245614035088</v>
      </c>
      <c r="AH449" s="114">
        <f>AU449/88.4</f>
        <v>0.938914027149321</v>
      </c>
      <c r="AI449" s="114">
        <f>AR449</f>
        <v>1.05</v>
      </c>
      <c r="AJ449" s="159">
        <f>LN(IF(AG449&gt;=1,AG449,1))*3.8+LN(IF(AH449&gt;=1,AH449,1))*9.6+11.2*LN(IF(AI449&gt;=1,AI449,1))+6.4*AN449</f>
        <v>6.94644983869764</v>
      </c>
      <c r="AK449" s="160">
        <f>IF(AND(AG449&gt;0,AH449&gt;0,AI449&gt;0),AJ449,"")</f>
        <v>6.94644983869764</v>
      </c>
      <c r="AL449" s="160">
        <f t="shared" si="107"/>
        <v>6.94644983869764</v>
      </c>
      <c r="AM449" s="160">
        <f>IF(AV449&gt;135,135,IF(AV449&lt;120,120,AV449))</f>
        <v>135</v>
      </c>
      <c r="AN449" s="114">
        <v>1</v>
      </c>
      <c r="AO449" s="114">
        <f>_xlfn.IFS(AJ449&lt;15,1,AJ449=15-18,2,AJ449&gt;18,3)</f>
        <v>1</v>
      </c>
      <c r="AP449" s="114">
        <v>2.8</v>
      </c>
      <c r="AQ449" s="114">
        <v>82</v>
      </c>
      <c r="AR449" s="114">
        <v>1.05</v>
      </c>
      <c r="AS449" s="160">
        <v>32</v>
      </c>
      <c r="AT449" s="161">
        <v>5.1</v>
      </c>
      <c r="AU449" s="114">
        <v>83</v>
      </c>
      <c r="AV449" s="114">
        <v>145</v>
      </c>
      <c r="AZ449" s="119" t="s">
        <v>1256</v>
      </c>
    </row>
    <row r="450" spans="1:52">
      <c r="A450" s="110" t="s">
        <v>163</v>
      </c>
      <c r="B450" s="119" t="s">
        <v>53</v>
      </c>
      <c r="C450" s="117">
        <v>64</v>
      </c>
      <c r="D450" s="135">
        <v>1.55</v>
      </c>
      <c r="E450" s="117">
        <v>48</v>
      </c>
      <c r="F450" s="136">
        <f>E450/(D450*D450)</f>
        <v>19.9791883454735</v>
      </c>
      <c r="G450" s="117">
        <v>2</v>
      </c>
      <c r="I450" s="158">
        <v>44837</v>
      </c>
      <c r="J450" s="158">
        <v>44846</v>
      </c>
      <c r="L450" s="137">
        <v>2</v>
      </c>
      <c r="M450" s="138">
        <v>9</v>
      </c>
      <c r="N450" s="270" t="s">
        <v>1257</v>
      </c>
      <c r="O450" s="114"/>
      <c r="P450" s="114"/>
      <c r="Q450" s="114"/>
      <c r="R450" s="114">
        <v>1</v>
      </c>
      <c r="S450" s="114"/>
      <c r="T450" s="114">
        <v>1</v>
      </c>
      <c r="U450" s="114">
        <v>0</v>
      </c>
      <c r="V450" s="114">
        <v>1</v>
      </c>
      <c r="W450" s="114">
        <v>0</v>
      </c>
      <c r="X450" s="114">
        <v>1</v>
      </c>
      <c r="Y450" s="114">
        <v>1</v>
      </c>
      <c r="Z450" s="116" t="s">
        <v>300</v>
      </c>
      <c r="AA450" s="114">
        <v>2</v>
      </c>
      <c r="AB450" s="114">
        <f>_xlfn.IFS(AT450&gt;51,3,AT450&gt;=34,2,AT450&lt;34,1)</f>
        <v>1</v>
      </c>
      <c r="AC450" s="114">
        <f>_xlfn.IFS(AS450&gt;35,1,AS450&gt;=28,2,AS450&lt;28,3)</f>
        <v>2</v>
      </c>
      <c r="AD450" s="114">
        <f>_xlfn.IFS(AR450&gt;2.3,3,AR450&gt;=1.7,2,AR450&lt;1.7,1)</f>
        <v>1</v>
      </c>
      <c r="AE450" s="114">
        <f t="shared" si="106"/>
        <v>7</v>
      </c>
      <c r="AF450" s="116" t="s">
        <v>63</v>
      </c>
      <c r="AG450" s="114">
        <f>AT450/17.1</f>
        <v>1.54970760233918</v>
      </c>
      <c r="AH450" s="114">
        <f>AU450/88.4</f>
        <v>0.509049773755656</v>
      </c>
      <c r="AI450" s="114">
        <f>AR450</f>
        <v>1.09</v>
      </c>
      <c r="AJ450" s="159">
        <f>LN(IF(AG450&gt;=1,AG450,1))*3.8+LN(IF(AH450&gt;=1,AH450,1))*9.6+11.2*LN(IF(AI450&gt;=1,AI450,1))+6.4*AN450</f>
        <v>2.62984202193732</v>
      </c>
      <c r="AK450" s="160">
        <f>IF(AND(AG450&gt;0,AH450&gt;0,AI450&gt;0),AJ450,"")</f>
        <v>2.62984202193732</v>
      </c>
      <c r="AL450" s="160">
        <f t="shared" si="107"/>
        <v>2.62984202193732</v>
      </c>
      <c r="AM450" s="160">
        <f>IF(AV450&gt;135,135,IF(AV450&lt;120,120,AV450))</f>
        <v>135</v>
      </c>
      <c r="AN450" s="114">
        <v>0</v>
      </c>
      <c r="AO450" s="114">
        <f>_xlfn.IFS(AJ450&lt;15,1,AJ450=15-18,2,AJ450&gt;18,3)</f>
        <v>1</v>
      </c>
      <c r="AP450" s="114">
        <v>3.69</v>
      </c>
      <c r="AQ450" s="114">
        <v>103</v>
      </c>
      <c r="AR450" s="114">
        <v>1.09</v>
      </c>
      <c r="AS450" s="160">
        <v>33</v>
      </c>
      <c r="AT450" s="161">
        <v>26.5</v>
      </c>
      <c r="AU450" s="114">
        <v>45</v>
      </c>
      <c r="AV450" s="114">
        <v>144</v>
      </c>
      <c r="AZ450" s="119" t="s">
        <v>1258</v>
      </c>
    </row>
    <row r="451" spans="1:52">
      <c r="A451" s="119" t="s">
        <v>1259</v>
      </c>
      <c r="B451" s="119" t="s">
        <v>48</v>
      </c>
      <c r="C451" s="117">
        <v>39</v>
      </c>
      <c r="D451" s="135">
        <v>1.75</v>
      </c>
      <c r="E451" s="117">
        <v>54</v>
      </c>
      <c r="F451" s="136">
        <f>E451/(D451*D451)</f>
        <v>17.6326530612245</v>
      </c>
      <c r="G451" s="117">
        <v>3</v>
      </c>
      <c r="I451" s="158">
        <v>44840</v>
      </c>
      <c r="J451" s="158">
        <v>44845</v>
      </c>
      <c r="L451" s="137">
        <v>1</v>
      </c>
      <c r="M451" s="138">
        <v>5</v>
      </c>
      <c r="N451" s="270" t="s">
        <v>1260</v>
      </c>
      <c r="O451" s="114"/>
      <c r="P451" s="114">
        <v>1</v>
      </c>
      <c r="Q451" s="114"/>
      <c r="R451" s="114"/>
      <c r="S451" s="114"/>
      <c r="T451" s="114">
        <v>0</v>
      </c>
      <c r="U451" s="114">
        <v>0</v>
      </c>
      <c r="V451" s="114">
        <v>0</v>
      </c>
      <c r="W451" s="114">
        <v>0</v>
      </c>
      <c r="X451" s="114">
        <v>1</v>
      </c>
      <c r="Y451" s="114">
        <v>1</v>
      </c>
      <c r="Z451" s="116" t="s">
        <v>58</v>
      </c>
      <c r="AA451" s="114">
        <v>1</v>
      </c>
      <c r="AB451" s="114">
        <f>_xlfn.IFS(AT451&gt;51,3,AT451&gt;=34,2,AT451&lt;34,1)</f>
        <v>2</v>
      </c>
      <c r="AC451" s="114">
        <f>_xlfn.IFS(AS451&gt;35,1,AS451&gt;=28,2,AS451&lt;28,3)</f>
        <v>2</v>
      </c>
      <c r="AD451" s="114">
        <f>_xlfn.IFS(AR451&gt;2.3,3,AR451&gt;=1.7,2,AR451&lt;1.7,1)</f>
        <v>1</v>
      </c>
      <c r="AE451" s="114">
        <f t="shared" si="106"/>
        <v>7</v>
      </c>
      <c r="AF451" s="116" t="s">
        <v>63</v>
      </c>
      <c r="AG451" s="114">
        <f>AT451/17.1</f>
        <v>2.71929824561403</v>
      </c>
      <c r="AH451" s="114">
        <f>AU451/88.4</f>
        <v>0.486425339366516</v>
      </c>
      <c r="AI451" s="114">
        <f>AR451</f>
        <v>0.98</v>
      </c>
      <c r="AJ451" s="159">
        <f>LN(IF(AG451&gt;=1,AG451,1))*3.8+LN(IF(AH451&gt;=1,AH451,1))*9.6+11.2*LN(IF(AI451&gt;=1,AI451,1))+6.4*AN451</f>
        <v>3.80142062652185</v>
      </c>
      <c r="AK451" s="160">
        <f>IF(AND(AG451&gt;0,AH451&gt;0,AI451&gt;0),AJ451,"")</f>
        <v>3.80142062652185</v>
      </c>
      <c r="AL451" s="160">
        <f t="shared" si="107"/>
        <v>3.80142062652185</v>
      </c>
      <c r="AM451" s="160">
        <f>IF(AV451&gt;135,135,IF(AV451&lt;120,120,AV451))</f>
        <v>135</v>
      </c>
      <c r="AN451" s="114">
        <v>0</v>
      </c>
      <c r="AO451" s="114">
        <f>_xlfn.IFS(AJ451&lt;15,1,AJ451=15-18,2,AJ451&gt;18,3)</f>
        <v>1</v>
      </c>
      <c r="AP451" s="114">
        <v>5.71</v>
      </c>
      <c r="AQ451" s="114">
        <v>104</v>
      </c>
      <c r="AR451" s="114">
        <v>0.98</v>
      </c>
      <c r="AS451" s="160">
        <v>33</v>
      </c>
      <c r="AT451" s="161">
        <v>46.5</v>
      </c>
      <c r="AU451" s="114">
        <v>43</v>
      </c>
      <c r="AV451" s="114">
        <v>143</v>
      </c>
      <c r="AZ451" s="119" t="s">
        <v>1261</v>
      </c>
    </row>
    <row r="452" spans="1:52">
      <c r="A452" s="119" t="s">
        <v>1262</v>
      </c>
      <c r="B452" s="119" t="s">
        <v>53</v>
      </c>
      <c r="C452" s="117">
        <v>73</v>
      </c>
      <c r="D452" s="135">
        <v>1.53</v>
      </c>
      <c r="E452" s="117">
        <v>50</v>
      </c>
      <c r="F452" s="136">
        <f>E452/(D452*D452)</f>
        <v>21.359306249733</v>
      </c>
      <c r="G452" s="117">
        <v>7</v>
      </c>
      <c r="I452" s="158">
        <v>44841</v>
      </c>
      <c r="J452" s="158">
        <v>44852</v>
      </c>
      <c r="L452" s="137">
        <v>1</v>
      </c>
      <c r="M452" s="138">
        <v>11</v>
      </c>
      <c r="N452" s="270" t="s">
        <v>1263</v>
      </c>
      <c r="O452" s="114"/>
      <c r="P452" s="114"/>
      <c r="Q452" s="114"/>
      <c r="R452" s="114"/>
      <c r="S452" s="114">
        <v>1</v>
      </c>
      <c r="T452" s="114">
        <v>1</v>
      </c>
      <c r="U452" s="114">
        <v>0</v>
      </c>
      <c r="V452" s="114">
        <v>1</v>
      </c>
      <c r="W452" s="114">
        <v>0</v>
      </c>
      <c r="X452" s="114">
        <v>1</v>
      </c>
      <c r="Y452" s="114">
        <v>1</v>
      </c>
      <c r="Z452" s="116" t="s">
        <v>321</v>
      </c>
      <c r="AA452" s="114">
        <v>3</v>
      </c>
      <c r="AB452" s="114">
        <f>_xlfn.IFS(AT452&gt;51,3,AT452&gt;=34,2,AT452&lt;34,1)</f>
        <v>1</v>
      </c>
      <c r="AC452" s="114">
        <f>_xlfn.IFS(AS452&gt;35,1,AS452&gt;=28,2,AS452&lt;28,3)</f>
        <v>2</v>
      </c>
      <c r="AD452" s="114">
        <f>_xlfn.IFS(AR452&gt;2.3,3,AR452&gt;=1.7,2,AR452&lt;1.7,1)</f>
        <v>1</v>
      </c>
      <c r="AE452" s="114">
        <f t="shared" si="106"/>
        <v>8</v>
      </c>
      <c r="AF452" s="116" t="s">
        <v>63</v>
      </c>
      <c r="AG452" s="114">
        <f>AT452/17.1</f>
        <v>1.2046783625731</v>
      </c>
      <c r="AH452" s="114">
        <f>AU452/88.4</f>
        <v>0.407239819004525</v>
      </c>
      <c r="AI452" s="114">
        <f>AR452</f>
        <v>1.27</v>
      </c>
      <c r="AJ452" s="159">
        <f>LN(IF(AG452&gt;=1,AG452,1))*3.8+LN(IF(AH452&gt;=1,AH452,1))*9.6+11.2*LN(IF(AI452&gt;=1,AI452,1))+6.4*AN452</f>
        <v>9.7845972119599</v>
      </c>
      <c r="AK452" s="160">
        <f>IF(AND(AG452&gt;0,AH452&gt;0,AI452&gt;0),AJ452,"")</f>
        <v>9.7845972119599</v>
      </c>
      <c r="AL452" s="160">
        <f t="shared" si="107"/>
        <v>9.7845972119599</v>
      </c>
      <c r="AM452" s="160">
        <f>IF(AV452&gt;135,135,IF(AV452&lt;120,120,AV452))</f>
        <v>135</v>
      </c>
      <c r="AN452" s="114">
        <v>1</v>
      </c>
      <c r="AO452" s="114">
        <f>_xlfn.IFS(AJ452&lt;15,1,AJ452=15-18,2,AJ452&gt;18,3)</f>
        <v>1</v>
      </c>
      <c r="AP452" s="114">
        <v>2.45</v>
      </c>
      <c r="AQ452" s="114">
        <v>82</v>
      </c>
      <c r="AR452" s="114">
        <v>1.27</v>
      </c>
      <c r="AS452" s="160">
        <v>30</v>
      </c>
      <c r="AT452" s="161">
        <v>20.6</v>
      </c>
      <c r="AU452" s="114">
        <v>36</v>
      </c>
      <c r="AV452" s="114">
        <v>138</v>
      </c>
      <c r="AZ452" s="119" t="s">
        <v>1264</v>
      </c>
    </row>
    <row r="453" s="125" customFormat="1" spans="1:52">
      <c r="A453" s="131" t="s">
        <v>1265</v>
      </c>
      <c r="B453" s="131" t="s">
        <v>48</v>
      </c>
      <c r="C453" s="125">
        <v>60</v>
      </c>
      <c r="D453" s="185">
        <v>1.62</v>
      </c>
      <c r="E453" s="125">
        <v>45</v>
      </c>
      <c r="F453" s="216">
        <f>E453/(D453*D453)</f>
        <v>17.1467764060357</v>
      </c>
      <c r="G453" s="125">
        <v>7</v>
      </c>
      <c r="I453" s="186">
        <v>44842</v>
      </c>
      <c r="J453" s="186">
        <v>44853</v>
      </c>
      <c r="L453" s="187">
        <v>1</v>
      </c>
      <c r="M453" s="187">
        <v>11</v>
      </c>
      <c r="N453" s="248" t="s">
        <v>1266</v>
      </c>
      <c r="S453" s="125">
        <v>1</v>
      </c>
      <c r="T453" s="125">
        <v>1</v>
      </c>
      <c r="U453" s="125">
        <v>0</v>
      </c>
      <c r="V453" s="125">
        <v>0</v>
      </c>
      <c r="W453" s="125">
        <v>0</v>
      </c>
      <c r="X453" s="125">
        <v>1</v>
      </c>
      <c r="Y453" s="125">
        <v>1</v>
      </c>
      <c r="Z453" s="131" t="s">
        <v>321</v>
      </c>
      <c r="AA453" s="125">
        <v>3</v>
      </c>
      <c r="AB453" s="125">
        <f>_xlfn.IFS(AT453&gt;51,3,AT453&gt;=34,2,AT453&lt;34,1)</f>
        <v>3</v>
      </c>
      <c r="AC453" s="125">
        <f>_xlfn.IFS(AS453&gt;35,1,AS453&gt;=28,2,AS453&lt;28,3)</f>
        <v>3</v>
      </c>
      <c r="AD453" s="114">
        <f>_xlfn.IFS(AR453&gt;2.3,3,AR453&gt;=1.7,2,AR453&lt;1.7,1)</f>
        <v>1</v>
      </c>
      <c r="AE453" s="125">
        <f>Y453+AA453+AB453+AC453+AD453</f>
        <v>11</v>
      </c>
      <c r="AF453" s="131" t="s">
        <v>50</v>
      </c>
      <c r="AG453" s="125">
        <f>AT453/17.1</f>
        <v>5.94152046783626</v>
      </c>
      <c r="AH453" s="125">
        <f>AU453/88.4</f>
        <v>0.610859728506787</v>
      </c>
      <c r="AI453" s="125">
        <f>AR453</f>
        <v>1.51</v>
      </c>
      <c r="AJ453" s="240">
        <f>LN(IF(AG453&gt;=1,AG453,1))*3.8+LN(IF(AH453&gt;=1,AH453,1))*9.6+11.2*LN(IF(AI453&gt;=1,AI453,1))+6.4*AN453</f>
        <v>17.7870953614764</v>
      </c>
      <c r="AK453" s="241">
        <f>IF(AND(AG453&gt;0,AH453&gt;0,AI453&gt;0),AJ453,"")</f>
        <v>17.7870953614764</v>
      </c>
      <c r="AL453" s="241">
        <f>AK453+1.59*(135-AM453)</f>
        <v>24.1470953614764</v>
      </c>
      <c r="AM453" s="241">
        <f>IF(AV453&gt;135,135,IF(AV453&lt;120,120,AV453))</f>
        <v>131</v>
      </c>
      <c r="AN453" s="125">
        <v>1</v>
      </c>
      <c r="AO453" s="114">
        <v>2</v>
      </c>
      <c r="AP453" s="125">
        <v>4.23</v>
      </c>
      <c r="AQ453" s="125">
        <v>93</v>
      </c>
      <c r="AR453" s="125">
        <v>1.51</v>
      </c>
      <c r="AS453" s="241">
        <v>22</v>
      </c>
      <c r="AT453" s="242">
        <v>101.6</v>
      </c>
      <c r="AU453" s="125">
        <v>54</v>
      </c>
      <c r="AV453" s="125">
        <v>131</v>
      </c>
      <c r="AZ453" s="131" t="s">
        <v>1267</v>
      </c>
    </row>
    <row r="454" s="123" customFormat="1" spans="1:52">
      <c r="A454" s="271" t="s">
        <v>910</v>
      </c>
      <c r="B454" s="132" t="s">
        <v>48</v>
      </c>
      <c r="C454" s="123">
        <v>54</v>
      </c>
      <c r="D454" s="176">
        <v>1.73</v>
      </c>
      <c r="E454" s="123">
        <v>80</v>
      </c>
      <c r="F454" s="189">
        <f>E454/(D454*D454)</f>
        <v>26.7299274950717</v>
      </c>
      <c r="G454" s="123">
        <v>6</v>
      </c>
      <c r="I454" s="177">
        <v>44841</v>
      </c>
      <c r="J454" s="177">
        <v>44851</v>
      </c>
      <c r="L454" s="178">
        <v>2</v>
      </c>
      <c r="M454" s="178">
        <v>10</v>
      </c>
      <c r="N454" s="254" t="s">
        <v>1268</v>
      </c>
      <c r="O454" s="114"/>
      <c r="P454" s="114">
        <v>1</v>
      </c>
      <c r="Q454" s="114"/>
      <c r="R454" s="114"/>
      <c r="S454" s="114"/>
      <c r="T454" s="114">
        <v>0</v>
      </c>
      <c r="U454" s="114">
        <v>0</v>
      </c>
      <c r="V454" s="114">
        <v>1</v>
      </c>
      <c r="W454" s="114">
        <v>0</v>
      </c>
      <c r="X454" s="114">
        <v>1</v>
      </c>
      <c r="Y454" s="114">
        <v>1</v>
      </c>
      <c r="Z454" s="116" t="s">
        <v>58</v>
      </c>
      <c r="AA454" s="114">
        <v>1</v>
      </c>
      <c r="AB454" s="114">
        <f>_xlfn.IFS(AT454&gt;51,3,AT454&gt;=34,2,AT454&lt;34,1)</f>
        <v>3</v>
      </c>
      <c r="AC454" s="114">
        <f>_xlfn.IFS(AS454&gt;35,1,AS454&gt;=28,2,AS454&lt;28,3)</f>
        <v>3</v>
      </c>
      <c r="AD454" s="114">
        <f>_xlfn.IFS(AR454&gt;2.3,3,AR454&gt;=1.7,2,AR454&lt;1.7,1)</f>
        <v>1</v>
      </c>
      <c r="AE454" s="114">
        <f>Y454+AA454+AB454+AC454+AD454</f>
        <v>9</v>
      </c>
      <c r="AF454" s="116" t="s">
        <v>63</v>
      </c>
      <c r="AG454" s="114">
        <f>AT454/17.1</f>
        <v>4.48538011695906</v>
      </c>
      <c r="AH454" s="114">
        <f>AU454/88.4</f>
        <v>0.80316742081448</v>
      </c>
      <c r="AI454" s="114">
        <f>AR454</f>
        <v>1.42</v>
      </c>
      <c r="AJ454" s="159">
        <f>LN(IF(AG454&gt;=1,AG454,1))*3.8+LN(IF(AH454&gt;=1,AH454,1))*9.6+11.2*LN(IF(AI454&gt;=1,AI454,1))+6.4*AN454</f>
        <v>9.63048529255296</v>
      </c>
      <c r="AK454" s="160">
        <f>IF(AND(AG454&gt;0,AH454&gt;0,AI454&gt;0),AJ454,"")</f>
        <v>9.63048529255296</v>
      </c>
      <c r="AL454" s="160">
        <f>AK454+1.59*(135-AM454)</f>
        <v>9.63048529255296</v>
      </c>
      <c r="AM454" s="160">
        <f>IF(AV454&gt;135,135,IF(AV454&lt;120,120,AV454))</f>
        <v>135</v>
      </c>
      <c r="AN454" s="114">
        <v>0</v>
      </c>
      <c r="AO454" s="114">
        <v>1</v>
      </c>
      <c r="AP454" s="114">
        <v>7.58</v>
      </c>
      <c r="AQ454" s="114">
        <v>118</v>
      </c>
      <c r="AR454" s="114">
        <v>1.42</v>
      </c>
      <c r="AS454" s="160">
        <v>26</v>
      </c>
      <c r="AT454" s="161">
        <v>76.7</v>
      </c>
      <c r="AU454" s="114">
        <v>71</v>
      </c>
      <c r="AV454" s="114">
        <v>137</v>
      </c>
      <c r="AZ454" s="132" t="s">
        <v>1269</v>
      </c>
    </row>
    <row r="455" spans="1:52">
      <c r="A455" s="110" t="s">
        <v>1270</v>
      </c>
      <c r="B455" s="119" t="s">
        <v>53</v>
      </c>
      <c r="C455" s="117">
        <v>70</v>
      </c>
      <c r="D455" s="135">
        <v>1.65</v>
      </c>
      <c r="E455" s="117">
        <v>70</v>
      </c>
      <c r="F455" s="136">
        <f>E455/(D455*D455)</f>
        <v>25.7116620752984</v>
      </c>
      <c r="G455" s="117">
        <v>0</v>
      </c>
      <c r="I455" s="158">
        <v>44825</v>
      </c>
      <c r="J455" s="158">
        <v>44828</v>
      </c>
      <c r="L455" s="137">
        <v>3</v>
      </c>
      <c r="M455" s="138">
        <v>3</v>
      </c>
      <c r="N455" s="270" t="s">
        <v>1271</v>
      </c>
      <c r="O455" s="114"/>
      <c r="P455" s="114"/>
      <c r="Q455" s="114"/>
      <c r="R455" s="114"/>
      <c r="S455" s="114">
        <v>1</v>
      </c>
      <c r="T455" s="114">
        <v>0</v>
      </c>
      <c r="U455" s="114">
        <v>0</v>
      </c>
      <c r="V455" s="114">
        <v>1</v>
      </c>
      <c r="W455" s="114">
        <v>0</v>
      </c>
      <c r="X455" s="114">
        <v>1</v>
      </c>
      <c r="Y455" s="114">
        <v>1</v>
      </c>
      <c r="Z455" s="116" t="s">
        <v>58</v>
      </c>
      <c r="AA455" s="114">
        <v>1</v>
      </c>
      <c r="AB455" s="114">
        <f>_xlfn.IFS(AT455&gt;51,3,AT455&gt;=34,2,AT455&lt;34,1)</f>
        <v>1</v>
      </c>
      <c r="AC455" s="114">
        <f>_xlfn.IFS(AS455&gt;35,1,AS455&gt;=28,2,AS455&lt;28,3)</f>
        <v>1</v>
      </c>
      <c r="AD455" s="114">
        <f>_xlfn.IFS(AR455&gt;2.3,3,AR455&gt;=1.7,2,AR455&lt;1.7,1)</f>
        <v>1</v>
      </c>
      <c r="AE455" s="114">
        <f>Y455+AA455+AB455+AC455+AD455</f>
        <v>5</v>
      </c>
      <c r="AF455" s="116" t="s">
        <v>59</v>
      </c>
      <c r="AG455" s="114">
        <f>AT455/17.1</f>
        <v>0.350877192982456</v>
      </c>
      <c r="AH455" s="114">
        <f>AU455/88.4</f>
        <v>0.82579185520362</v>
      </c>
      <c r="AI455" s="114">
        <f>AR455</f>
        <v>1.14</v>
      </c>
      <c r="AJ455" s="159">
        <f>LN(IF(AG455&gt;=1,AG455,1))*3.8+LN(IF(AH455&gt;=1,AH455,1))*9.6+11.2*LN(IF(AI455&gt;=1,AI455,1))+6.4*AN455</f>
        <v>7.86751653895173</v>
      </c>
      <c r="AK455" s="160">
        <f>IF(AND(AG455&gt;0,AH455&gt;0,AI455&gt;0),AJ455,"")</f>
        <v>7.86751653895173</v>
      </c>
      <c r="AL455" s="160">
        <f>AK455+1.59*(135-AM455)</f>
        <v>7.86751653895173</v>
      </c>
      <c r="AM455" s="160">
        <f>IF(AV455&gt;135,135,IF(AV455&lt;120,120,AV455))</f>
        <v>135</v>
      </c>
      <c r="AN455" s="114">
        <v>1</v>
      </c>
      <c r="AO455" s="114">
        <f>_xlfn.IFS(AJ455&lt;15,1,AJ455=15-18,2,AJ455&gt;18,3)</f>
        <v>1</v>
      </c>
      <c r="AP455" s="114">
        <v>11.27</v>
      </c>
      <c r="AQ455" s="114">
        <v>96</v>
      </c>
      <c r="AR455" s="114">
        <v>1.14</v>
      </c>
      <c r="AS455" s="160">
        <v>39</v>
      </c>
      <c r="AT455" s="161">
        <v>6</v>
      </c>
      <c r="AU455" s="114">
        <v>73</v>
      </c>
      <c r="AV455" s="114">
        <v>140</v>
      </c>
      <c r="AZ455" s="119" t="s">
        <v>1272</v>
      </c>
    </row>
    <row r="456" s="123" customFormat="1" spans="1:52">
      <c r="A456" s="132" t="s">
        <v>1273</v>
      </c>
      <c r="B456" s="132" t="s">
        <v>48</v>
      </c>
      <c r="C456" s="123">
        <v>62</v>
      </c>
      <c r="D456" s="176">
        <v>1.75</v>
      </c>
      <c r="E456" s="123">
        <v>77</v>
      </c>
      <c r="F456" s="189">
        <f>E456/(D456*D456)</f>
        <v>25.1428571428571</v>
      </c>
      <c r="G456" s="123">
        <v>7</v>
      </c>
      <c r="I456" s="177">
        <v>44840</v>
      </c>
      <c r="J456" s="177">
        <v>44851</v>
      </c>
      <c r="L456" s="178">
        <v>1</v>
      </c>
      <c r="M456" s="178">
        <v>11</v>
      </c>
      <c r="N456" s="254" t="s">
        <v>1274</v>
      </c>
      <c r="O456" s="114"/>
      <c r="P456" s="114"/>
      <c r="Q456" s="114"/>
      <c r="R456" s="114"/>
      <c r="S456" s="114">
        <v>1</v>
      </c>
      <c r="T456" s="114">
        <v>1</v>
      </c>
      <c r="U456" s="114">
        <v>0</v>
      </c>
      <c r="V456" s="114">
        <v>1</v>
      </c>
      <c r="W456" s="114">
        <v>0</v>
      </c>
      <c r="X456" s="114">
        <v>1</v>
      </c>
      <c r="Y456" s="114">
        <v>1</v>
      </c>
      <c r="Z456" s="116" t="s">
        <v>300</v>
      </c>
      <c r="AA456" s="114">
        <v>2</v>
      </c>
      <c r="AB456" s="114">
        <f>_xlfn.IFS(AT456&gt;51,3,AT456&gt;=34,2,AT456&lt;34,1)</f>
        <v>1</v>
      </c>
      <c r="AC456" s="114">
        <f>_xlfn.IFS(AS456&gt;35,1,AS456&gt;=28,2,AS456&lt;28,3)</f>
        <v>2</v>
      </c>
      <c r="AD456" s="114">
        <f>_xlfn.IFS(AR456&gt;2.3,3,AR456&gt;=1.7,2,AR456&lt;1.7,1)</f>
        <v>1</v>
      </c>
      <c r="AE456" s="114">
        <f>Y456+AA456+AB456+AC456+AD456</f>
        <v>7</v>
      </c>
      <c r="AF456" s="116" t="s">
        <v>63</v>
      </c>
      <c r="AG456" s="114">
        <f>AT456/17.1</f>
        <v>0.134502923976608</v>
      </c>
      <c r="AH456" s="114">
        <f>AU456/88.4</f>
        <v>0.712669683257918</v>
      </c>
      <c r="AI456" s="114">
        <f>AR456</f>
        <v>1.11</v>
      </c>
      <c r="AJ456" s="159">
        <f>LN(IF(AG456&gt;=1,AG456,1))*3.8+LN(IF(AH456&gt;=1,AH456,1))*9.6+11.2*LN(IF(AI456&gt;=1,AI456,1))+6.4*AN456</f>
        <v>7.56883217163152</v>
      </c>
      <c r="AK456" s="160">
        <f>IF(AND(AG456&gt;0,AH456&gt;0,AI456&gt;0),AJ456,"")</f>
        <v>7.56883217163152</v>
      </c>
      <c r="AL456" s="160">
        <f>AK456+1.59*(135-AM456)</f>
        <v>7.56883217163152</v>
      </c>
      <c r="AM456" s="160">
        <f>IF(AV456&gt;135,135,IF(AV456&lt;120,120,AV456))</f>
        <v>135</v>
      </c>
      <c r="AN456" s="114">
        <v>1</v>
      </c>
      <c r="AO456" s="114">
        <f>_xlfn.IFS(AJ456&lt;15,1,AJ456=15-18,2,AJ456&gt;18,3)</f>
        <v>1</v>
      </c>
      <c r="AP456" s="114">
        <v>3.24</v>
      </c>
      <c r="AQ456" s="114">
        <v>72</v>
      </c>
      <c r="AR456" s="114">
        <v>1.11</v>
      </c>
      <c r="AS456" s="160">
        <v>34</v>
      </c>
      <c r="AT456" s="161">
        <v>2.3</v>
      </c>
      <c r="AU456" s="114">
        <v>63</v>
      </c>
      <c r="AV456" s="114">
        <v>146</v>
      </c>
      <c r="AZ456" s="132" t="s">
        <v>1275</v>
      </c>
    </row>
    <row r="457" s="125" customFormat="1" spans="1:52">
      <c r="A457" s="131" t="s">
        <v>1276</v>
      </c>
      <c r="B457" s="131" t="s">
        <v>48</v>
      </c>
      <c r="C457" s="125">
        <v>57</v>
      </c>
      <c r="D457" s="185">
        <v>1.75</v>
      </c>
      <c r="E457" s="125">
        <v>63</v>
      </c>
      <c r="F457" s="216">
        <f>E457/(D457*D457)</f>
        <v>20.5714285714286</v>
      </c>
      <c r="G457" s="125">
        <v>5</v>
      </c>
      <c r="I457" s="186">
        <v>44854</v>
      </c>
      <c r="J457" s="186">
        <v>44862</v>
      </c>
      <c r="L457" s="187">
        <v>4</v>
      </c>
      <c r="M457" s="187">
        <v>8</v>
      </c>
      <c r="N457" s="248" t="s">
        <v>1277</v>
      </c>
      <c r="O457" s="114">
        <v>1</v>
      </c>
      <c r="P457" s="114"/>
      <c r="Q457" s="114"/>
      <c r="R457" s="114"/>
      <c r="S457" s="114"/>
      <c r="T457" s="114">
        <v>1</v>
      </c>
      <c r="U457" s="114">
        <v>0</v>
      </c>
      <c r="V457" s="114">
        <v>1</v>
      </c>
      <c r="W457" s="114">
        <v>0</v>
      </c>
      <c r="X457" s="114">
        <v>1</v>
      </c>
      <c r="Y457" s="114">
        <v>1</v>
      </c>
      <c r="Z457" s="116" t="s">
        <v>307</v>
      </c>
      <c r="AA457" s="114">
        <v>3</v>
      </c>
      <c r="AB457" s="114">
        <f>_xlfn.IFS(AT457&gt;51,3,AT457&gt;=34,2,AT457&lt;34,1)</f>
        <v>1</v>
      </c>
      <c r="AC457" s="114">
        <f>_xlfn.IFS(AS457&gt;35,1,AS457&gt;=28,2,AS457&lt;28,3)</f>
        <v>3</v>
      </c>
      <c r="AD457" s="114">
        <f>_xlfn.IFS(AR457&gt;2.3,3,AR457&gt;=1.7,2,AR457&lt;1.7,1)</f>
        <v>1</v>
      </c>
      <c r="AE457" s="114">
        <f>Y457+AA457+AB457+AC457+AD457</f>
        <v>9</v>
      </c>
      <c r="AF457" s="116" t="s">
        <v>63</v>
      </c>
      <c r="AG457" s="114">
        <f>AT457/17.1</f>
        <v>0.789473684210526</v>
      </c>
      <c r="AH457" s="114">
        <f>AU457/88.4</f>
        <v>0.701357466063348</v>
      </c>
      <c r="AI457" s="114">
        <f>AR457</f>
        <v>1.24</v>
      </c>
      <c r="AJ457" s="159">
        <f>LN(IF(AG457&gt;=1,AG457,1))*3.8+LN(IF(AH457&gt;=1,AH457,1))*9.6+11.2*LN(IF(AI457&gt;=1,AI457,1))+6.4*AN457</f>
        <v>8.80924745170979</v>
      </c>
      <c r="AK457" s="160">
        <f>IF(AND(AG457&gt;0,AH457&gt;0,AI457&gt;0),AJ457,"")</f>
        <v>8.80924745170979</v>
      </c>
      <c r="AL457" s="160">
        <f>AK457+1.59*(135-AM457)</f>
        <v>8.80924745170979</v>
      </c>
      <c r="AM457" s="160">
        <f>IF(AV457&gt;135,135,IF(AV457&lt;120,120,AV457))</f>
        <v>135</v>
      </c>
      <c r="AN457" s="114">
        <v>1</v>
      </c>
      <c r="AO457" s="114">
        <f>_xlfn.IFS(AJ457&lt;15,1,AJ457=15-18,2,AJ457&gt;18,3)</f>
        <v>1</v>
      </c>
      <c r="AP457" s="114">
        <v>4.19</v>
      </c>
      <c r="AQ457" s="114">
        <v>87</v>
      </c>
      <c r="AR457" s="114">
        <v>1.24</v>
      </c>
      <c r="AS457" s="160">
        <v>23</v>
      </c>
      <c r="AT457" s="161">
        <v>13.5</v>
      </c>
      <c r="AU457" s="114">
        <v>62</v>
      </c>
      <c r="AV457" s="114">
        <v>138</v>
      </c>
      <c r="AZ457" s="131" t="s">
        <v>1278</v>
      </c>
    </row>
    <row r="458" s="123" customFormat="1" spans="1:52">
      <c r="A458" s="271" t="s">
        <v>1273</v>
      </c>
      <c r="B458" s="132" t="s">
        <v>48</v>
      </c>
      <c r="C458" s="123">
        <v>62</v>
      </c>
      <c r="D458" s="176">
        <v>1.75</v>
      </c>
      <c r="E458" s="123">
        <v>73</v>
      </c>
      <c r="F458" s="189">
        <f>E458/(D458*D458)</f>
        <v>23.8367346938776</v>
      </c>
      <c r="G458" s="123">
        <v>7</v>
      </c>
      <c r="I458" s="177">
        <v>44854</v>
      </c>
      <c r="J458" s="177">
        <v>44866</v>
      </c>
      <c r="L458" s="178">
        <v>2</v>
      </c>
      <c r="M458" s="178">
        <v>12</v>
      </c>
      <c r="N458" s="254" t="s">
        <v>1279</v>
      </c>
      <c r="O458" s="114"/>
      <c r="P458" s="114"/>
      <c r="Q458" s="114"/>
      <c r="R458" s="114"/>
      <c r="S458" s="114">
        <v>1</v>
      </c>
      <c r="T458" s="114">
        <v>1</v>
      </c>
      <c r="U458" s="114">
        <v>0</v>
      </c>
      <c r="V458" s="114">
        <v>1</v>
      </c>
      <c r="W458" s="114">
        <v>1</v>
      </c>
      <c r="X458" s="114">
        <v>1</v>
      </c>
      <c r="Y458" s="114">
        <v>1</v>
      </c>
      <c r="Z458" s="116" t="s">
        <v>300</v>
      </c>
      <c r="AA458" s="114">
        <v>2</v>
      </c>
      <c r="AB458" s="114">
        <f>_xlfn.IFS(AT458&gt;51,3,AT458&gt;=34,2,AT458&lt;34,1)</f>
        <v>1</v>
      </c>
      <c r="AC458" s="114">
        <f>_xlfn.IFS(AS458&gt;35,1,AS458&gt;=28,2,AS458&lt;28,3)</f>
        <v>2</v>
      </c>
      <c r="AD458" s="114">
        <f>_xlfn.IFS(AR458&gt;2.3,3,AR458&gt;=1.7,2,AR458&lt;1.7,1)</f>
        <v>1</v>
      </c>
      <c r="AE458" s="114">
        <f>Y458+AA458+AB458+AC458+AD458</f>
        <v>7</v>
      </c>
      <c r="AF458" s="116" t="s">
        <v>63</v>
      </c>
      <c r="AG458" s="114">
        <f>AT458/17.1</f>
        <v>0.491228070175439</v>
      </c>
      <c r="AH458" s="114">
        <f>AU458/88.4</f>
        <v>0.361990950226244</v>
      </c>
      <c r="AI458" s="114">
        <f>AR458</f>
        <v>1.15</v>
      </c>
      <c r="AJ458" s="159">
        <f>LN(IF(AG458&gt;=1,AG458,1))*3.8+LN(IF(AH458&gt;=1,AH458,1))*9.6+11.2*LN(IF(AI458&gt;=1,AI458,1))+6.4*AN458</f>
        <v>7.96533375460178</v>
      </c>
      <c r="AK458" s="160">
        <f>IF(AND(AG458&gt;0,AH458&gt;0,AI458&gt;0),AJ458,"")</f>
        <v>7.96533375460178</v>
      </c>
      <c r="AL458" s="160">
        <f>AK458+1.59*(135-AM458)</f>
        <v>7.96533375460178</v>
      </c>
      <c r="AM458" s="160">
        <f>IF(AV458&gt;135,135,IF(AV458&lt;120,120,AV458))</f>
        <v>135</v>
      </c>
      <c r="AN458" s="114">
        <v>1</v>
      </c>
      <c r="AO458" s="114">
        <f>_xlfn.IFS(AJ458&lt;15,1,AJ458=15-18,2,AJ458&gt;18,3)</f>
        <v>1</v>
      </c>
      <c r="AP458" s="114">
        <v>2.68</v>
      </c>
      <c r="AQ458" s="114">
        <v>73</v>
      </c>
      <c r="AR458" s="114">
        <v>1.15</v>
      </c>
      <c r="AS458" s="160">
        <v>28</v>
      </c>
      <c r="AT458" s="161">
        <v>8.4</v>
      </c>
      <c r="AU458" s="114">
        <v>32</v>
      </c>
      <c r="AV458" s="114">
        <v>136</v>
      </c>
      <c r="AZ458" s="132" t="s">
        <v>1280</v>
      </c>
    </row>
    <row r="459" spans="1:52">
      <c r="A459" s="119" t="s">
        <v>1281</v>
      </c>
      <c r="B459" s="119" t="s">
        <v>53</v>
      </c>
      <c r="C459" s="117">
        <v>68</v>
      </c>
      <c r="D459" s="135">
        <v>1.55</v>
      </c>
      <c r="E459" s="117">
        <v>80</v>
      </c>
      <c r="F459" s="136">
        <f>E459/(D459*D459)</f>
        <v>33.2986472424558</v>
      </c>
      <c r="G459" s="117">
        <v>0</v>
      </c>
      <c r="I459" s="158">
        <v>44854</v>
      </c>
      <c r="J459" s="158">
        <v>44862</v>
      </c>
      <c r="L459" s="137">
        <v>1</v>
      </c>
      <c r="M459" s="138">
        <v>8</v>
      </c>
      <c r="N459" s="270" t="s">
        <v>1282</v>
      </c>
      <c r="O459" s="114"/>
      <c r="P459" s="114"/>
      <c r="Q459" s="114"/>
      <c r="R459" s="114"/>
      <c r="S459" s="114">
        <v>1</v>
      </c>
      <c r="T459" s="114">
        <v>0</v>
      </c>
      <c r="U459" s="114">
        <v>0</v>
      </c>
      <c r="V459" s="114">
        <v>1</v>
      </c>
      <c r="W459" s="114">
        <v>0</v>
      </c>
      <c r="X459" s="114">
        <v>1</v>
      </c>
      <c r="Y459" s="114">
        <v>1</v>
      </c>
      <c r="Z459" s="116" t="s">
        <v>58</v>
      </c>
      <c r="AA459" s="114">
        <v>1</v>
      </c>
      <c r="AB459" s="114">
        <f>_xlfn.IFS(AT459&gt;51,3,AT459&gt;=34,2,AT459&lt;34,1)</f>
        <v>1</v>
      </c>
      <c r="AC459" s="114">
        <f>_xlfn.IFS(AS459&gt;35,1,AS459&gt;=28,2,AS459&lt;28,3)</f>
        <v>2</v>
      </c>
      <c r="AD459" s="114">
        <f>_xlfn.IFS(AR459&gt;2.3,3,AR459&gt;=1.7,2,AR459&lt;1.7,1)</f>
        <v>1</v>
      </c>
      <c r="AE459" s="114">
        <f>Y459+AA459+AB459+AC459+AD459</f>
        <v>6</v>
      </c>
      <c r="AF459" s="116" t="s">
        <v>59</v>
      </c>
      <c r="AG459" s="114">
        <f>AT459/17.1</f>
        <v>0.502923976608187</v>
      </c>
      <c r="AH459" s="114">
        <f>AU459/88.4</f>
        <v>0.735294117647059</v>
      </c>
      <c r="AI459" s="114">
        <f>AR459</f>
        <v>1.09</v>
      </c>
      <c r="AJ459" s="159">
        <f>LN(IF(AG459&gt;=1,AG459,1))*3.8+LN(IF(AH459&gt;=1,AH459,1))*9.6+11.2*LN(IF(AI459&gt;=1,AI459,1))+6.4*AN459</f>
        <v>7.36519019789979</v>
      </c>
      <c r="AK459" s="160">
        <f>IF(AND(AG459&gt;0,AH459&gt;0,AI459&gt;0),AJ459,"")</f>
        <v>7.36519019789979</v>
      </c>
      <c r="AL459" s="160">
        <f>AK459+1.59*(135-AM459)</f>
        <v>7.36519019789979</v>
      </c>
      <c r="AM459" s="160">
        <f>IF(AV459&gt;135,135,IF(AV459&lt;120,120,AV459))</f>
        <v>135</v>
      </c>
      <c r="AN459" s="114">
        <v>1</v>
      </c>
      <c r="AO459" s="114">
        <f>_xlfn.IFS(AJ459&lt;15,1,AJ459=15-18,2,AJ459&gt;18,3)</f>
        <v>1</v>
      </c>
      <c r="AP459" s="114">
        <v>6.82</v>
      </c>
      <c r="AQ459" s="114">
        <v>71</v>
      </c>
      <c r="AR459" s="114">
        <v>1.09</v>
      </c>
      <c r="AS459" s="160">
        <v>31</v>
      </c>
      <c r="AT459" s="161">
        <v>8.6</v>
      </c>
      <c r="AU459" s="114">
        <v>65</v>
      </c>
      <c r="AV459" s="114">
        <v>142</v>
      </c>
      <c r="AZ459" s="119" t="s">
        <v>58</v>
      </c>
    </row>
    <row r="460" s="124" customFormat="1" spans="1:52">
      <c r="A460" s="127" t="s">
        <v>1283</v>
      </c>
      <c r="B460" s="127" t="s">
        <v>48</v>
      </c>
      <c r="C460" s="124">
        <v>66</v>
      </c>
      <c r="D460" s="180">
        <v>1.78</v>
      </c>
      <c r="E460" s="124">
        <v>80</v>
      </c>
      <c r="F460" s="181">
        <f>E460/(D460*D460)</f>
        <v>25.2493372048984</v>
      </c>
      <c r="G460" s="124">
        <v>7</v>
      </c>
      <c r="I460" s="182">
        <v>44860</v>
      </c>
      <c r="J460" s="182">
        <v>44869</v>
      </c>
      <c r="L460" s="183">
        <v>1</v>
      </c>
      <c r="M460" s="183">
        <v>9</v>
      </c>
      <c r="N460" s="201" t="s">
        <v>1284</v>
      </c>
      <c r="O460" s="114"/>
      <c r="P460" s="114"/>
      <c r="Q460" s="114"/>
      <c r="R460" s="116" t="s">
        <v>1083</v>
      </c>
      <c r="S460" s="114"/>
      <c r="T460" s="114">
        <v>1</v>
      </c>
      <c r="U460" s="114">
        <v>0</v>
      </c>
      <c r="V460" s="114">
        <v>0</v>
      </c>
      <c r="W460" s="114">
        <v>0</v>
      </c>
      <c r="X460" s="114">
        <v>1</v>
      </c>
      <c r="Y460" s="114">
        <v>1</v>
      </c>
      <c r="Z460" s="116" t="s">
        <v>307</v>
      </c>
      <c r="AA460" s="114">
        <v>3</v>
      </c>
      <c r="AB460" s="114">
        <f t="shared" ref="AB460:AB470" si="109">_xlfn.IFS(AT460&gt;51,3,AT460&gt;=34,2,AT460&lt;34,1)</f>
        <v>3</v>
      </c>
      <c r="AC460" s="114">
        <f t="shared" ref="AC460:AC470" si="110">_xlfn.IFS(AS460&gt;35,1,AS460&gt;=28,2,AS460&lt;28,3)</f>
        <v>3</v>
      </c>
      <c r="AD460" s="114">
        <f t="shared" ref="AD460:AD470" si="111">_xlfn.IFS(AR460&gt;2.3,3,AR460&gt;=1.7,2,AR460&lt;1.7,1)</f>
        <v>3</v>
      </c>
      <c r="AE460" s="114">
        <f>Y460+AA460+AB460+AC460+AD460</f>
        <v>13</v>
      </c>
      <c r="AF460" s="116" t="s">
        <v>50</v>
      </c>
      <c r="AG460" s="114">
        <f>AT460/17.1</f>
        <v>8.62573099415205</v>
      </c>
      <c r="AH460" s="114">
        <f>AU460/88.4</f>
        <v>0.475113122171946</v>
      </c>
      <c r="AI460" s="114">
        <f>AR460</f>
        <v>2.56</v>
      </c>
      <c r="AJ460" s="159">
        <f>LN(IF(AG460&gt;=1,AG460,1))*3.8+LN(IF(AH460&gt;=1,AH460,1))*9.6+11.2*LN(IF(AI460&gt;=1,AI460,1))+6.4*AN460</f>
        <v>18.7161302017353</v>
      </c>
      <c r="AK460" s="160">
        <f>IF(AND(AG460&gt;0,AH460&gt;0,AI460&gt;0),AJ460,"")</f>
        <v>18.7161302017353</v>
      </c>
      <c r="AL460" s="160">
        <f>AK460+1.59*(135-AM460)</f>
        <v>26.6661302017353</v>
      </c>
      <c r="AM460" s="160">
        <f>IF(AV460&gt;135,135,IF(AV460&lt;120,120,AV460))</f>
        <v>130</v>
      </c>
      <c r="AN460" s="114">
        <v>0</v>
      </c>
      <c r="AO460" s="114">
        <f t="shared" ref="AO460:AO470" si="112">_xlfn.IFS(AJ460&lt;15,1,AJ460=15-18,2,AJ460&gt;18,3)</f>
        <v>3</v>
      </c>
      <c r="AP460" s="114">
        <v>6.84</v>
      </c>
      <c r="AQ460" s="114">
        <v>83</v>
      </c>
      <c r="AR460" s="114">
        <v>2.56</v>
      </c>
      <c r="AS460" s="160">
        <v>18</v>
      </c>
      <c r="AT460" s="161">
        <v>147.5</v>
      </c>
      <c r="AU460" s="114">
        <v>42</v>
      </c>
      <c r="AV460" s="114">
        <v>130</v>
      </c>
      <c r="AZ460" s="127" t="s">
        <v>1285</v>
      </c>
    </row>
    <row r="461" s="125" customFormat="1" spans="1:52">
      <c r="A461" s="272" t="s">
        <v>399</v>
      </c>
      <c r="B461" s="131" t="s">
        <v>48</v>
      </c>
      <c r="C461" s="125">
        <v>36</v>
      </c>
      <c r="D461" s="185">
        <v>1.64</v>
      </c>
      <c r="E461" s="125">
        <v>90</v>
      </c>
      <c r="F461" s="216">
        <f>E461/(D461*D461)</f>
        <v>33.4622248661511</v>
      </c>
      <c r="G461" s="125">
        <v>3</v>
      </c>
      <c r="I461" s="186">
        <v>44858</v>
      </c>
      <c r="J461" s="186">
        <v>44889</v>
      </c>
      <c r="L461" s="187">
        <v>2</v>
      </c>
      <c r="M461" s="187">
        <v>31</v>
      </c>
      <c r="N461" s="248" t="s">
        <v>1286</v>
      </c>
      <c r="O461" s="114">
        <v>1</v>
      </c>
      <c r="P461" s="114"/>
      <c r="Q461" s="114"/>
      <c r="R461" s="114"/>
      <c r="S461" s="114"/>
      <c r="T461" s="114">
        <v>1</v>
      </c>
      <c r="U461" s="114">
        <v>0</v>
      </c>
      <c r="V461" s="114">
        <v>1</v>
      </c>
      <c r="W461" s="114">
        <v>0</v>
      </c>
      <c r="X461" s="114">
        <v>1</v>
      </c>
      <c r="Y461" s="114">
        <v>1</v>
      </c>
      <c r="Z461" s="116" t="s">
        <v>300</v>
      </c>
      <c r="AA461" s="114">
        <v>2</v>
      </c>
      <c r="AB461" s="114">
        <f t="shared" si="109"/>
        <v>1</v>
      </c>
      <c r="AC461" s="114">
        <f t="shared" si="110"/>
        <v>2</v>
      </c>
      <c r="AD461" s="114">
        <f t="shared" si="111"/>
        <v>1</v>
      </c>
      <c r="AE461" s="114">
        <f>Y461+AA461+AB461+AC461+AD461</f>
        <v>7</v>
      </c>
      <c r="AF461" s="116" t="s">
        <v>63</v>
      </c>
      <c r="AG461" s="114">
        <f>AT461/17.1</f>
        <v>1.55555555555556</v>
      </c>
      <c r="AH461" s="114">
        <f>AU461/88.4</f>
        <v>0.633484162895928</v>
      </c>
      <c r="AI461" s="114">
        <f>AR461</f>
        <v>1.49</v>
      </c>
      <c r="AJ461" s="159">
        <f>LN(IF(AG461&gt;=1,AG461,1))*3.8+LN(IF(AH461&gt;=1,AH461,1))*9.6+11.2*LN(IF(AI461&gt;=1,AI461,1))+6.4*AN461</f>
        <v>12.5452570021829</v>
      </c>
      <c r="AK461" s="160">
        <f>IF(AND(AG461&gt;0,AH461&gt;0,AI461&gt;0),AJ461,"")</f>
        <v>12.5452570021829</v>
      </c>
      <c r="AL461" s="160">
        <f>AK461+1.59*(135-AM461)</f>
        <v>12.5452570021829</v>
      </c>
      <c r="AM461" s="160">
        <f>IF(AV461&gt;135,135,IF(AV461&lt;120,120,AV461))</f>
        <v>135</v>
      </c>
      <c r="AN461" s="114">
        <v>1</v>
      </c>
      <c r="AO461" s="114">
        <f t="shared" si="112"/>
        <v>1</v>
      </c>
      <c r="AP461" s="114">
        <v>1.71</v>
      </c>
      <c r="AQ461" s="114">
        <v>48</v>
      </c>
      <c r="AR461" s="114">
        <v>1.49</v>
      </c>
      <c r="AS461" s="160">
        <v>32</v>
      </c>
      <c r="AT461" s="161">
        <v>26.6</v>
      </c>
      <c r="AU461" s="114">
        <v>56</v>
      </c>
      <c r="AV461" s="114">
        <v>138</v>
      </c>
      <c r="AZ461" s="131" t="s">
        <v>1287</v>
      </c>
    </row>
    <row r="462" s="125" customFormat="1" spans="1:52">
      <c r="A462" s="273" t="s">
        <v>857</v>
      </c>
      <c r="B462" s="131" t="s">
        <v>48</v>
      </c>
      <c r="C462" s="125">
        <v>72</v>
      </c>
      <c r="D462" s="185">
        <v>1.72</v>
      </c>
      <c r="E462" s="125">
        <v>80</v>
      </c>
      <c r="F462" s="216">
        <f>E462/(D462*D462)</f>
        <v>27.0416441319632</v>
      </c>
      <c r="G462" s="125">
        <v>6</v>
      </c>
      <c r="I462" s="186">
        <v>44867</v>
      </c>
      <c r="J462" s="186">
        <v>44887</v>
      </c>
      <c r="L462" s="187">
        <v>5</v>
      </c>
      <c r="M462" s="187">
        <v>20</v>
      </c>
      <c r="N462" s="248" t="s">
        <v>1288</v>
      </c>
      <c r="O462" s="114"/>
      <c r="P462" s="114">
        <v>1</v>
      </c>
      <c r="Q462" s="114"/>
      <c r="R462" s="114"/>
      <c r="S462" s="114"/>
      <c r="T462" s="114">
        <v>1</v>
      </c>
      <c r="U462" s="114">
        <v>1</v>
      </c>
      <c r="V462" s="114">
        <v>1</v>
      </c>
      <c r="W462" s="114">
        <v>0</v>
      </c>
      <c r="X462" s="114">
        <v>1</v>
      </c>
      <c r="Y462" s="114">
        <v>2</v>
      </c>
      <c r="Z462" s="116" t="s">
        <v>300</v>
      </c>
      <c r="AA462" s="114">
        <v>2</v>
      </c>
      <c r="AB462" s="114">
        <f t="shared" si="109"/>
        <v>2</v>
      </c>
      <c r="AC462" s="114">
        <f t="shared" si="110"/>
        <v>3</v>
      </c>
      <c r="AD462" s="114">
        <f t="shared" si="111"/>
        <v>1</v>
      </c>
      <c r="AE462" s="114">
        <f>Y462+AA462+AB462+AC462+AD462</f>
        <v>10</v>
      </c>
      <c r="AF462" s="116" t="s">
        <v>50</v>
      </c>
      <c r="AG462" s="114">
        <f>AT462/17.1</f>
        <v>1.99415204678363</v>
      </c>
      <c r="AH462" s="114">
        <f>AU462/88.4</f>
        <v>0.972850678733032</v>
      </c>
      <c r="AI462" s="114">
        <f>AR462</f>
        <v>1.42</v>
      </c>
      <c r="AJ462" s="159">
        <f>LN(IF(AG462&gt;=1,AG462,1))*3.8+LN(IF(AH462&gt;=1,AH462,1))*9.6+11.2*LN(IF(AI462&gt;=1,AI462,1))+6.4*AN462</f>
        <v>6.55018886103475</v>
      </c>
      <c r="AK462" s="160">
        <f>IF(AND(AG462&gt;0,AH462&gt;0,AI462&gt;0),AJ462,"")</f>
        <v>6.55018886103475</v>
      </c>
      <c r="AL462" s="160">
        <f>AK462+1.59*(135-AM462)</f>
        <v>14.5001888610348</v>
      </c>
      <c r="AM462" s="160">
        <f>IF(AV462&gt;135,135,IF(AV462&lt;120,120,AV462))</f>
        <v>130</v>
      </c>
      <c r="AN462" s="114">
        <v>0</v>
      </c>
      <c r="AO462" s="114">
        <f t="shared" si="112"/>
        <v>1</v>
      </c>
      <c r="AP462" s="114">
        <v>4.98</v>
      </c>
      <c r="AQ462" s="114">
        <v>91</v>
      </c>
      <c r="AR462" s="114">
        <v>1.42</v>
      </c>
      <c r="AS462" s="160">
        <v>26</v>
      </c>
      <c r="AT462" s="161">
        <v>34.1</v>
      </c>
      <c r="AU462" s="114">
        <v>86</v>
      </c>
      <c r="AV462" s="114">
        <v>130</v>
      </c>
      <c r="AZ462" s="131" t="s">
        <v>1289</v>
      </c>
    </row>
    <row r="463" s="124" customFormat="1" spans="1:52">
      <c r="A463" s="274" t="s">
        <v>726</v>
      </c>
      <c r="B463" s="127" t="s">
        <v>53</v>
      </c>
      <c r="C463" s="124">
        <v>72</v>
      </c>
      <c r="D463" s="180">
        <v>1.56</v>
      </c>
      <c r="E463" s="124">
        <v>45</v>
      </c>
      <c r="F463" s="181">
        <f>E463/(D463*D463)</f>
        <v>18.491124260355</v>
      </c>
      <c r="G463" s="124">
        <v>5</v>
      </c>
      <c r="I463" s="182">
        <v>44864</v>
      </c>
      <c r="J463" s="182">
        <v>44874</v>
      </c>
      <c r="L463" s="183">
        <v>8</v>
      </c>
      <c r="M463" s="183">
        <v>10</v>
      </c>
      <c r="N463" s="201" t="s">
        <v>1290</v>
      </c>
      <c r="O463" s="114"/>
      <c r="P463" s="114"/>
      <c r="Q463" s="114"/>
      <c r="R463" s="114">
        <v>1</v>
      </c>
      <c r="S463" s="114"/>
      <c r="T463" s="114">
        <v>1</v>
      </c>
      <c r="U463" s="114">
        <v>0</v>
      </c>
      <c r="V463" s="114">
        <v>1</v>
      </c>
      <c r="W463" s="114">
        <v>0</v>
      </c>
      <c r="X463" s="114">
        <v>1</v>
      </c>
      <c r="Y463" s="114">
        <v>1</v>
      </c>
      <c r="Z463" s="116" t="s">
        <v>307</v>
      </c>
      <c r="AA463" s="114">
        <v>3</v>
      </c>
      <c r="AB463" s="114">
        <f t="shared" si="109"/>
        <v>3</v>
      </c>
      <c r="AC463" s="114">
        <f t="shared" si="110"/>
        <v>3</v>
      </c>
      <c r="AD463" s="114">
        <f t="shared" si="111"/>
        <v>1</v>
      </c>
      <c r="AE463" s="114">
        <f>Y463+AA463+AB463+AC463+AD463</f>
        <v>11</v>
      </c>
      <c r="AF463" s="116" t="s">
        <v>50</v>
      </c>
      <c r="AG463" s="114">
        <f>AT463/17.1</f>
        <v>9.25730994152047</v>
      </c>
      <c r="AH463" s="114">
        <f>AU463/88.4</f>
        <v>0.746606334841629</v>
      </c>
      <c r="AI463" s="114">
        <f>AR463</f>
        <v>1.64</v>
      </c>
      <c r="AJ463" s="159">
        <f>LN(IF(AG463&gt;=1,AG463,1))*3.8+LN(IF(AH463&gt;=1,AH463,1))*9.6+11.2*LN(IF(AI463&gt;=1,AI463,1))+6.4*AN463</f>
        <v>13.9971692214021</v>
      </c>
      <c r="AK463" s="160">
        <f>IF(AND(AG463&gt;0,AH463&gt;0,AI463&gt;0),AJ463,"")</f>
        <v>13.9971692214021</v>
      </c>
      <c r="AL463" s="160">
        <f>AK463+1.59*(135-AM463)</f>
        <v>13.9971692214021</v>
      </c>
      <c r="AM463" s="160">
        <f>IF(AV463&gt;135,135,IF(AV463&lt;120,120,AV463))</f>
        <v>135</v>
      </c>
      <c r="AN463" s="114">
        <v>0</v>
      </c>
      <c r="AO463" s="114">
        <f t="shared" si="112"/>
        <v>1</v>
      </c>
      <c r="AP463" s="114">
        <v>6.78</v>
      </c>
      <c r="AQ463" s="114">
        <v>98</v>
      </c>
      <c r="AR463" s="114">
        <v>1.64</v>
      </c>
      <c r="AS463" s="160">
        <v>26</v>
      </c>
      <c r="AT463" s="161">
        <v>158.3</v>
      </c>
      <c r="AU463" s="114">
        <v>66</v>
      </c>
      <c r="AV463" s="114">
        <v>136</v>
      </c>
      <c r="AZ463" s="127" t="s">
        <v>1291</v>
      </c>
    </row>
    <row r="464" s="125" customFormat="1" spans="1:52">
      <c r="A464" s="273" t="s">
        <v>848</v>
      </c>
      <c r="B464" s="131" t="s">
        <v>53</v>
      </c>
      <c r="C464" s="125">
        <v>67</v>
      </c>
      <c r="D464" s="185"/>
      <c r="E464" s="125">
        <v>54</v>
      </c>
      <c r="F464" s="216"/>
      <c r="G464" s="125">
        <v>5</v>
      </c>
      <c r="I464" s="186">
        <v>44865</v>
      </c>
      <c r="J464" s="186">
        <v>44875</v>
      </c>
      <c r="L464" s="187">
        <v>4</v>
      </c>
      <c r="M464" s="187">
        <v>10</v>
      </c>
      <c r="N464" s="248" t="s">
        <v>1292</v>
      </c>
      <c r="Q464" s="131" t="s">
        <v>1083</v>
      </c>
      <c r="R464" s="131" t="s">
        <v>1083</v>
      </c>
      <c r="T464" s="125">
        <v>1</v>
      </c>
      <c r="U464" s="125">
        <v>0</v>
      </c>
      <c r="V464" s="125">
        <v>1</v>
      </c>
      <c r="W464" s="125">
        <v>0</v>
      </c>
      <c r="X464" s="125">
        <v>1</v>
      </c>
      <c r="Y464" s="125">
        <v>1</v>
      </c>
      <c r="Z464" s="131" t="s">
        <v>307</v>
      </c>
      <c r="AA464" s="125">
        <v>3</v>
      </c>
      <c r="AB464" s="125">
        <f t="shared" si="109"/>
        <v>2</v>
      </c>
      <c r="AC464" s="125">
        <f t="shared" si="110"/>
        <v>3</v>
      </c>
      <c r="AD464" s="125">
        <f t="shared" si="111"/>
        <v>1</v>
      </c>
      <c r="AE464" s="125">
        <f>Y464+AA464+AB464+AC464+AD464</f>
        <v>10</v>
      </c>
      <c r="AF464" s="131" t="s">
        <v>50</v>
      </c>
      <c r="AG464" s="125">
        <f>AT464/17.1</f>
        <v>2.11695906432749</v>
      </c>
      <c r="AH464" s="125">
        <f>AU464/88.4</f>
        <v>0.84841628959276</v>
      </c>
      <c r="AI464" s="125">
        <f>AR464</f>
        <v>1.42</v>
      </c>
      <c r="AJ464" s="240">
        <f>LN(IF(AG464&gt;=1,AG464,1))*3.8+LN(IF(AH464&gt;=1,AH464,1))*9.6+11.2*LN(IF(AI464&gt;=1,AI464,1))+6.4*AN464</f>
        <v>6.77728345229532</v>
      </c>
      <c r="AK464" s="241">
        <f>IF(AND(AG464&gt;0,AH464&gt;0,AI464&gt;0),AJ464,"")</f>
        <v>6.77728345229532</v>
      </c>
      <c r="AL464" s="241">
        <f>AK464+1.59*(135-AM464)</f>
        <v>6.77728345229532</v>
      </c>
      <c r="AM464" s="241">
        <f>IF(AV464&gt;135,135,IF(AV464&lt;120,120,AV464))</f>
        <v>135</v>
      </c>
      <c r="AN464" s="125">
        <v>0</v>
      </c>
      <c r="AO464" s="125">
        <f t="shared" si="112"/>
        <v>1</v>
      </c>
      <c r="AP464" s="125">
        <v>4.56</v>
      </c>
      <c r="AQ464" s="125">
        <v>94</v>
      </c>
      <c r="AR464" s="125">
        <v>1.42</v>
      </c>
      <c r="AS464" s="241">
        <v>27</v>
      </c>
      <c r="AT464" s="242">
        <v>36.2</v>
      </c>
      <c r="AU464" s="125">
        <v>75</v>
      </c>
      <c r="AV464" s="125">
        <v>138</v>
      </c>
      <c r="AZ464" s="131" t="s">
        <v>1293</v>
      </c>
    </row>
    <row r="465" spans="1:52">
      <c r="A465" s="119" t="s">
        <v>1294</v>
      </c>
      <c r="B465" s="119" t="s">
        <v>48</v>
      </c>
      <c r="C465" s="117">
        <v>53</v>
      </c>
      <c r="D465" s="135">
        <v>1.7</v>
      </c>
      <c r="E465" s="117">
        <v>75</v>
      </c>
      <c r="F465" s="136">
        <f>E465/(D465*D465)</f>
        <v>25.9515570934256</v>
      </c>
      <c r="G465" s="117">
        <v>0</v>
      </c>
      <c r="I465" s="158">
        <v>44905</v>
      </c>
      <c r="J465" s="158">
        <v>44918</v>
      </c>
      <c r="L465" s="137">
        <v>1</v>
      </c>
      <c r="M465" s="138">
        <v>13</v>
      </c>
      <c r="N465" s="270" t="s">
        <v>1295</v>
      </c>
      <c r="O465" s="114"/>
      <c r="P465" s="114"/>
      <c r="Q465" s="114"/>
      <c r="R465" s="114"/>
      <c r="S465" s="114">
        <v>1</v>
      </c>
      <c r="T465" s="114">
        <v>1</v>
      </c>
      <c r="U465" s="114">
        <v>0</v>
      </c>
      <c r="V465" s="114">
        <v>1</v>
      </c>
      <c r="W465" s="114">
        <v>0</v>
      </c>
      <c r="X465" s="114">
        <v>1</v>
      </c>
      <c r="Y465" s="114">
        <v>1</v>
      </c>
      <c r="Z465" s="116" t="s">
        <v>300</v>
      </c>
      <c r="AA465" s="114">
        <v>2</v>
      </c>
      <c r="AB465" s="114">
        <f t="shared" si="109"/>
        <v>1</v>
      </c>
      <c r="AC465" s="114">
        <f t="shared" si="110"/>
        <v>2</v>
      </c>
      <c r="AD465" s="114">
        <f t="shared" si="111"/>
        <v>1</v>
      </c>
      <c r="AE465" s="114">
        <f>Y465+AA465+AB465+AC465+AD465</f>
        <v>7</v>
      </c>
      <c r="AF465" s="116" t="s">
        <v>63</v>
      </c>
      <c r="AG465" s="114">
        <f>AT465/17.1</f>
        <v>0.701754385964912</v>
      </c>
      <c r="AH465" s="114">
        <f>AU465/88.4</f>
        <v>1.02941176470588</v>
      </c>
      <c r="AI465" s="114">
        <f>AR465</f>
        <v>1.01</v>
      </c>
      <c r="AJ465" s="159">
        <f>LN(IF(AG465&gt;=1,AG465,1))*3.8+LN(IF(AH465&gt;=1,AH465,1))*9.6+11.2*LN(IF(AI465&gt;=1,AI465,1))+6.4*AN465</f>
        <v>6.7897240595387</v>
      </c>
      <c r="AK465" s="160">
        <f>IF(AND(AG465&gt;0,AH465&gt;0,AI465&gt;0),AJ465,"")</f>
        <v>6.7897240595387</v>
      </c>
      <c r="AL465" s="160">
        <f>AK465+1.59*(135-AM465)</f>
        <v>6.7897240595387</v>
      </c>
      <c r="AM465" s="160">
        <f>IF(AV465&gt;135,135,IF(AV465&lt;120,120,AV465))</f>
        <v>135</v>
      </c>
      <c r="AN465" s="114">
        <v>1</v>
      </c>
      <c r="AO465" s="114">
        <f t="shared" si="112"/>
        <v>1</v>
      </c>
      <c r="AP465" s="114">
        <v>3.1</v>
      </c>
      <c r="AQ465" s="114">
        <v>83</v>
      </c>
      <c r="AR465" s="114">
        <v>1.01</v>
      </c>
      <c r="AS465" s="160">
        <v>33</v>
      </c>
      <c r="AT465" s="161">
        <v>12</v>
      </c>
      <c r="AU465" s="114">
        <v>91</v>
      </c>
      <c r="AV465" s="114">
        <v>144</v>
      </c>
      <c r="AZ465" s="119" t="s">
        <v>1296</v>
      </c>
    </row>
    <row r="466" spans="1:52">
      <c r="A466" s="119" t="s">
        <v>1297</v>
      </c>
      <c r="B466" s="119" t="s">
        <v>53</v>
      </c>
      <c r="C466" s="117">
        <v>35</v>
      </c>
      <c r="D466" s="135">
        <v>1.65</v>
      </c>
      <c r="E466" s="117">
        <v>80</v>
      </c>
      <c r="F466" s="136">
        <f>E466/(D466*D466)</f>
        <v>29.3847566574839</v>
      </c>
      <c r="G466" s="117">
        <v>1</v>
      </c>
      <c r="I466" s="158">
        <v>44902</v>
      </c>
      <c r="J466" s="158">
        <v>44909</v>
      </c>
      <c r="L466" s="137">
        <v>2</v>
      </c>
      <c r="M466" s="138">
        <v>7</v>
      </c>
      <c r="N466" s="270" t="s">
        <v>1298</v>
      </c>
      <c r="O466" s="114"/>
      <c r="P466" s="114"/>
      <c r="Q466" s="116" t="s">
        <v>1083</v>
      </c>
      <c r="R466" s="114"/>
      <c r="S466" s="114"/>
      <c r="T466" s="114">
        <v>0</v>
      </c>
      <c r="U466" s="114">
        <v>0</v>
      </c>
      <c r="V466" s="114">
        <v>1</v>
      </c>
      <c r="W466" s="114">
        <v>0</v>
      </c>
      <c r="X466" s="114">
        <v>1</v>
      </c>
      <c r="Y466" s="114">
        <v>1</v>
      </c>
      <c r="Z466" s="116" t="s">
        <v>58</v>
      </c>
      <c r="AA466" s="114">
        <v>1</v>
      </c>
      <c r="AB466" s="114">
        <f t="shared" si="109"/>
        <v>1</v>
      </c>
      <c r="AC466" s="114">
        <f t="shared" si="110"/>
        <v>2</v>
      </c>
      <c r="AD466" s="114">
        <f t="shared" si="111"/>
        <v>1</v>
      </c>
      <c r="AE466" s="114">
        <f>Y466+AA466+AB466+AC466+AD466</f>
        <v>6</v>
      </c>
      <c r="AF466" s="116" t="s">
        <v>59</v>
      </c>
      <c r="AG466" s="114">
        <f>AT466/17.1</f>
        <v>0.619883040935672</v>
      </c>
      <c r="AH466" s="114">
        <f>AU466/88.4</f>
        <v>1.0972850678733</v>
      </c>
      <c r="AI466" s="114">
        <f>AR466</f>
        <v>1.09</v>
      </c>
      <c r="AJ466" s="159">
        <f>LN(IF(AG466&gt;=1,AG466,1))*3.8+LN(IF(AH466&gt;=1,AH466,1))*9.6+11.2*LN(IF(AI466&gt;=1,AI466,1))+6.4*AN466</f>
        <v>8.25644468295372</v>
      </c>
      <c r="AK466" s="160">
        <f>IF(AND(AG466&gt;0,AH466&gt;0,AI466&gt;0),AJ466,"")</f>
        <v>8.25644468295372</v>
      </c>
      <c r="AL466" s="160">
        <f>AK466+1.59*(135-AM466)</f>
        <v>8.25644468295372</v>
      </c>
      <c r="AM466" s="160">
        <f>IF(AV466&gt;135,135,IF(AV466&lt;120,120,AV466))</f>
        <v>135</v>
      </c>
      <c r="AN466" s="114">
        <v>1</v>
      </c>
      <c r="AO466" s="114">
        <f t="shared" si="112"/>
        <v>1</v>
      </c>
      <c r="AP466" s="114">
        <v>2.4</v>
      </c>
      <c r="AQ466" s="114">
        <v>62</v>
      </c>
      <c r="AR466" s="114">
        <v>1.09</v>
      </c>
      <c r="AS466" s="160">
        <v>33</v>
      </c>
      <c r="AT466" s="161">
        <v>10.6</v>
      </c>
      <c r="AU466" s="114">
        <v>97</v>
      </c>
      <c r="AV466" s="114">
        <v>144</v>
      </c>
      <c r="AZ466" s="119" t="s">
        <v>1299</v>
      </c>
    </row>
    <row r="467" spans="1:52">
      <c r="A467" s="119" t="s">
        <v>1300</v>
      </c>
      <c r="B467" s="119" t="s">
        <v>53</v>
      </c>
      <c r="C467" s="117">
        <v>53</v>
      </c>
      <c r="D467" s="135">
        <v>1.6</v>
      </c>
      <c r="E467" s="117">
        <v>82</v>
      </c>
      <c r="F467" s="136">
        <f>E467/(D467*D467)</f>
        <v>32.03125</v>
      </c>
      <c r="G467" s="117">
        <v>1</v>
      </c>
      <c r="I467" s="158">
        <v>44904</v>
      </c>
      <c r="J467" s="158">
        <v>44925</v>
      </c>
      <c r="L467" s="137">
        <v>1</v>
      </c>
      <c r="M467" s="138">
        <v>21</v>
      </c>
      <c r="N467" s="270" t="s">
        <v>1301</v>
      </c>
      <c r="O467" s="114"/>
      <c r="P467" s="114"/>
      <c r="Q467" s="114"/>
      <c r="R467" s="114">
        <v>1</v>
      </c>
      <c r="S467" s="114"/>
      <c r="T467" s="114">
        <v>1</v>
      </c>
      <c r="U467" s="114">
        <v>0</v>
      </c>
      <c r="V467" s="114">
        <v>1</v>
      </c>
      <c r="W467" s="114">
        <v>0</v>
      </c>
      <c r="X467" s="114">
        <v>1</v>
      </c>
      <c r="Y467" s="114">
        <v>1</v>
      </c>
      <c r="Z467" s="116" t="s">
        <v>300</v>
      </c>
      <c r="AA467" s="114">
        <v>2</v>
      </c>
      <c r="AB467" s="114">
        <f t="shared" si="109"/>
        <v>2</v>
      </c>
      <c r="AC467" s="114">
        <f t="shared" si="110"/>
        <v>3</v>
      </c>
      <c r="AD467" s="114">
        <f t="shared" si="111"/>
        <v>1</v>
      </c>
      <c r="AE467" s="114">
        <f>Y467+AA467+AB467+AC467+AD467</f>
        <v>9</v>
      </c>
      <c r="AF467" s="116" t="s">
        <v>63</v>
      </c>
      <c r="AG467" s="114">
        <f>AT467/17.1</f>
        <v>2.71345029239766</v>
      </c>
      <c r="AH467" s="114">
        <f>AU467/88.4</f>
        <v>0.531674208144796</v>
      </c>
      <c r="AI467" s="114">
        <f>AR467</f>
        <v>1.15</v>
      </c>
      <c r="AJ467" s="159">
        <f>LN(IF(AG467&gt;=1,AG467,1))*3.8+LN(IF(AH467&gt;=1,AH467,1))*9.6+11.2*LN(IF(AI467&gt;=1,AI467,1))+6.4*AN467</f>
        <v>5.35857353835144</v>
      </c>
      <c r="AK467" s="160">
        <f>IF(AND(AG467&gt;0,AH467&gt;0,AI467&gt;0),AJ467,"")</f>
        <v>5.35857353835144</v>
      </c>
      <c r="AL467" s="160">
        <f>AK467+1.59*(135-AM467)</f>
        <v>5.35857353835144</v>
      </c>
      <c r="AM467" s="160">
        <f>IF(AV467&gt;135,135,IF(AV467&lt;120,120,AV467))</f>
        <v>135</v>
      </c>
      <c r="AN467" s="114">
        <v>0</v>
      </c>
      <c r="AO467" s="114">
        <f t="shared" si="112"/>
        <v>1</v>
      </c>
      <c r="AP467" s="114">
        <v>2.86</v>
      </c>
      <c r="AQ467" s="114">
        <v>76</v>
      </c>
      <c r="AR467" s="114">
        <v>1.15</v>
      </c>
      <c r="AS467" s="160">
        <v>27</v>
      </c>
      <c r="AT467" s="161">
        <v>46.4</v>
      </c>
      <c r="AU467" s="114">
        <v>47</v>
      </c>
      <c r="AV467" s="114">
        <v>137</v>
      </c>
      <c r="AZ467" s="119" t="s">
        <v>1302</v>
      </c>
    </row>
    <row r="468" spans="1:52">
      <c r="A468" s="119" t="s">
        <v>1303</v>
      </c>
      <c r="B468" s="119" t="s">
        <v>48</v>
      </c>
      <c r="C468" s="117">
        <v>60</v>
      </c>
      <c r="D468" s="135">
        <v>1.75</v>
      </c>
      <c r="E468" s="117">
        <v>70</v>
      </c>
      <c r="F468" s="136">
        <f>E468/(D468*D468)</f>
        <v>22.8571428571429</v>
      </c>
      <c r="G468" s="117">
        <v>1</v>
      </c>
      <c r="I468" s="158">
        <v>44903</v>
      </c>
      <c r="J468" s="158">
        <v>44910</v>
      </c>
      <c r="L468" s="137">
        <v>1</v>
      </c>
      <c r="M468" s="138">
        <v>7</v>
      </c>
      <c r="N468" s="270" t="s">
        <v>1304</v>
      </c>
      <c r="O468" s="114">
        <v>1</v>
      </c>
      <c r="P468" s="114"/>
      <c r="Q468" s="114"/>
      <c r="R468" s="114"/>
      <c r="S468" s="114"/>
      <c r="T468" s="114">
        <v>0</v>
      </c>
      <c r="U468" s="114">
        <v>0</v>
      </c>
      <c r="V468" s="114">
        <v>1</v>
      </c>
      <c r="W468" s="114">
        <v>0</v>
      </c>
      <c r="X468" s="114">
        <v>1</v>
      </c>
      <c r="Y468" s="114">
        <v>1</v>
      </c>
      <c r="Z468" s="116" t="s">
        <v>58</v>
      </c>
      <c r="AA468" s="114">
        <v>1</v>
      </c>
      <c r="AB468" s="114">
        <f t="shared" si="109"/>
        <v>1</v>
      </c>
      <c r="AC468" s="114">
        <f t="shared" si="110"/>
        <v>1</v>
      </c>
      <c r="AD468" s="114">
        <f t="shared" si="111"/>
        <v>1</v>
      </c>
      <c r="AE468" s="114">
        <f>Y468+AA468+AB468+AC468+AD468</f>
        <v>5</v>
      </c>
      <c r="AF468" s="116" t="s">
        <v>59</v>
      </c>
      <c r="AG468" s="114">
        <f>AT468/17.1</f>
        <v>1.1812865497076</v>
      </c>
      <c r="AH468" s="114">
        <f>AU468/88.4</f>
        <v>0.82579185520362</v>
      </c>
      <c r="AI468" s="114">
        <f>AR468</f>
        <v>1.29</v>
      </c>
      <c r="AJ468" s="159">
        <f>LN(IF(AG468&gt;=1,AG468,1))*3.8+LN(IF(AH468&gt;=1,AH468,1))*9.6+11.2*LN(IF(AI468&gt;=1,AI468,1))+6.4*AN468</f>
        <v>9.88508858119858</v>
      </c>
      <c r="AK468" s="160">
        <f>IF(AND(AG468&gt;0,AH468&gt;0,AI468&gt;0),AJ468,"")</f>
        <v>9.88508858119858</v>
      </c>
      <c r="AL468" s="160">
        <f>AK468+1.59*(135-AM468)</f>
        <v>9.88508858119858</v>
      </c>
      <c r="AM468" s="160">
        <f>IF(AV468&gt;135,135,IF(AV468&lt;120,120,AV468))</f>
        <v>135</v>
      </c>
      <c r="AN468" s="114">
        <v>1</v>
      </c>
      <c r="AO468" s="114">
        <f t="shared" si="112"/>
        <v>1</v>
      </c>
      <c r="AP468" s="114">
        <v>2.59</v>
      </c>
      <c r="AQ468" s="114">
        <v>93</v>
      </c>
      <c r="AR468" s="114">
        <v>1.29</v>
      </c>
      <c r="AS468" s="160">
        <v>36</v>
      </c>
      <c r="AT468" s="161">
        <v>20.2</v>
      </c>
      <c r="AU468" s="114">
        <v>73</v>
      </c>
      <c r="AV468" s="114">
        <v>141</v>
      </c>
      <c r="AZ468" s="119" t="s">
        <v>1305</v>
      </c>
    </row>
    <row r="469" s="119" customFormat="1" spans="1:52">
      <c r="A469" s="119" t="s">
        <v>1306</v>
      </c>
      <c r="B469" s="119" t="s">
        <v>53</v>
      </c>
      <c r="C469" s="119">
        <v>76</v>
      </c>
      <c r="D469" s="275">
        <v>1.65</v>
      </c>
      <c r="E469" s="119">
        <v>58</v>
      </c>
      <c r="F469" s="276">
        <f>E469/(D469*D469)</f>
        <v>21.3039485766759</v>
      </c>
      <c r="G469" s="119">
        <v>1</v>
      </c>
      <c r="I469" s="277">
        <v>44900</v>
      </c>
      <c r="J469" s="277">
        <v>44905</v>
      </c>
      <c r="L469" s="278">
        <v>1</v>
      </c>
      <c r="M469" s="279">
        <v>5</v>
      </c>
      <c r="N469" s="270" t="s">
        <v>1307</v>
      </c>
      <c r="O469" s="116"/>
      <c r="P469" s="116"/>
      <c r="Q469" s="116">
        <v>1</v>
      </c>
      <c r="R469" s="116"/>
      <c r="S469" s="116"/>
      <c r="T469" s="116">
        <v>1</v>
      </c>
      <c r="U469" s="116">
        <v>0</v>
      </c>
      <c r="V469" s="116">
        <v>1</v>
      </c>
      <c r="W469" s="116">
        <v>1</v>
      </c>
      <c r="X469" s="116">
        <v>1</v>
      </c>
      <c r="Y469" s="116">
        <v>1</v>
      </c>
      <c r="Z469" s="116" t="s">
        <v>307</v>
      </c>
      <c r="AA469" s="116">
        <v>3</v>
      </c>
      <c r="AB469" s="116">
        <f>_xlfn.IFS(AT469&gt;51,3,AT469&gt;=34,2,AT469&lt;34,1)</f>
        <v>1</v>
      </c>
      <c r="AC469" s="116">
        <f>_xlfn.IFS(AS469&gt;35,1,AS469&gt;=28,2,AS469&lt;28,3)</f>
        <v>2</v>
      </c>
      <c r="AD469" s="114">
        <f>_xlfn.IFS(AR469&gt;2.3,3,AR469&gt;=1.7,2,AR469&lt;1.7,1)</f>
        <v>1</v>
      </c>
      <c r="AE469" s="116">
        <f>Y469+AA469+AB469+AC469+AD469</f>
        <v>8</v>
      </c>
      <c r="AF469" s="116" t="s">
        <v>63</v>
      </c>
      <c r="AG469" s="114">
        <f>AT469/17.1</f>
        <v>0.491228070175439</v>
      </c>
      <c r="AH469" s="114">
        <f>AU469/88.4</f>
        <v>0.667420814479638</v>
      </c>
      <c r="AI469" s="114">
        <f>AR469</f>
        <v>1.15</v>
      </c>
      <c r="AJ469" s="159">
        <f>LN(IF(AG469&gt;=1,AG469,1))*3.8+LN(IF(AH469&gt;=1,AH469,1))*9.6+11.2*LN(IF(AI469&gt;=1,AI469,1))+6.4*AN469</f>
        <v>7.96533375460178</v>
      </c>
      <c r="AK469" s="160">
        <f>IF(AND(AG469&gt;0,AH469&gt;0,AI469&gt;0),AJ469,"")</f>
        <v>7.96533375460178</v>
      </c>
      <c r="AL469" s="160">
        <f>AK469+1.59*(135-AM469)</f>
        <v>7.96533375460178</v>
      </c>
      <c r="AM469" s="160">
        <f>IF(AV469&gt;135,135,IF(AV469&lt;120,120,AV469))</f>
        <v>135</v>
      </c>
      <c r="AN469" s="116">
        <v>1</v>
      </c>
      <c r="AO469" s="114">
        <f>_xlfn.IFS(AJ469&lt;15,1,AJ469=15-18,2,AJ469&gt;18,3)</f>
        <v>1</v>
      </c>
      <c r="AP469" s="116">
        <v>2.34</v>
      </c>
      <c r="AQ469" s="116">
        <v>54</v>
      </c>
      <c r="AR469" s="116">
        <v>1.15</v>
      </c>
      <c r="AS469" s="202">
        <v>29</v>
      </c>
      <c r="AT469" s="203">
        <v>8.4</v>
      </c>
      <c r="AU469" s="116">
        <v>59</v>
      </c>
      <c r="AV469" s="116">
        <v>140</v>
      </c>
      <c r="AZ469" s="119" t="s">
        <v>1308</v>
      </c>
    </row>
    <row r="470" spans="1:52">
      <c r="A470" s="119" t="s">
        <v>1309</v>
      </c>
      <c r="B470" s="119" t="s">
        <v>53</v>
      </c>
      <c r="C470" s="117">
        <v>67</v>
      </c>
      <c r="D470" s="135">
        <v>1.64</v>
      </c>
      <c r="E470" s="117">
        <v>60</v>
      </c>
      <c r="F470" s="136">
        <f>E470/(D470*D470)</f>
        <v>22.3081499107674</v>
      </c>
      <c r="G470" s="117">
        <v>7</v>
      </c>
      <c r="I470" s="158">
        <v>44893</v>
      </c>
      <c r="J470" s="158">
        <v>44907</v>
      </c>
      <c r="L470" s="137">
        <v>1</v>
      </c>
      <c r="M470" s="138">
        <v>14</v>
      </c>
      <c r="N470" s="270" t="s">
        <v>1310</v>
      </c>
      <c r="O470" s="114"/>
      <c r="P470" s="114"/>
      <c r="Q470" s="116" t="s">
        <v>1083</v>
      </c>
      <c r="R470" s="114"/>
      <c r="S470" s="114"/>
      <c r="T470" s="114">
        <v>1</v>
      </c>
      <c r="U470" s="114">
        <v>0</v>
      </c>
      <c r="V470" s="114">
        <v>1</v>
      </c>
      <c r="W470" s="114">
        <v>0</v>
      </c>
      <c r="X470" s="114">
        <v>1</v>
      </c>
      <c r="Y470" s="114">
        <v>1</v>
      </c>
      <c r="Z470" s="116" t="s">
        <v>321</v>
      </c>
      <c r="AA470" s="114">
        <v>3</v>
      </c>
      <c r="AB470" s="114">
        <f>_xlfn.IFS(AT470&gt;51,3,AT470&gt;=34,2,AT470&lt;34,1)</f>
        <v>1</v>
      </c>
      <c r="AC470" s="114">
        <f>_xlfn.IFS(AS470&gt;35,1,AS470&gt;=28,2,AS470&lt;28,3)</f>
        <v>2</v>
      </c>
      <c r="AD470" s="114">
        <f>_xlfn.IFS(AR470&gt;2.3,3,AR470&gt;=1.7,2,AR470&lt;1.7,1)</f>
        <v>1</v>
      </c>
      <c r="AE470" s="114">
        <f>Y470+AA470+AB470+AC470+AD470</f>
        <v>8</v>
      </c>
      <c r="AF470" s="116" t="s">
        <v>63</v>
      </c>
      <c r="AG470" s="114">
        <f>AT470/17.1</f>
        <v>0.912280701754386</v>
      </c>
      <c r="AH470" s="114">
        <f>AU470/88.4</f>
        <v>0.554298642533937</v>
      </c>
      <c r="AI470" s="114">
        <f>AR470</f>
        <v>1.33</v>
      </c>
      <c r="AJ470" s="159">
        <f>LN(IF(AG470&gt;=1,AG470,1))*3.8+LN(IF(AH470&gt;=1,AH470,1))*9.6+11.2*LN(IF(AI470&gt;=1,AI470,1))+6.4*AN470</f>
        <v>9.59400415301702</v>
      </c>
      <c r="AK470" s="160">
        <f>IF(AND(AG470&gt;0,AH470&gt;0,AI470&gt;0),AJ470,"")</f>
        <v>9.59400415301702</v>
      </c>
      <c r="AL470" s="160">
        <f>AK470+1.59*(135-AM470)</f>
        <v>9.59400415301702</v>
      </c>
      <c r="AM470" s="160">
        <f>IF(AV470&gt;135,135,IF(AV470&lt;120,120,AV470))</f>
        <v>135</v>
      </c>
      <c r="AN470" s="114">
        <v>1</v>
      </c>
      <c r="AO470" s="114">
        <f>_xlfn.IFS(AJ470&lt;15,1,AJ470=15-18,2,AJ470&gt;18,3)</f>
        <v>1</v>
      </c>
      <c r="AP470" s="114">
        <v>1.89</v>
      </c>
      <c r="AQ470" s="114">
        <v>63</v>
      </c>
      <c r="AR470" s="114">
        <v>1.33</v>
      </c>
      <c r="AS470" s="160">
        <v>29</v>
      </c>
      <c r="AT470" s="161">
        <v>15.6</v>
      </c>
      <c r="AU470" s="114">
        <v>49</v>
      </c>
      <c r="AV470" s="114">
        <v>137</v>
      </c>
      <c r="AZ470" s="119" t="s">
        <v>1311</v>
      </c>
    </row>
    <row r="471" spans="1:52">
      <c r="A471" s="119" t="s">
        <v>1312</v>
      </c>
      <c r="B471" s="119" t="s">
        <v>53</v>
      </c>
      <c r="C471" s="117">
        <v>71</v>
      </c>
      <c r="D471" s="135">
        <v>1.55</v>
      </c>
      <c r="E471" s="117">
        <v>55</v>
      </c>
      <c r="F471" s="136">
        <f>E471/(D471*D471)</f>
        <v>22.8928199791883</v>
      </c>
      <c r="G471" s="117">
        <v>3</v>
      </c>
      <c r="I471" s="158">
        <v>44892</v>
      </c>
      <c r="J471" s="158">
        <v>44899</v>
      </c>
      <c r="L471" s="137">
        <v>1</v>
      </c>
      <c r="M471" s="138">
        <v>7</v>
      </c>
      <c r="N471" s="270" t="s">
        <v>1313</v>
      </c>
      <c r="O471" s="114"/>
      <c r="P471" s="114"/>
      <c r="Q471" s="114">
        <v>1</v>
      </c>
      <c r="R471" s="114">
        <v>1</v>
      </c>
      <c r="S471" s="114"/>
      <c r="T471" s="114">
        <v>1</v>
      </c>
      <c r="U471" s="114">
        <v>0</v>
      </c>
      <c r="V471" s="114">
        <v>0</v>
      </c>
      <c r="W471" s="114">
        <v>1</v>
      </c>
      <c r="X471" s="114">
        <v>1</v>
      </c>
      <c r="Y471" s="114">
        <v>1</v>
      </c>
      <c r="Z471" s="116" t="s">
        <v>300</v>
      </c>
      <c r="AA471" s="114">
        <v>2</v>
      </c>
      <c r="AB471" s="114">
        <f>_xlfn.IFS(AT471&gt;51,3,AT471&gt;=34,2,AT471&lt;34,1)</f>
        <v>2</v>
      </c>
      <c r="AC471" s="114">
        <f>_xlfn.IFS(AS471&gt;35,1,AS471&gt;=28,2,AS471&lt;28,3)</f>
        <v>3</v>
      </c>
      <c r="AD471" s="114">
        <f>_xlfn.IFS(AR471&gt;2.3,3,AR471&gt;=1.7,2,AR471&lt;1.7,1)</f>
        <v>1</v>
      </c>
      <c r="AE471" s="114">
        <f>Y471+AA471+AB471+AC471+AD471</f>
        <v>9</v>
      </c>
      <c r="AF471" s="116" t="s">
        <v>63</v>
      </c>
      <c r="AG471" s="114">
        <f>AT471/17.1</f>
        <v>2.4327485380117</v>
      </c>
      <c r="AH471" s="114">
        <f>AU471/88.4</f>
        <v>0.452488687782805</v>
      </c>
      <c r="AI471" s="114">
        <f>AR471</f>
        <v>1.56</v>
      </c>
      <c r="AJ471" s="159">
        <f>LN(IF(AG471&gt;=1,AG471,1))*3.8+LN(IF(AH471&gt;=1,AH471,1))*9.6+11.2*LN(IF(AI471&gt;=1,AI471,1))+6.4*AN471</f>
        <v>8.35876367241088</v>
      </c>
      <c r="AK471" s="160">
        <f>IF(AND(AG471&gt;0,AH471&gt;0,AI471&gt;0),AJ471,"")</f>
        <v>8.35876367241088</v>
      </c>
      <c r="AL471" s="160">
        <f>AK471+1.59*(135-AM471)</f>
        <v>8.35876367241088</v>
      </c>
      <c r="AM471" s="160">
        <f>IF(AV471&gt;135,135,IF(AV471&lt;120,120,AV471))</f>
        <v>135</v>
      </c>
      <c r="AN471" s="114">
        <v>0</v>
      </c>
      <c r="AO471" s="114">
        <f>_xlfn.IFS(AJ471&lt;15,1,AJ471=15-18,2,AJ471&gt;18,3)</f>
        <v>1</v>
      </c>
      <c r="AP471" s="114">
        <v>3.48</v>
      </c>
      <c r="AQ471" s="114">
        <v>106</v>
      </c>
      <c r="AR471" s="114">
        <v>1.56</v>
      </c>
      <c r="AS471" s="160">
        <v>26</v>
      </c>
      <c r="AT471" s="161">
        <v>41.6</v>
      </c>
      <c r="AU471" s="114">
        <v>40</v>
      </c>
      <c r="AV471" s="114">
        <v>138</v>
      </c>
      <c r="AZ471" s="119" t="s">
        <v>1314</v>
      </c>
    </row>
    <row r="472" spans="1:52">
      <c r="A472" s="119" t="s">
        <v>1315</v>
      </c>
      <c r="B472" s="119" t="s">
        <v>53</v>
      </c>
      <c r="C472" s="117">
        <v>68</v>
      </c>
      <c r="D472" s="135">
        <v>1.54</v>
      </c>
      <c r="E472" s="117">
        <v>60</v>
      </c>
      <c r="F472" s="136">
        <f>E472/(D472*D472)</f>
        <v>25.2993759487266</v>
      </c>
      <c r="G472" s="117">
        <v>5</v>
      </c>
      <c r="I472" s="158">
        <v>44885</v>
      </c>
      <c r="J472" s="158">
        <v>44900</v>
      </c>
      <c r="L472" s="137">
        <v>2</v>
      </c>
      <c r="M472" s="138">
        <v>15</v>
      </c>
      <c r="N472" s="270" t="s">
        <v>1316</v>
      </c>
      <c r="O472" s="114"/>
      <c r="P472" s="114"/>
      <c r="Q472" s="114">
        <v>1</v>
      </c>
      <c r="R472" s="114"/>
      <c r="S472" s="114"/>
      <c r="T472" s="114">
        <v>1</v>
      </c>
      <c r="U472" s="114">
        <v>0</v>
      </c>
      <c r="V472" s="114">
        <v>1</v>
      </c>
      <c r="W472" s="114">
        <v>0</v>
      </c>
      <c r="X472" s="114">
        <v>1</v>
      </c>
      <c r="Y472" s="114">
        <v>1</v>
      </c>
      <c r="Z472" s="116" t="s">
        <v>307</v>
      </c>
      <c r="AA472" s="114">
        <v>3</v>
      </c>
      <c r="AB472" s="114">
        <f>_xlfn.IFS(AT472&gt;51,3,AT472&gt;=34,2,AT472&lt;34,1)</f>
        <v>2</v>
      </c>
      <c r="AC472" s="114">
        <f>_xlfn.IFS(AS472&gt;35,1,AS472&gt;=28,2,AS472&lt;28,3)</f>
        <v>2</v>
      </c>
      <c r="AD472" s="114">
        <f>_xlfn.IFS(AR472&gt;2.3,3,AR472&gt;=1.7,2,AR472&lt;1.7,1)</f>
        <v>1</v>
      </c>
      <c r="AE472" s="114">
        <f>Y472+AA472+AB472+AC472+AD472</f>
        <v>9</v>
      </c>
      <c r="AF472" s="116" t="s">
        <v>63</v>
      </c>
      <c r="AG472" s="114">
        <f>AT472/17.1</f>
        <v>2.26315789473684</v>
      </c>
      <c r="AH472" s="114">
        <f>AU472/88.4</f>
        <v>0.531674208144796</v>
      </c>
      <c r="AI472" s="114">
        <f>AR472</f>
        <v>1.17</v>
      </c>
      <c r="AJ472" s="159">
        <f>LN(IF(AG472&gt;=1,AG472,1))*3.8+LN(IF(AH472&gt;=1,AH472,1))*9.6+11.2*LN(IF(AI472&gt;=1,AI472,1))+6.4*AN472</f>
        <v>11.2621343054713</v>
      </c>
      <c r="AK472" s="160">
        <f>IF(AND(AG472&gt;0,AH472&gt;0,AI472&gt;0),AJ472,"")</f>
        <v>11.2621343054713</v>
      </c>
      <c r="AL472" s="160">
        <f>AK472+1.59*(135-AM472)</f>
        <v>11.2621343054713</v>
      </c>
      <c r="AM472" s="160">
        <f>IF(AV472&gt;135,135,IF(AV472&lt;120,120,AV472))</f>
        <v>135</v>
      </c>
      <c r="AN472" s="114">
        <v>1</v>
      </c>
      <c r="AO472" s="114">
        <f>_xlfn.IFS(AJ472&lt;15,1,AJ472=15-18,2,AJ472&gt;18,3)</f>
        <v>1</v>
      </c>
      <c r="AP472" s="114">
        <v>4.08</v>
      </c>
      <c r="AQ472" s="114">
        <v>53</v>
      </c>
      <c r="AR472" s="114">
        <v>1.17</v>
      </c>
      <c r="AS472" s="160">
        <v>30</v>
      </c>
      <c r="AT472" s="161">
        <v>38.7</v>
      </c>
      <c r="AU472" s="114">
        <v>47</v>
      </c>
      <c r="AV472" s="114">
        <v>143</v>
      </c>
      <c r="AZ472" s="119" t="s">
        <v>1317</v>
      </c>
    </row>
    <row r="473" spans="1:52">
      <c r="A473" s="119" t="s">
        <v>1318</v>
      </c>
      <c r="B473" s="119" t="s">
        <v>53</v>
      </c>
      <c r="C473" s="117">
        <v>69</v>
      </c>
      <c r="D473" s="135">
        <v>1.63</v>
      </c>
      <c r="E473" s="117">
        <v>70</v>
      </c>
      <c r="F473" s="136">
        <f>E473/(D473*D473)</f>
        <v>26.346494034401</v>
      </c>
      <c r="G473" s="117">
        <v>0</v>
      </c>
      <c r="I473" s="158">
        <v>44888</v>
      </c>
      <c r="J473" s="158">
        <v>44897</v>
      </c>
      <c r="L473" s="137">
        <v>1</v>
      </c>
      <c r="M473" s="138">
        <v>9</v>
      </c>
      <c r="N473" s="270" t="s">
        <v>1319</v>
      </c>
      <c r="O473" s="114"/>
      <c r="P473" s="114"/>
      <c r="Q473" s="114"/>
      <c r="R473" s="114"/>
      <c r="S473" s="114">
        <v>1</v>
      </c>
      <c r="T473" s="114">
        <v>0</v>
      </c>
      <c r="U473" s="114">
        <v>0</v>
      </c>
      <c r="V473" s="114">
        <v>1</v>
      </c>
      <c r="W473" s="114">
        <v>0</v>
      </c>
      <c r="X473" s="114">
        <v>1</v>
      </c>
      <c r="Y473" s="114">
        <v>1</v>
      </c>
      <c r="Z473" s="116" t="s">
        <v>58</v>
      </c>
      <c r="AA473" s="114">
        <v>1</v>
      </c>
      <c r="AB473" s="114">
        <f>_xlfn.IFS(AT473&gt;51,3,AT473&gt;=34,2,AT473&lt;34,1)</f>
        <v>1</v>
      </c>
      <c r="AC473" s="114">
        <f>_xlfn.IFS(AS473&gt;35,1,AS473&gt;=28,2,AS473&lt;28,3)</f>
        <v>1</v>
      </c>
      <c r="AD473" s="114">
        <f>_xlfn.IFS(AR473&gt;2.3,3,AR473&gt;=1.7,2,AR473&lt;1.7,1)</f>
        <v>1</v>
      </c>
      <c r="AE473" s="114">
        <f>Y473+AA473+AB473+AC473+AD473</f>
        <v>5</v>
      </c>
      <c r="AF473" s="116" t="s">
        <v>59</v>
      </c>
      <c r="AG473" s="114">
        <f>AT473/17.1</f>
        <v>1.2280701754386</v>
      </c>
      <c r="AH473" s="114">
        <f>AU473/88.4</f>
        <v>0.599547511312217</v>
      </c>
      <c r="AI473" s="114">
        <f>AR473</f>
        <v>1.09</v>
      </c>
      <c r="AJ473" s="159">
        <f>LN(IF(AG473&gt;=1,AG473,1))*3.8+LN(IF(AH473&gt;=1,AH473,1))*9.6+11.2*LN(IF(AI473&gt;=1,AI473,1))+6.4*AN473</f>
        <v>8.14587729991606</v>
      </c>
      <c r="AK473" s="160">
        <f>IF(AND(AG473&gt;0,AH473&gt;0,AI473&gt;0),AJ473,"")</f>
        <v>8.14587729991606</v>
      </c>
      <c r="AL473" s="160">
        <f>AK473+1.59*(135-AM473)</f>
        <v>8.14587729991606</v>
      </c>
      <c r="AM473" s="160">
        <f>IF(AV473&gt;135,135,IF(AV473&lt;120,120,AV473))</f>
        <v>135</v>
      </c>
      <c r="AN473" s="114">
        <v>1</v>
      </c>
      <c r="AO473" s="114">
        <f>_xlfn.IFS(AJ473&lt;15,1,AJ473=15-18,2,AJ473&gt;18,3)</f>
        <v>1</v>
      </c>
      <c r="AP473" s="114">
        <v>4.58</v>
      </c>
      <c r="AQ473" s="114">
        <v>125</v>
      </c>
      <c r="AR473" s="114">
        <v>1.09</v>
      </c>
      <c r="AS473" s="160">
        <v>37</v>
      </c>
      <c r="AT473" s="161">
        <v>21</v>
      </c>
      <c r="AU473" s="114">
        <v>53</v>
      </c>
      <c r="AV473" s="114">
        <v>145</v>
      </c>
      <c r="AZ473" s="119" t="s">
        <v>1320</v>
      </c>
    </row>
    <row r="474" spans="1:52">
      <c r="A474" s="119" t="s">
        <v>1321</v>
      </c>
      <c r="B474" s="119" t="s">
        <v>48</v>
      </c>
      <c r="C474" s="117">
        <v>60</v>
      </c>
      <c r="D474" s="135">
        <v>1.73</v>
      </c>
      <c r="E474" s="117">
        <v>60</v>
      </c>
      <c r="F474" s="136">
        <f>E474/(D474*D474)</f>
        <v>20.0474456213038</v>
      </c>
      <c r="G474" s="117">
        <v>0</v>
      </c>
      <c r="I474" s="158">
        <v>44882</v>
      </c>
      <c r="J474" s="158">
        <v>44890</v>
      </c>
      <c r="L474" s="137">
        <v>2</v>
      </c>
      <c r="M474" s="138">
        <v>8</v>
      </c>
      <c r="N474" s="270" t="s">
        <v>1322</v>
      </c>
      <c r="O474" s="114">
        <v>1</v>
      </c>
      <c r="P474" s="114"/>
      <c r="Q474" s="114"/>
      <c r="R474" s="114"/>
      <c r="S474" s="114"/>
      <c r="T474" s="114">
        <v>1</v>
      </c>
      <c r="U474" s="114">
        <v>0</v>
      </c>
      <c r="V474" s="114">
        <v>1</v>
      </c>
      <c r="W474" s="114">
        <v>0</v>
      </c>
      <c r="X474" s="114">
        <v>1</v>
      </c>
      <c r="Y474" s="114">
        <v>1</v>
      </c>
      <c r="Z474" s="116" t="s">
        <v>307</v>
      </c>
      <c r="AA474" s="114">
        <v>3</v>
      </c>
      <c r="AB474" s="114">
        <f>_xlfn.IFS(AT474&gt;51,3,AT474&gt;=34,2,AT474&lt;34,1)</f>
        <v>1</v>
      </c>
      <c r="AC474" s="114">
        <f>_xlfn.IFS(AS474&gt;35,1,AS474&gt;=28,2,AS474&lt;28,3)</f>
        <v>3</v>
      </c>
      <c r="AD474" s="114">
        <f>_xlfn.IFS(AR474&gt;2.3,3,AR474&gt;=1.7,2,AR474&lt;1.7,1)</f>
        <v>1</v>
      </c>
      <c r="AE474" s="114">
        <f>Y474+AA474+AB474+AC474+AD474</f>
        <v>9</v>
      </c>
      <c r="AF474" s="116" t="s">
        <v>63</v>
      </c>
      <c r="AG474" s="114">
        <f>AT474/17.1</f>
        <v>1.94152046783626</v>
      </c>
      <c r="AH474" s="114">
        <f>AU474/88.4</f>
        <v>0.723981900452489</v>
      </c>
      <c r="AI474" s="114">
        <f>AR474</f>
        <v>1.34</v>
      </c>
      <c r="AJ474" s="159">
        <f>LN(IF(AG474&gt;=1,AG474,1))*3.8+LN(IF(AH474&gt;=1,AH474,1))*9.6+11.2*LN(IF(AI474&gt;=1,AI474,1))+6.4*AN474</f>
        <v>12.1990910435561</v>
      </c>
      <c r="AK474" s="160">
        <f>IF(AND(AG474&gt;0,AH474&gt;0,AI474&gt;0),AJ474,"")</f>
        <v>12.1990910435561</v>
      </c>
      <c r="AL474" s="160">
        <f>AK474+1.59*(135-AM474)</f>
        <v>12.1990910435561</v>
      </c>
      <c r="AM474" s="160">
        <f>IF(AV474&gt;135,135,IF(AV474&lt;120,120,AV474))</f>
        <v>135</v>
      </c>
      <c r="AN474" s="114">
        <v>1</v>
      </c>
      <c r="AO474" s="114">
        <f>_xlfn.IFS(AJ474&lt;15,1,AJ474=15-18,2,AJ474&gt;18,3)</f>
        <v>1</v>
      </c>
      <c r="AP474" s="114">
        <v>3.86</v>
      </c>
      <c r="AQ474" s="114">
        <v>65</v>
      </c>
      <c r="AR474" s="114">
        <v>1.34</v>
      </c>
      <c r="AS474" s="160">
        <v>24</v>
      </c>
      <c r="AT474" s="161">
        <v>33.2</v>
      </c>
      <c r="AU474" s="114">
        <v>64</v>
      </c>
      <c r="AV474" s="114">
        <v>139</v>
      </c>
      <c r="AZ474" s="119" t="s">
        <v>1323</v>
      </c>
    </row>
    <row r="475" spans="1:52">
      <c r="A475" s="119" t="s">
        <v>1324</v>
      </c>
      <c r="B475" s="119" t="s">
        <v>48</v>
      </c>
      <c r="C475" s="117">
        <v>63</v>
      </c>
      <c r="D475" s="135">
        <v>1.71</v>
      </c>
      <c r="E475" s="117">
        <v>69</v>
      </c>
      <c r="F475" s="136">
        <f>E475/(D475*D475)</f>
        <v>23.5970042064225</v>
      </c>
      <c r="G475" s="117">
        <v>1</v>
      </c>
      <c r="I475" s="158">
        <v>44877</v>
      </c>
      <c r="J475" s="158">
        <v>44883</v>
      </c>
      <c r="L475" s="137">
        <v>1</v>
      </c>
      <c r="M475" s="138">
        <v>6</v>
      </c>
      <c r="N475" s="270" t="s">
        <v>1325</v>
      </c>
      <c r="O475" s="114"/>
      <c r="P475" s="114">
        <v>1</v>
      </c>
      <c r="Q475" s="114"/>
      <c r="R475" s="114"/>
      <c r="S475" s="114"/>
      <c r="T475" s="114">
        <v>1</v>
      </c>
      <c r="U475" s="114">
        <v>0</v>
      </c>
      <c r="V475" s="114">
        <v>1</v>
      </c>
      <c r="W475" s="114">
        <v>0</v>
      </c>
      <c r="X475" s="114">
        <v>1</v>
      </c>
      <c r="Y475" s="114">
        <v>1</v>
      </c>
      <c r="Z475" s="116" t="s">
        <v>300</v>
      </c>
      <c r="AA475" s="114">
        <v>2</v>
      </c>
      <c r="AB475" s="114">
        <f>_xlfn.IFS(AT475&gt;51,3,AT475&gt;=34,2,AT475&lt;34,1)</f>
        <v>1</v>
      </c>
      <c r="AC475" s="114">
        <f>_xlfn.IFS(AS475&gt;35,1,AS475&gt;=28,2,AS475&lt;28,3)</f>
        <v>2</v>
      </c>
      <c r="AD475" s="114">
        <f>_xlfn.IFS(AR475&gt;2.3,3,AR475&gt;=1.7,2,AR475&lt;1.7,1)</f>
        <v>1</v>
      </c>
      <c r="AE475" s="114">
        <f>Y475+AA475+AB475+AC475+AD475</f>
        <v>7</v>
      </c>
      <c r="AF475" s="116" t="s">
        <v>63</v>
      </c>
      <c r="AG475" s="114">
        <f>AT475/17.1</f>
        <v>0.64327485380117</v>
      </c>
      <c r="AH475" s="114">
        <f>AU475/88.4</f>
        <v>0.984162895927602</v>
      </c>
      <c r="AI475" s="114">
        <f>AR475</f>
        <v>1.07</v>
      </c>
      <c r="AJ475" s="159">
        <f>LN(IF(AG475&gt;=1,AG475,1))*3.8+LN(IF(AH475&gt;=1,AH475,1))*9.6+11.2*LN(IF(AI475&gt;=1,AI475,1))+6.4*AN475</f>
        <v>0.757776862906726</v>
      </c>
      <c r="AK475" s="160">
        <f>IF(AND(AG475&gt;0,AH475&gt;0,AI475&gt;0),AJ475,"")</f>
        <v>0.757776862906726</v>
      </c>
      <c r="AL475" s="160">
        <f>AK475+1.59*(135-AM475)</f>
        <v>0.757776862906726</v>
      </c>
      <c r="AM475" s="160">
        <f>IF(AV475&gt;135,135,IF(AV475&lt;120,120,AV475))</f>
        <v>135</v>
      </c>
      <c r="AN475" s="114">
        <v>0</v>
      </c>
      <c r="AO475" s="114">
        <f>_xlfn.IFS(AJ475&lt;15,1,AJ475=15-18,2,AJ475&gt;18,3)</f>
        <v>1</v>
      </c>
      <c r="AP475" s="114">
        <v>7.5</v>
      </c>
      <c r="AQ475" s="114">
        <v>65</v>
      </c>
      <c r="AR475" s="114">
        <v>1.07</v>
      </c>
      <c r="AS475" s="160">
        <v>31</v>
      </c>
      <c r="AT475" s="161">
        <v>11</v>
      </c>
      <c r="AU475" s="114">
        <v>87</v>
      </c>
      <c r="AV475" s="114">
        <v>141</v>
      </c>
      <c r="AZ475" s="119" t="s">
        <v>1326</v>
      </c>
    </row>
    <row r="476" s="125" customFormat="1" spans="1:52">
      <c r="A476" s="131" t="s">
        <v>867</v>
      </c>
      <c r="B476" s="131" t="s">
        <v>53</v>
      </c>
      <c r="C476" s="125">
        <v>52</v>
      </c>
      <c r="D476" s="185">
        <v>1.55</v>
      </c>
      <c r="E476" s="125">
        <v>33</v>
      </c>
      <c r="F476" s="216">
        <f>E476/(D476*D476)</f>
        <v>13.735691987513</v>
      </c>
      <c r="G476" s="125">
        <v>1</v>
      </c>
      <c r="I476" s="186">
        <v>44880</v>
      </c>
      <c r="J476" s="186">
        <v>44889</v>
      </c>
      <c r="L476" s="187">
        <v>8</v>
      </c>
      <c r="M476" s="187">
        <v>9</v>
      </c>
      <c r="N476" s="248" t="s">
        <v>1327</v>
      </c>
      <c r="O476" s="114"/>
      <c r="P476" s="114"/>
      <c r="Q476" s="114">
        <v>1</v>
      </c>
      <c r="R476" s="114"/>
      <c r="S476" s="114"/>
      <c r="T476" s="114">
        <v>0</v>
      </c>
      <c r="U476" s="114">
        <v>0</v>
      </c>
      <c r="V476" s="114">
        <v>1</v>
      </c>
      <c r="W476" s="114">
        <v>0</v>
      </c>
      <c r="X476" s="114">
        <v>1</v>
      </c>
      <c r="Y476" s="114">
        <v>1</v>
      </c>
      <c r="Z476" s="116" t="s">
        <v>58</v>
      </c>
      <c r="AA476" s="114">
        <v>1</v>
      </c>
      <c r="AB476" s="114">
        <f>_xlfn.IFS(AT476&gt;51,3,AT476&gt;=34,2,AT476&lt;34,1)</f>
        <v>1</v>
      </c>
      <c r="AC476" s="114">
        <f>_xlfn.IFS(AS476&gt;35,1,AS476&gt;=28,2,AS476&lt;28,3)</f>
        <v>2</v>
      </c>
      <c r="AD476" s="114">
        <f>_xlfn.IFS(AR476&gt;2.3,3,AR476&gt;=1.7,2,AR476&lt;1.7,1)</f>
        <v>1</v>
      </c>
      <c r="AE476" s="114">
        <f>Y476+AA476+AB476+AC476+AD476</f>
        <v>6</v>
      </c>
      <c r="AF476" s="116" t="s">
        <v>59</v>
      </c>
      <c r="AG476" s="114">
        <f>AT476/17.1</f>
        <v>1.29239766081871</v>
      </c>
      <c r="AH476" s="114">
        <f>AU476/88.4</f>
        <v>0.565610859728507</v>
      </c>
      <c r="AI476" s="114">
        <f>AR476</f>
        <v>1.41</v>
      </c>
      <c r="AJ476" s="159">
        <f>LN(IF(AG476&gt;=1,AG476,1))*3.8+LN(IF(AH476&gt;=1,AH476,1))*9.6+11.2*LN(IF(AI476&gt;=1,AI476,1))+6.4*AN476</f>
        <v>11.2229014402262</v>
      </c>
      <c r="AK476" s="160">
        <f>IF(AND(AG476&gt;0,AH476&gt;0,AI476&gt;0),AJ476,"")</f>
        <v>11.2229014402262</v>
      </c>
      <c r="AL476" s="160">
        <f>AK476+1.59*(135-AM476)</f>
        <v>11.2229014402262</v>
      </c>
      <c r="AM476" s="160">
        <f>IF(AV476&gt;135,135,IF(AV476&lt;120,120,AV476))</f>
        <v>135</v>
      </c>
      <c r="AN476" s="114">
        <v>1</v>
      </c>
      <c r="AO476" s="114">
        <f>_xlfn.IFS(AJ476&lt;15,1,AJ476=15-18,2,AJ476&gt;18,3)</f>
        <v>1</v>
      </c>
      <c r="AP476" s="114">
        <v>2.18</v>
      </c>
      <c r="AQ476" s="114">
        <v>58</v>
      </c>
      <c r="AR476" s="114">
        <v>1.41</v>
      </c>
      <c r="AS476" s="160">
        <v>28</v>
      </c>
      <c r="AT476" s="161">
        <v>22.1</v>
      </c>
      <c r="AU476" s="114">
        <v>50</v>
      </c>
      <c r="AV476" s="114">
        <v>140</v>
      </c>
      <c r="AZ476" s="131" t="s">
        <v>1328</v>
      </c>
    </row>
    <row r="477" spans="1:52">
      <c r="A477" s="119" t="s">
        <v>1329</v>
      </c>
      <c r="B477" s="119" t="s">
        <v>53</v>
      </c>
      <c r="C477" s="117">
        <v>70</v>
      </c>
      <c r="D477" s="135">
        <v>1.66</v>
      </c>
      <c r="E477" s="117">
        <v>75</v>
      </c>
      <c r="F477" s="136">
        <f>E477/(D477*D477)</f>
        <v>27.2173029467267</v>
      </c>
      <c r="G477" s="117">
        <v>0</v>
      </c>
      <c r="I477" s="158">
        <v>44764</v>
      </c>
      <c r="J477" s="158">
        <v>44777</v>
      </c>
      <c r="L477" s="137">
        <v>1</v>
      </c>
      <c r="M477" s="138">
        <v>13</v>
      </c>
      <c r="N477" s="270" t="s">
        <v>1330</v>
      </c>
      <c r="O477" s="114"/>
      <c r="P477" s="114"/>
      <c r="Q477" s="114"/>
      <c r="R477" s="114"/>
      <c r="S477" s="114">
        <v>1</v>
      </c>
      <c r="T477" s="114">
        <v>1</v>
      </c>
      <c r="U477" s="114">
        <v>0</v>
      </c>
      <c r="V477" s="114">
        <v>1</v>
      </c>
      <c r="W477" s="114">
        <v>0</v>
      </c>
      <c r="X477" s="114">
        <v>1</v>
      </c>
      <c r="Y477" s="114">
        <v>1</v>
      </c>
      <c r="Z477" s="116" t="s">
        <v>300</v>
      </c>
      <c r="AA477" s="114">
        <v>2</v>
      </c>
      <c r="AB477" s="114">
        <f>_xlfn.IFS(AT477&gt;51,3,AT477&gt;=34,2,AT477&lt;34,1)</f>
        <v>1</v>
      </c>
      <c r="AC477" s="114">
        <f>_xlfn.IFS(AS477&gt;35,1,AS477&gt;=28,2,AS477&lt;28,3)</f>
        <v>1</v>
      </c>
      <c r="AD477" s="114">
        <f>_xlfn.IFS(AR477&gt;2.3,3,AR477&gt;=1.7,2,AR477&lt;1.7,1)</f>
        <v>1</v>
      </c>
      <c r="AE477" s="114">
        <f>Y477+AA477+AB477+AC477+AD477</f>
        <v>6</v>
      </c>
      <c r="AF477" s="116" t="s">
        <v>59</v>
      </c>
      <c r="AG477" s="114">
        <f>AT477/17.1</f>
        <v>1.39181286549708</v>
      </c>
      <c r="AH477" s="114">
        <f>AU477/88.4</f>
        <v>0.644796380090498</v>
      </c>
      <c r="AI477" s="114">
        <f>AR477</f>
        <v>1.11</v>
      </c>
      <c r="AJ477" s="159">
        <f>LN(IF(AG477&gt;=1,AG477,1))*3.8+LN(IF(AH477&gt;=1,AH477,1))*9.6+11.2*LN(IF(AI477&gt;=1,AI477,1))+6.4*AN477</f>
        <v>8.82513921687302</v>
      </c>
      <c r="AK477" s="160">
        <f>IF(AND(AG477&gt;0,AH477&gt;0,AI477&gt;0),AJ477,"")</f>
        <v>8.82513921687302</v>
      </c>
      <c r="AL477" s="160">
        <f>AK477+1.59*(135-AM477)</f>
        <v>8.82513921687302</v>
      </c>
      <c r="AM477" s="160">
        <f>IF(AV477&gt;135,135,IF(AV477&lt;120,120,AV477))</f>
        <v>135</v>
      </c>
      <c r="AN477" s="114">
        <v>1</v>
      </c>
      <c r="AO477" s="114">
        <f>_xlfn.IFS(AJ477&lt;15,1,AJ477=15-18,2,AJ477&gt;18,3)</f>
        <v>1</v>
      </c>
      <c r="AP477" s="114">
        <v>5.89</v>
      </c>
      <c r="AQ477" s="114">
        <v>87</v>
      </c>
      <c r="AR477" s="114">
        <v>1.11</v>
      </c>
      <c r="AS477" s="160">
        <v>37</v>
      </c>
      <c r="AT477" s="161">
        <v>23.8</v>
      </c>
      <c r="AU477" s="114">
        <v>57</v>
      </c>
      <c r="AV477" s="114">
        <v>139</v>
      </c>
      <c r="AZ477" s="119" t="s">
        <v>1331</v>
      </c>
    </row>
    <row r="478" spans="1:52">
      <c r="A478" s="280" t="s">
        <v>1332</v>
      </c>
      <c r="B478" s="119" t="s">
        <v>53</v>
      </c>
      <c r="C478" s="117">
        <v>46</v>
      </c>
      <c r="D478" s="135">
        <v>1.65</v>
      </c>
      <c r="E478" s="117">
        <v>88</v>
      </c>
      <c r="F478" s="136">
        <f>E478/(D478*D478)</f>
        <v>32.3232323232323</v>
      </c>
      <c r="G478" s="117">
        <v>1</v>
      </c>
      <c r="I478" s="158">
        <v>44870</v>
      </c>
      <c r="J478" s="158">
        <v>44874</v>
      </c>
      <c r="L478" s="137">
        <v>1</v>
      </c>
      <c r="M478" s="138">
        <v>4</v>
      </c>
      <c r="N478" s="270" t="s">
        <v>1333</v>
      </c>
      <c r="O478" s="114">
        <v>1</v>
      </c>
      <c r="P478" s="114"/>
      <c r="Q478" s="114"/>
      <c r="R478" s="114"/>
      <c r="S478" s="114"/>
      <c r="T478" s="114">
        <v>0</v>
      </c>
      <c r="U478" s="114">
        <v>0</v>
      </c>
      <c r="V478" s="114">
        <v>1</v>
      </c>
      <c r="W478" s="114">
        <v>0</v>
      </c>
      <c r="X478" s="114">
        <v>1</v>
      </c>
      <c r="Y478" s="114">
        <v>1</v>
      </c>
      <c r="Z478" s="116" t="s">
        <v>58</v>
      </c>
      <c r="AA478" s="114">
        <v>1</v>
      </c>
      <c r="AB478" s="114">
        <f>_xlfn.IFS(AT478&gt;51,3,AT478&gt;=34,2,AT478&lt;34,1)</f>
        <v>2</v>
      </c>
      <c r="AC478" s="114">
        <f>_xlfn.IFS(AS478&gt;35,1,AS478&gt;=28,2,AS478&lt;28,3)</f>
        <v>2</v>
      </c>
      <c r="AD478" s="114">
        <f>_xlfn.IFS(AR478&gt;2.3,3,AR478&gt;=1.7,2,AR478&lt;1.7,1)</f>
        <v>1</v>
      </c>
      <c r="AE478" s="114">
        <f>Y478+AA478+AB478+AC478+AD478</f>
        <v>7</v>
      </c>
      <c r="AF478" s="116" t="s">
        <v>63</v>
      </c>
      <c r="AG478" s="114">
        <f>AT478/17.1</f>
        <v>2.71345029239766</v>
      </c>
      <c r="AH478" s="114">
        <f>AU478/88.4</f>
        <v>0.486425339366516</v>
      </c>
      <c r="AI478" s="114">
        <f>AR478</f>
        <v>1.34</v>
      </c>
      <c r="AJ478" s="159">
        <f>LN(IF(AG478&gt;=1,AG478,1))*3.8+LN(IF(AH478&gt;=1,AH478,1))*9.6+11.2*LN(IF(AI478&gt;=1,AI478,1))+6.4*AN478</f>
        <v>13.4711394601332</v>
      </c>
      <c r="AK478" s="160">
        <f>IF(AND(AG478&gt;0,AH478&gt;0,AI478&gt;0),AJ478,"")</f>
        <v>13.4711394601332</v>
      </c>
      <c r="AL478" s="160">
        <f>AK478+1.59*(135-AM478)</f>
        <v>13.4711394601332</v>
      </c>
      <c r="AM478" s="160">
        <f>IF(AV478&gt;135,135,IF(AV478&lt;120,120,AV478))</f>
        <v>135</v>
      </c>
      <c r="AN478" s="114">
        <v>1</v>
      </c>
      <c r="AO478" s="114">
        <f>_xlfn.IFS(AJ478&lt;15,1,AJ478=15-18,2,AJ478&gt;18,3)</f>
        <v>1</v>
      </c>
      <c r="AP478" s="114">
        <v>2.33</v>
      </c>
      <c r="AQ478" s="114">
        <v>143</v>
      </c>
      <c r="AR478" s="114">
        <v>1.34</v>
      </c>
      <c r="AS478" s="160">
        <v>29</v>
      </c>
      <c r="AT478" s="161">
        <v>46.4</v>
      </c>
      <c r="AU478" s="114">
        <v>43</v>
      </c>
      <c r="AV478" s="114">
        <v>141</v>
      </c>
      <c r="AZ478" s="119" t="s">
        <v>1334</v>
      </c>
    </row>
    <row r="479" s="123" customFormat="1" spans="1:52">
      <c r="A479" s="132" t="s">
        <v>1335</v>
      </c>
      <c r="B479" s="132" t="s">
        <v>48</v>
      </c>
      <c r="C479" s="123">
        <v>58</v>
      </c>
      <c r="D479" s="176">
        <v>1.62</v>
      </c>
      <c r="E479" s="123">
        <v>58</v>
      </c>
      <c r="F479" s="189">
        <f>E479/(D479*D479)</f>
        <v>22.1002895900015</v>
      </c>
      <c r="G479" s="123">
        <v>1</v>
      </c>
      <c r="I479" s="177">
        <v>44872</v>
      </c>
      <c r="J479" s="177">
        <v>44888</v>
      </c>
      <c r="L479" s="178">
        <v>1</v>
      </c>
      <c r="M479" s="178">
        <v>16</v>
      </c>
      <c r="N479" s="254" t="s">
        <v>1336</v>
      </c>
      <c r="O479" s="114"/>
      <c r="P479" s="114">
        <v>1</v>
      </c>
      <c r="Q479" s="114"/>
      <c r="R479" s="114"/>
      <c r="S479" s="114"/>
      <c r="T479" s="114">
        <v>1</v>
      </c>
      <c r="U479" s="114">
        <v>0</v>
      </c>
      <c r="V479" s="114">
        <v>1</v>
      </c>
      <c r="W479" s="114">
        <v>0</v>
      </c>
      <c r="X479" s="114">
        <v>1</v>
      </c>
      <c r="Y479" s="114">
        <v>1</v>
      </c>
      <c r="Z479" s="116" t="s">
        <v>300</v>
      </c>
      <c r="AA479" s="114">
        <v>2</v>
      </c>
      <c r="AB479" s="114">
        <f>_xlfn.IFS(AT479&gt;51,3,AT479&gt;=34,2,AT479&lt;34,1)</f>
        <v>1</v>
      </c>
      <c r="AC479" s="114">
        <f>_xlfn.IFS(AS479&gt;35,1,AS479&gt;=28,2,AS479&lt;28,3)</f>
        <v>2</v>
      </c>
      <c r="AD479" s="114">
        <f>_xlfn.IFS(AR479&gt;2.3,3,AR479&gt;=1.7,2,AR479&lt;1.7,1)</f>
        <v>1</v>
      </c>
      <c r="AE479" s="114">
        <f>Y479+AA479+AB479+AC479+AD479</f>
        <v>7</v>
      </c>
      <c r="AF479" s="116" t="s">
        <v>63</v>
      </c>
      <c r="AG479" s="114">
        <f>AT479/17.1</f>
        <v>0.871345029239766</v>
      </c>
      <c r="AH479" s="114">
        <f>AU479/88.4</f>
        <v>0.531674208144796</v>
      </c>
      <c r="AI479" s="114">
        <f>AR479</f>
        <v>1.36</v>
      </c>
      <c r="AJ479" s="159">
        <f>LN(IF(AG479&gt;=1,AG479,1))*3.8+LN(IF(AH479&gt;=1,AH479,1))*9.6+11.2*LN(IF(AI479&gt;=1,AI479,1))+6.4*AN479</f>
        <v>3.44382863717716</v>
      </c>
      <c r="AK479" s="160">
        <f>IF(AND(AG479&gt;0,AH479&gt;0,AI479&gt;0),AJ479,"")</f>
        <v>3.44382863717716</v>
      </c>
      <c r="AL479" s="160">
        <f>AK479+1.59*(135-AM479)</f>
        <v>3.44382863717716</v>
      </c>
      <c r="AM479" s="160">
        <f>IF(AV479&gt;135,135,IF(AV479&lt;120,120,AV479))</f>
        <v>135</v>
      </c>
      <c r="AN479" s="114">
        <v>0</v>
      </c>
      <c r="AO479" s="114">
        <f>_xlfn.IFS(AJ479&lt;15,1,AJ479=15-18,2,AJ479&gt;18,3)</f>
        <v>1</v>
      </c>
      <c r="AP479" s="114">
        <v>2.51</v>
      </c>
      <c r="AQ479" s="114">
        <v>69</v>
      </c>
      <c r="AR479" s="114">
        <v>1.36</v>
      </c>
      <c r="AS479" s="160">
        <v>30</v>
      </c>
      <c r="AT479" s="161">
        <v>14.9</v>
      </c>
      <c r="AU479" s="114">
        <v>47</v>
      </c>
      <c r="AV479" s="114">
        <v>138</v>
      </c>
      <c r="AZ479" s="132" t="s">
        <v>1337</v>
      </c>
    </row>
    <row r="480" spans="1:52">
      <c r="A480" s="119" t="s">
        <v>1338</v>
      </c>
      <c r="B480" s="119" t="s">
        <v>53</v>
      </c>
      <c r="C480" s="117">
        <v>51</v>
      </c>
      <c r="D480" s="135">
        <v>1.6</v>
      </c>
      <c r="E480" s="117">
        <v>70</v>
      </c>
      <c r="F480" s="136">
        <f>E480/(D480*D480)</f>
        <v>27.34375</v>
      </c>
      <c r="G480" s="117">
        <v>0</v>
      </c>
      <c r="I480" s="158">
        <v>44873</v>
      </c>
      <c r="J480" s="158">
        <v>44877</v>
      </c>
      <c r="L480" s="137">
        <v>1</v>
      </c>
      <c r="M480" s="138">
        <v>4</v>
      </c>
      <c r="N480" s="270" t="s">
        <v>1339</v>
      </c>
      <c r="O480" s="114"/>
      <c r="P480" s="114"/>
      <c r="Q480" s="114"/>
      <c r="R480" s="114"/>
      <c r="S480" s="114"/>
      <c r="T480" s="114">
        <v>0</v>
      </c>
      <c r="U480" s="114">
        <v>0</v>
      </c>
      <c r="V480" s="114">
        <v>0</v>
      </c>
      <c r="W480" s="114">
        <v>0</v>
      </c>
      <c r="X480" s="114">
        <v>0</v>
      </c>
      <c r="Y480" s="114">
        <v>1</v>
      </c>
      <c r="Z480" s="116" t="s">
        <v>58</v>
      </c>
      <c r="AA480" s="114">
        <v>1</v>
      </c>
      <c r="AB480" s="114">
        <f>_xlfn.IFS(AT480&gt;51,3,AT480&gt;=34,2,AT480&lt;34,1)</f>
        <v>1</v>
      </c>
      <c r="AC480" s="114">
        <f>_xlfn.IFS(AS480&gt;35,1,AS480&gt;=28,2,AS480&lt;28,3)</f>
        <v>2</v>
      </c>
      <c r="AD480" s="114">
        <f>_xlfn.IFS(AR480&gt;2.3,3,AR480&gt;=1.7,2,AR480&lt;1.7,1)</f>
        <v>1</v>
      </c>
      <c r="AE480" s="114">
        <f>Y480+AA480+AB480+AC480+AD480</f>
        <v>6</v>
      </c>
      <c r="AF480" s="116" t="s">
        <v>59</v>
      </c>
      <c r="AG480" s="114">
        <f>AT480/17.1</f>
        <v>0.725146198830409</v>
      </c>
      <c r="AH480" s="114">
        <f>AU480/88.4</f>
        <v>0.531674208144796</v>
      </c>
      <c r="AI480" s="114">
        <f>AR480</f>
        <v>0.93</v>
      </c>
      <c r="AJ480" s="159"/>
      <c r="AK480" s="160">
        <f>IF(AND(AG480&gt;0,AH480&gt;0,AI480&gt;0),AJ480,"")</f>
        <v>0</v>
      </c>
      <c r="AL480" s="160">
        <f>AK480+1.59*(135-AM480)</f>
        <v>0</v>
      </c>
      <c r="AM480" s="160">
        <f>IF(AV480&gt;135,135,IF(AV480&lt;120,120,AV480))</f>
        <v>135</v>
      </c>
      <c r="AN480" s="114"/>
      <c r="AO480" s="114"/>
      <c r="AP480" s="114">
        <v>4.09</v>
      </c>
      <c r="AQ480" s="114">
        <v>115</v>
      </c>
      <c r="AR480" s="114">
        <v>0.93</v>
      </c>
      <c r="AS480" s="160">
        <v>35</v>
      </c>
      <c r="AT480" s="161">
        <v>12.4</v>
      </c>
      <c r="AU480" s="114">
        <v>47</v>
      </c>
      <c r="AV480" s="114">
        <v>142</v>
      </c>
      <c r="AZ480" s="119" t="s">
        <v>1340</v>
      </c>
    </row>
    <row r="481" spans="1:52">
      <c r="A481" s="119" t="s">
        <v>1341</v>
      </c>
      <c r="B481" s="119" t="s">
        <v>53</v>
      </c>
      <c r="C481" s="117">
        <v>62</v>
      </c>
      <c r="D481" s="135">
        <v>1.58</v>
      </c>
      <c r="E481" s="117">
        <v>60</v>
      </c>
      <c r="F481" s="136">
        <f>E481/(D481*D481)</f>
        <v>24.034609838167</v>
      </c>
      <c r="G481" s="117">
        <v>1</v>
      </c>
      <c r="I481" s="158">
        <v>44868</v>
      </c>
      <c r="J481" s="158">
        <v>44884</v>
      </c>
      <c r="L481" s="137">
        <v>1</v>
      </c>
      <c r="M481" s="138">
        <v>16</v>
      </c>
      <c r="N481" s="270" t="s">
        <v>1342</v>
      </c>
      <c r="O481" s="114"/>
      <c r="P481" s="114"/>
      <c r="Q481" s="114">
        <v>1</v>
      </c>
      <c r="R481" s="114">
        <v>1</v>
      </c>
      <c r="S481" s="114"/>
      <c r="T481" s="114">
        <v>1</v>
      </c>
      <c r="U481" s="114">
        <v>0</v>
      </c>
      <c r="V481" s="114">
        <v>1</v>
      </c>
      <c r="W481" s="114">
        <v>0</v>
      </c>
      <c r="X481" s="114">
        <v>1</v>
      </c>
      <c r="Y481" s="114">
        <v>1</v>
      </c>
      <c r="Z481" s="116" t="s">
        <v>300</v>
      </c>
      <c r="AA481" s="114">
        <v>2</v>
      </c>
      <c r="AB481" s="114">
        <f>_xlfn.IFS(AT481&gt;51,3,AT481&gt;=34,2,AT481&lt;34,1)</f>
        <v>1</v>
      </c>
      <c r="AC481" s="114">
        <f>_xlfn.IFS(AS481&gt;35,1,AS481&gt;=28,2,AS481&lt;28,3)</f>
        <v>2</v>
      </c>
      <c r="AD481" s="114">
        <f>_xlfn.IFS(AR481&gt;2.3,3,AR481&gt;=1.7,2,AR481&lt;1.7,1)</f>
        <v>1</v>
      </c>
      <c r="AE481" s="114">
        <f>Y481+AA481+AB481+AC481+AD481</f>
        <v>7</v>
      </c>
      <c r="AF481" s="116" t="s">
        <v>63</v>
      </c>
      <c r="AG481" s="114">
        <f>AT481/17.1</f>
        <v>0.906432748538012</v>
      </c>
      <c r="AH481" s="114">
        <f>AU481/88.4</f>
        <v>0.576923076923077</v>
      </c>
      <c r="AI481" s="114">
        <f>AR481</f>
        <v>1.1</v>
      </c>
      <c r="AJ481" s="159">
        <f>LN(IF(AG481&gt;=1,AG481,1))*3.8+LN(IF(AH481&gt;=1,AH481,1))*9.6+11.2*LN(IF(AI481&gt;=1,AI481,1))+6.4*AN481</f>
        <v>1.06747401380844</v>
      </c>
      <c r="AK481" s="160">
        <f>IF(AND(AG481&gt;0,AH481&gt;0,AI481&gt;0),AJ481,"")</f>
        <v>1.06747401380844</v>
      </c>
      <c r="AL481" s="160">
        <f>AK481+1.59*(135-AM481)</f>
        <v>1.06747401380844</v>
      </c>
      <c r="AM481" s="160">
        <f>IF(AV481&gt;135,135,IF(AV481&lt;120,120,AV481))</f>
        <v>135</v>
      </c>
      <c r="AN481" s="114">
        <v>0</v>
      </c>
      <c r="AO481" s="114">
        <f>_xlfn.IFS(AJ481&lt;15,1,AJ481=15-18,2,AJ481&gt;18,3)</f>
        <v>1</v>
      </c>
      <c r="AP481" s="114">
        <v>3.79</v>
      </c>
      <c r="AQ481" s="114">
        <v>115</v>
      </c>
      <c r="AR481" s="114">
        <v>1.1</v>
      </c>
      <c r="AS481" s="160">
        <v>33</v>
      </c>
      <c r="AT481" s="161">
        <v>15.5</v>
      </c>
      <c r="AU481" s="114">
        <v>51</v>
      </c>
      <c r="AV481" s="114">
        <v>144</v>
      </c>
      <c r="AZ481" s="119" t="s">
        <v>1343</v>
      </c>
    </row>
    <row r="482" s="124" customFormat="1" spans="1:52">
      <c r="A482" s="127" t="s">
        <v>1344</v>
      </c>
      <c r="B482" s="127" t="s">
        <v>48</v>
      </c>
      <c r="C482" s="124">
        <v>70</v>
      </c>
      <c r="D482" s="180">
        <v>1.75</v>
      </c>
      <c r="E482" s="124">
        <v>58</v>
      </c>
      <c r="F482" s="181">
        <f>E482/(D482*D482)</f>
        <v>18.9387755102041</v>
      </c>
      <c r="G482" s="124">
        <v>7</v>
      </c>
      <c r="I482" s="182">
        <v>44869</v>
      </c>
      <c r="J482" s="182">
        <v>44893</v>
      </c>
      <c r="L482" s="183">
        <v>1</v>
      </c>
      <c r="M482" s="183">
        <v>24</v>
      </c>
      <c r="N482" s="201" t="s">
        <v>1345</v>
      </c>
      <c r="O482" s="114"/>
      <c r="P482" s="114"/>
      <c r="Q482" s="114">
        <v>1</v>
      </c>
      <c r="R482" s="114">
        <v>1</v>
      </c>
      <c r="S482" s="114"/>
      <c r="T482" s="114">
        <v>1</v>
      </c>
      <c r="U482" s="114">
        <v>0</v>
      </c>
      <c r="V482" s="114">
        <v>1</v>
      </c>
      <c r="W482" s="114">
        <v>0</v>
      </c>
      <c r="X482" s="114">
        <v>1</v>
      </c>
      <c r="Y482" s="114">
        <v>1</v>
      </c>
      <c r="Z482" s="116" t="s">
        <v>321</v>
      </c>
      <c r="AA482" s="114">
        <v>3</v>
      </c>
      <c r="AB482" s="114">
        <f>_xlfn.IFS(AT482&gt;51,3,AT482&gt;=34,2,AT482&lt;34,1)</f>
        <v>3</v>
      </c>
      <c r="AC482" s="114">
        <f>_xlfn.IFS(AS482&gt;35,1,AS482&gt;=28,2,AS482&lt;28,3)</f>
        <v>3</v>
      </c>
      <c r="AD482" s="114">
        <f>_xlfn.IFS(AR482&gt;2.3,3,AR482&gt;=1.7,2,AR482&lt;1.7,1)</f>
        <v>1</v>
      </c>
      <c r="AE482" s="114">
        <f>Y482+AA482+AB482+AC482+AD482</f>
        <v>11</v>
      </c>
      <c r="AF482" s="116" t="s">
        <v>50</v>
      </c>
      <c r="AG482" s="114">
        <f>AT482/17.1</f>
        <v>6.01169590643275</v>
      </c>
      <c r="AH482" s="114">
        <f>AU482/88.4</f>
        <v>0.984162895927602</v>
      </c>
      <c r="AI482" s="114">
        <f>AR482</f>
        <v>1.37</v>
      </c>
      <c r="AJ482" s="159">
        <f>LN(IF(AG482&gt;=1,AG482,1))*3.8+LN(IF(AH482&gt;=1,AH482,1))*9.6+11.2*LN(IF(AI482&gt;=1,AI482,1))+6.4*AN482</f>
        <v>10.3419664663557</v>
      </c>
      <c r="AK482" s="160">
        <f>IF(AND(AG482&gt;0,AH482&gt;0,AI482&gt;0),AJ482,"")</f>
        <v>10.3419664663557</v>
      </c>
      <c r="AL482" s="160">
        <f>AK482+1.59*(135-AM482)</f>
        <v>10.3419664663557</v>
      </c>
      <c r="AM482" s="160">
        <f>IF(AV482&gt;135,135,IF(AV482&lt;120,120,AV482))</f>
        <v>135</v>
      </c>
      <c r="AN482" s="114">
        <v>0</v>
      </c>
      <c r="AO482" s="114">
        <v>1</v>
      </c>
      <c r="AP482" s="114">
        <v>6.89</v>
      </c>
      <c r="AQ482" s="114">
        <v>93</v>
      </c>
      <c r="AR482" s="114">
        <v>1.37</v>
      </c>
      <c r="AS482" s="160">
        <v>15</v>
      </c>
      <c r="AT482" s="161">
        <v>102.8</v>
      </c>
      <c r="AU482" s="114">
        <v>87</v>
      </c>
      <c r="AV482" s="114">
        <v>136</v>
      </c>
      <c r="AZ482" s="127" t="s">
        <v>1346</v>
      </c>
    </row>
    <row r="483" spans="1:52">
      <c r="A483" s="119" t="s">
        <v>1347</v>
      </c>
      <c r="B483" s="119" t="s">
        <v>53</v>
      </c>
      <c r="C483" s="117">
        <v>58</v>
      </c>
      <c r="D483" s="135">
        <v>1.6</v>
      </c>
      <c r="E483" s="117">
        <v>65</v>
      </c>
      <c r="F483" s="136">
        <f>E483/(D483*D483)</f>
        <v>25.390625</v>
      </c>
      <c r="G483" s="117">
        <v>3</v>
      </c>
      <c r="I483" s="158">
        <v>44867</v>
      </c>
      <c r="J483" s="158">
        <v>44881</v>
      </c>
      <c r="L483" s="137">
        <v>1</v>
      </c>
      <c r="M483" s="138">
        <v>14</v>
      </c>
      <c r="N483" s="270" t="s">
        <v>1348</v>
      </c>
      <c r="O483" s="114"/>
      <c r="P483" s="114"/>
      <c r="Q483" s="114"/>
      <c r="R483" s="114"/>
      <c r="S483" s="114">
        <v>1</v>
      </c>
      <c r="T483" s="114">
        <v>1</v>
      </c>
      <c r="U483" s="114">
        <v>0</v>
      </c>
      <c r="V483" s="114">
        <v>1</v>
      </c>
      <c r="W483" s="114">
        <v>0</v>
      </c>
      <c r="X483" s="114">
        <v>1</v>
      </c>
      <c r="Y483" s="114">
        <v>1</v>
      </c>
      <c r="Z483" s="116" t="s">
        <v>307</v>
      </c>
      <c r="AA483" s="114">
        <v>3</v>
      </c>
      <c r="AB483" s="114">
        <f>_xlfn.IFS(AT483&gt;51,3,AT483&gt;=34,2,AT483&lt;34,1)</f>
        <v>1</v>
      </c>
      <c r="AC483" s="114">
        <f>_xlfn.IFS(AS483&gt;35,1,AS483&gt;=28,2,AS483&lt;28,3)</f>
        <v>3</v>
      </c>
      <c r="AD483" s="114">
        <f>_xlfn.IFS(AR483&gt;2.3,3,AR483&gt;=1.7,2,AR483&lt;1.7,1)</f>
        <v>1</v>
      </c>
      <c r="AE483" s="114">
        <f>Y483+AA483+AB483+AC483+AD483</f>
        <v>9</v>
      </c>
      <c r="AF483" s="116" t="s">
        <v>63</v>
      </c>
      <c r="AG483" s="114">
        <f>AT483/17.1</f>
        <v>0.865497076023392</v>
      </c>
      <c r="AH483" s="114">
        <f>AU483/88.4</f>
        <v>0.554298642533937</v>
      </c>
      <c r="AI483" s="114">
        <f>AR483</f>
        <v>1.46</v>
      </c>
      <c r="AJ483" s="159">
        <f>LN(IF(AG483&gt;=1,AG483,1))*3.8+LN(IF(AH483&gt;=1,AH483,1))*9.6+11.2*LN(IF(AI483&gt;=1,AI483,1))+6.4*AN483</f>
        <v>10.6384880800667</v>
      </c>
      <c r="AK483" s="160">
        <f>IF(AND(AG483&gt;0,AH483&gt;0,AI483&gt;0),AJ483,"")</f>
        <v>10.6384880800667</v>
      </c>
      <c r="AL483" s="160">
        <f>AK483+1.59*(135-AM483)</f>
        <v>10.6384880800667</v>
      </c>
      <c r="AM483" s="160">
        <f>IF(AV483&gt;135,135,IF(AV483&lt;120,120,AV483))</f>
        <v>135</v>
      </c>
      <c r="AN483" s="114">
        <v>1</v>
      </c>
      <c r="AO483" s="114">
        <f>_xlfn.IFS(AJ483&lt;15,1,AJ483=15-18,2,AJ483&gt;18,3)</f>
        <v>1</v>
      </c>
      <c r="AP483" s="114">
        <v>3.76</v>
      </c>
      <c r="AQ483" s="114">
        <v>61</v>
      </c>
      <c r="AR483" s="114">
        <v>1.46</v>
      </c>
      <c r="AS483" s="160">
        <v>25</v>
      </c>
      <c r="AT483" s="161">
        <v>14.8</v>
      </c>
      <c r="AU483" s="114">
        <v>49</v>
      </c>
      <c r="AV483" s="114">
        <v>135</v>
      </c>
      <c r="AZ483" s="119" t="s">
        <v>1349</v>
      </c>
    </row>
    <row r="484" spans="1:52">
      <c r="A484" s="119" t="s">
        <v>1350</v>
      </c>
      <c r="B484" s="119" t="s">
        <v>48</v>
      </c>
      <c r="C484" s="117">
        <v>70</v>
      </c>
      <c r="D484" s="135">
        <v>1.7</v>
      </c>
      <c r="E484" s="117">
        <v>75</v>
      </c>
      <c r="F484" s="136">
        <f>E484/(D484*D484)</f>
        <v>25.9515570934256</v>
      </c>
      <c r="G484" s="117">
        <v>0</v>
      </c>
      <c r="I484" s="158">
        <v>44906</v>
      </c>
      <c r="J484" s="158">
        <v>44917</v>
      </c>
      <c r="L484" s="137">
        <v>4</v>
      </c>
      <c r="M484" s="138">
        <v>11</v>
      </c>
      <c r="N484" s="270" t="s">
        <v>1351</v>
      </c>
      <c r="O484" s="114">
        <v>1</v>
      </c>
      <c r="P484" s="114"/>
      <c r="Q484" s="114"/>
      <c r="R484" s="114"/>
      <c r="S484" s="114"/>
      <c r="T484" s="114">
        <v>0</v>
      </c>
      <c r="U484" s="114">
        <v>0</v>
      </c>
      <c r="V484" s="114">
        <v>1</v>
      </c>
      <c r="W484" s="114">
        <v>0</v>
      </c>
      <c r="X484" s="114">
        <v>1</v>
      </c>
      <c r="Y484" s="114">
        <v>1</v>
      </c>
      <c r="Z484" s="116" t="s">
        <v>58</v>
      </c>
      <c r="AA484" s="114">
        <v>1</v>
      </c>
      <c r="AB484" s="114">
        <f>_xlfn.IFS(AT484&gt;51,3,AT484&gt;=34,2,AT484&lt;34,1)</f>
        <v>1</v>
      </c>
      <c r="AC484" s="114">
        <f>_xlfn.IFS(AS484&gt;35,1,AS484&gt;=28,2,AS484&lt;28,3)</f>
        <v>2</v>
      </c>
      <c r="AD484" s="114">
        <f>_xlfn.IFS(AR484&gt;2.3,3,AR484&gt;=1.7,2,AR484&lt;1.7,1)</f>
        <v>1</v>
      </c>
      <c r="AE484" s="114">
        <f>Y484+AA484+AB484+AC484+AD484</f>
        <v>6</v>
      </c>
      <c r="AF484" s="116" t="s">
        <v>59</v>
      </c>
      <c r="AG484" s="114">
        <f>AT484/17.1</f>
        <v>0.725146198830409</v>
      </c>
      <c r="AH484" s="114">
        <f>AU484/88.4</f>
        <v>1.07466063348416</v>
      </c>
      <c r="AI484" s="114">
        <f>AR484</f>
        <v>1.09</v>
      </c>
      <c r="AJ484" s="159">
        <f>LN(IF(AG484&gt;=1,AG484,1))*3.8+LN(IF(AH484&gt;=1,AH484,1))*9.6+11.2*LN(IF(AI484&gt;=1,AI484,1))+6.4*AN484</f>
        <v>8.05643744868644</v>
      </c>
      <c r="AK484" s="160">
        <f>IF(AND(AG484&gt;0,AH484&gt;0,AI484&gt;0),AJ484,"")</f>
        <v>8.05643744868644</v>
      </c>
      <c r="AL484" s="160">
        <f>AK484+1.59*(135-AM484)</f>
        <v>8.05643744868644</v>
      </c>
      <c r="AM484" s="160">
        <f>IF(AV484&gt;135,135,IF(AV484&lt;120,120,AV484))</f>
        <v>135</v>
      </c>
      <c r="AN484" s="114">
        <v>1</v>
      </c>
      <c r="AO484" s="114">
        <f>_xlfn.IFS(AJ484&lt;15,1,AJ484=15-18,2,AJ484&gt;18,3)</f>
        <v>1</v>
      </c>
      <c r="AP484" s="114">
        <v>4.29</v>
      </c>
      <c r="AQ484" s="114">
        <v>70</v>
      </c>
      <c r="AR484" s="114">
        <v>1.09</v>
      </c>
      <c r="AS484" s="160">
        <v>33</v>
      </c>
      <c r="AT484" s="161">
        <v>12.4</v>
      </c>
      <c r="AU484" s="114">
        <v>95</v>
      </c>
      <c r="AV484" s="114">
        <v>138</v>
      </c>
      <c r="AZ484" s="119" t="s">
        <v>1352</v>
      </c>
    </row>
    <row r="485" s="124" customFormat="1" spans="1:52">
      <c r="A485" s="127" t="s">
        <v>1353</v>
      </c>
      <c r="B485" s="127" t="s">
        <v>53</v>
      </c>
      <c r="C485" s="124">
        <v>53</v>
      </c>
      <c r="D485" s="180">
        <v>1.72</v>
      </c>
      <c r="E485" s="124">
        <v>69</v>
      </c>
      <c r="F485" s="181">
        <f>E485/(D485*D485)</f>
        <v>23.3234180638183</v>
      </c>
      <c r="G485" s="124">
        <v>1</v>
      </c>
      <c r="I485" s="182">
        <v>44925</v>
      </c>
      <c r="J485" s="182">
        <v>44933</v>
      </c>
      <c r="L485" s="183">
        <v>1</v>
      </c>
      <c r="M485" s="183">
        <v>8</v>
      </c>
      <c r="N485" s="201" t="s">
        <v>1354</v>
      </c>
      <c r="O485" s="114"/>
      <c r="P485" s="114"/>
      <c r="Q485" s="116" t="s">
        <v>1083</v>
      </c>
      <c r="R485" s="114"/>
      <c r="S485" s="114"/>
      <c r="T485" s="114">
        <v>1</v>
      </c>
      <c r="U485" s="114">
        <v>1</v>
      </c>
      <c r="V485" s="114">
        <v>0</v>
      </c>
      <c r="W485" s="114">
        <v>0</v>
      </c>
      <c r="X485" s="114">
        <v>1</v>
      </c>
      <c r="Y485" s="114">
        <v>2</v>
      </c>
      <c r="Z485" s="116" t="s">
        <v>300</v>
      </c>
      <c r="AA485" s="114">
        <v>2</v>
      </c>
      <c r="AB485" s="114">
        <f>_xlfn.IFS(AT485&gt;51,3,AT485&gt;=34,2,AT485&lt;34,1)</f>
        <v>3</v>
      </c>
      <c r="AC485" s="114">
        <f>_xlfn.IFS(AS485&gt;35,1,AS485&gt;=28,2,AS485&lt;28,3)</f>
        <v>3</v>
      </c>
      <c r="AD485" s="114">
        <v>2</v>
      </c>
      <c r="AE485" s="114">
        <f>Y485+AA485+AB485+AC485+AD485</f>
        <v>12</v>
      </c>
      <c r="AF485" s="116" t="s">
        <v>50</v>
      </c>
      <c r="AG485" s="114">
        <f>AT485/17.1</f>
        <v>4.78362573099415</v>
      </c>
      <c r="AH485" s="114">
        <f>AU485/88.4</f>
        <v>0.542986425339366</v>
      </c>
      <c r="AI485" s="114">
        <f>AR485</f>
        <v>2.24</v>
      </c>
      <c r="AJ485" s="159">
        <f>LN(IF(AG485&gt;=1,AG485,1))*3.8+LN(IF(AH485&gt;=1,AH485,1))*9.6+11.2*LN(IF(AI485&gt;=1,AI485,1))+6.4*AN485</f>
        <v>21.3802850620902</v>
      </c>
      <c r="AK485" s="160">
        <f>IF(AND(AG485&gt;0,AH485&gt;0,AI485&gt;0),AJ485,"")</f>
        <v>21.3802850620902</v>
      </c>
      <c r="AL485" s="160">
        <f>AK485+1.59*(135-AM485)</f>
        <v>21.3802850620902</v>
      </c>
      <c r="AM485" s="160">
        <f>IF(AV485&gt;135,135,IF(AV485&lt;120,120,AV485))</f>
        <v>135</v>
      </c>
      <c r="AN485" s="114">
        <v>1</v>
      </c>
      <c r="AO485" s="114">
        <f>_xlfn.IFS(AJ485&lt;15,1,AJ485=15-18,2,AJ485&gt;18,3)</f>
        <v>3</v>
      </c>
      <c r="AP485" s="114">
        <v>2.84</v>
      </c>
      <c r="AQ485" s="114">
        <v>98</v>
      </c>
      <c r="AR485" s="114">
        <v>2.24</v>
      </c>
      <c r="AS485" s="160">
        <v>27</v>
      </c>
      <c r="AT485" s="161">
        <v>81.8</v>
      </c>
      <c r="AU485" s="114">
        <v>48</v>
      </c>
      <c r="AV485" s="114">
        <v>138</v>
      </c>
      <c r="AZ485" s="127" t="s">
        <v>1355</v>
      </c>
    </row>
    <row r="486" s="123" customFormat="1" spans="1:52">
      <c r="A486" s="132" t="s">
        <v>910</v>
      </c>
      <c r="B486" s="132" t="s">
        <v>48</v>
      </c>
      <c r="C486" s="123">
        <v>54</v>
      </c>
      <c r="D486" s="176">
        <v>1.75</v>
      </c>
      <c r="E486" s="123">
        <v>80</v>
      </c>
      <c r="F486" s="189">
        <f>E486/(D486*D486)</f>
        <v>26.1224489795918</v>
      </c>
      <c r="G486" s="123">
        <v>6</v>
      </c>
      <c r="I486" s="177">
        <v>44917</v>
      </c>
      <c r="J486" s="177">
        <v>44928</v>
      </c>
      <c r="L486" s="178">
        <v>3</v>
      </c>
      <c r="M486" s="178">
        <v>11</v>
      </c>
      <c r="N486" s="254" t="s">
        <v>1356</v>
      </c>
      <c r="O486" s="114"/>
      <c r="P486" s="114">
        <v>1</v>
      </c>
      <c r="Q486" s="114"/>
      <c r="R486" s="114"/>
      <c r="S486" s="114"/>
      <c r="T486" s="114">
        <v>1</v>
      </c>
      <c r="U486" s="114">
        <v>0</v>
      </c>
      <c r="V486" s="114">
        <v>1</v>
      </c>
      <c r="W486" s="114">
        <v>0</v>
      </c>
      <c r="X486" s="114">
        <v>1</v>
      </c>
      <c r="Y486" s="114">
        <v>1</v>
      </c>
      <c r="Z486" s="116" t="s">
        <v>300</v>
      </c>
      <c r="AA486" s="114">
        <v>2</v>
      </c>
      <c r="AB486" s="114">
        <f>_xlfn.IFS(AT486&gt;51,3,AT486&gt;=34,2,AT486&lt;34,1)</f>
        <v>3</v>
      </c>
      <c r="AC486" s="114">
        <f>_xlfn.IFS(AS486&gt;35,1,AS486&gt;=28,2,AS486&lt;28,3)</f>
        <v>3</v>
      </c>
      <c r="AD486" s="114">
        <f>_xlfn.IFS(AR486&gt;2.3,3,AR486&gt;=1.7,2,AR486&lt;1.7,1)</f>
        <v>1</v>
      </c>
      <c r="AE486" s="114">
        <f>Y486+AA486+AB486+AC486+AD486</f>
        <v>10</v>
      </c>
      <c r="AF486" s="116" t="s">
        <v>50</v>
      </c>
      <c r="AG486" s="114">
        <f>AT486/17.1</f>
        <v>6.10526315789474</v>
      </c>
      <c r="AH486" s="114">
        <f>AU486/88.4</f>
        <v>1.06334841628959</v>
      </c>
      <c r="AI486" s="114">
        <f>AR486</f>
        <v>1.62</v>
      </c>
      <c r="AJ486" s="159">
        <f>LN(IF(AG486&gt;=1,AG486,1))*3.8+LN(IF(AH486&gt;=1,AH486,1))*9.6+11.2*LN(IF(AI486&gt;=1,AI486,1))+6.4*AN486</f>
        <v>12.8676064781213</v>
      </c>
      <c r="AK486" s="160">
        <f>IF(AND(AG486&gt;0,AH486&gt;0,AI486&gt;0),AJ486,"")</f>
        <v>12.8676064781213</v>
      </c>
      <c r="AL486" s="160">
        <f>AK486+1.59*(135-AM486)</f>
        <v>12.8676064781213</v>
      </c>
      <c r="AM486" s="160">
        <f>IF(AV486&gt;135,135,IF(AV486&lt;120,120,AV486))</f>
        <v>135</v>
      </c>
      <c r="AN486" s="114">
        <v>0</v>
      </c>
      <c r="AO486" s="114">
        <f>_xlfn.IFS(AJ486&lt;15,1,AJ486=15-18,2,AJ486&gt;18,3)</f>
        <v>1</v>
      </c>
      <c r="AP486" s="114">
        <v>3.51</v>
      </c>
      <c r="AQ486" s="114">
        <v>97</v>
      </c>
      <c r="AR486" s="114">
        <v>1.62</v>
      </c>
      <c r="AS486" s="160">
        <v>22</v>
      </c>
      <c r="AT486" s="161">
        <v>104.4</v>
      </c>
      <c r="AU486" s="114">
        <v>94</v>
      </c>
      <c r="AV486" s="114">
        <v>141</v>
      </c>
      <c r="AZ486" s="132" t="s">
        <v>1357</v>
      </c>
    </row>
    <row r="487" s="125" customFormat="1" spans="1:52">
      <c r="A487" s="131" t="s">
        <v>1265</v>
      </c>
      <c r="B487" s="131" t="s">
        <v>48</v>
      </c>
      <c r="C487" s="125">
        <v>60</v>
      </c>
      <c r="D487" s="185">
        <v>1.62</v>
      </c>
      <c r="E487" s="125">
        <v>50</v>
      </c>
      <c r="F487" s="216">
        <f>E487/(D487*D487)</f>
        <v>19.0519737844841</v>
      </c>
      <c r="G487" s="125">
        <v>1</v>
      </c>
      <c r="I487" s="186">
        <v>44918</v>
      </c>
      <c r="J487" s="186">
        <v>44928</v>
      </c>
      <c r="L487" s="187">
        <v>2</v>
      </c>
      <c r="M487" s="187">
        <v>10</v>
      </c>
      <c r="N487" s="248" t="s">
        <v>1358</v>
      </c>
      <c r="S487" s="125">
        <v>1</v>
      </c>
      <c r="T487" s="125">
        <v>1</v>
      </c>
      <c r="U487" s="125">
        <v>0</v>
      </c>
      <c r="V487" s="125">
        <v>0</v>
      </c>
      <c r="W487" s="125">
        <v>0</v>
      </c>
      <c r="X487" s="125">
        <v>1</v>
      </c>
      <c r="Y487" s="125">
        <v>1</v>
      </c>
      <c r="Z487" s="131" t="s">
        <v>300</v>
      </c>
      <c r="AA487" s="125">
        <v>2</v>
      </c>
      <c r="AB487" s="125">
        <f>_xlfn.IFS(AT487&gt;51,3,AT487&gt;=34,2,AT487&lt;34,1)</f>
        <v>2</v>
      </c>
      <c r="AC487" s="125">
        <f>_xlfn.IFS(AS487&gt;35,1,AS487&gt;=28,2,AS487&lt;28,3)</f>
        <v>2</v>
      </c>
      <c r="AD487" s="114">
        <f>_xlfn.IFS(AR487&gt;2.3,3,AR487&gt;=1.7,2,AR487&lt;1.7,1)</f>
        <v>1</v>
      </c>
      <c r="AE487" s="125">
        <f>Y487+AA487+AB487+AC487+AD487</f>
        <v>8</v>
      </c>
      <c r="AF487" s="131" t="s">
        <v>63</v>
      </c>
      <c r="AG487" s="125">
        <f>AT487/17.1</f>
        <v>2.09941520467836</v>
      </c>
      <c r="AH487" s="125">
        <f>AU487/88.4</f>
        <v>0.780542986425339</v>
      </c>
      <c r="AI487" s="125">
        <f>AR487</f>
        <v>1.38</v>
      </c>
      <c r="AJ487" s="240">
        <f>LN(IF(AG487&gt;=1,AG487,1))*3.8+LN(IF(AH487&gt;=1,AH487,1))*9.6+11.2*LN(IF(AI487&gt;=1,AI487,1))+6.4*AN487</f>
        <v>12.8256387522394</v>
      </c>
      <c r="AK487" s="241">
        <f>IF(AND(AG487&gt;0,AH487&gt;0,AI487&gt;0),AJ487,"")</f>
        <v>12.8256387522394</v>
      </c>
      <c r="AL487" s="241">
        <f>AK487+1.59*(135-AM487)</f>
        <v>12.8256387522394</v>
      </c>
      <c r="AM487" s="241">
        <f>IF(AV487&gt;135,135,IF(AV487&lt;120,120,AV487))</f>
        <v>135</v>
      </c>
      <c r="AN487" s="125">
        <v>1</v>
      </c>
      <c r="AO487" s="114">
        <f>_xlfn.IFS(AJ487&lt;15,1,AJ487=15-18,2,AJ487&gt;18,3)</f>
        <v>1</v>
      </c>
      <c r="AP487" s="125">
        <v>3.56</v>
      </c>
      <c r="AQ487" s="125">
        <v>128</v>
      </c>
      <c r="AR487" s="125">
        <v>1.38</v>
      </c>
      <c r="AS487" s="241">
        <v>31</v>
      </c>
      <c r="AT487" s="242">
        <v>35.9</v>
      </c>
      <c r="AU487" s="125">
        <v>69</v>
      </c>
      <c r="AV487" s="125">
        <v>136</v>
      </c>
      <c r="AZ487" s="131" t="s">
        <v>1359</v>
      </c>
    </row>
    <row r="488" s="125" customFormat="1" spans="1:52">
      <c r="A488" s="131" t="s">
        <v>1360</v>
      </c>
      <c r="B488" s="131" t="s">
        <v>53</v>
      </c>
      <c r="C488" s="125">
        <v>75</v>
      </c>
      <c r="D488" s="185">
        <v>1.55</v>
      </c>
      <c r="E488" s="125">
        <v>45</v>
      </c>
      <c r="F488" s="216">
        <f>E488/(D488*D488)</f>
        <v>18.7304890738814</v>
      </c>
      <c r="G488" s="125">
        <v>3</v>
      </c>
      <c r="I488" s="186">
        <v>44916</v>
      </c>
      <c r="J488" s="186">
        <v>44936</v>
      </c>
      <c r="L488" s="187">
        <v>2</v>
      </c>
      <c r="M488" s="187">
        <v>20</v>
      </c>
      <c r="N488" s="248" t="s">
        <v>1361</v>
      </c>
      <c r="O488" s="125">
        <v>1</v>
      </c>
      <c r="T488" s="125">
        <v>1</v>
      </c>
      <c r="U488" s="125">
        <v>0</v>
      </c>
      <c r="V488" s="125">
        <v>1</v>
      </c>
      <c r="W488" s="125">
        <v>1</v>
      </c>
      <c r="X488" s="125">
        <v>1</v>
      </c>
      <c r="Y488" s="125">
        <v>1</v>
      </c>
      <c r="Z488" s="131" t="s">
        <v>300</v>
      </c>
      <c r="AA488" s="125">
        <v>2</v>
      </c>
      <c r="AB488" s="125">
        <f>_xlfn.IFS(AT488&gt;51,3,AT488&gt;=34,2,AT488&lt;34,1)</f>
        <v>1</v>
      </c>
      <c r="AC488" s="125">
        <f>_xlfn.IFS(AS488&gt;35,1,AS488&gt;=28,2,AS488&lt;28,3)</f>
        <v>2</v>
      </c>
      <c r="AD488" s="114">
        <f>_xlfn.IFS(AR488&gt;2.3,3,AR488&gt;=1.7,2,AR488&lt;1.7,1)</f>
        <v>1</v>
      </c>
      <c r="AE488" s="125">
        <f>Y488+AA488+AB488+AC488+AD488</f>
        <v>7</v>
      </c>
      <c r="AF488" s="131" t="s">
        <v>63</v>
      </c>
      <c r="AG488" s="125">
        <f>AT488/17.1</f>
        <v>1.76023391812865</v>
      </c>
      <c r="AH488" s="125">
        <f>AU488/88.4</f>
        <v>0.520361990950226</v>
      </c>
      <c r="AI488" s="125">
        <f>AR488</f>
        <v>1.28</v>
      </c>
      <c r="AJ488" s="240">
        <f>LN(IF(AG488&gt;=1,AG488,1))*3.8+LN(IF(AH488&gt;=1,AH488,1))*9.6+11.2*LN(IF(AI488&gt;=1,AI488,1))+6.4*AN488</f>
        <v>11.3135303641687</v>
      </c>
      <c r="AK488" s="241">
        <f>IF(AND(AG488&gt;0,AH488&gt;0,AI488&gt;0),AJ488,"")</f>
        <v>11.3135303641687</v>
      </c>
      <c r="AL488" s="241">
        <f>AK488+1.59*(135-AM488)</f>
        <v>11.3135303641687</v>
      </c>
      <c r="AM488" s="241">
        <f>IF(AV488&gt;135,135,IF(AV488&lt;120,120,AV488))</f>
        <v>135</v>
      </c>
      <c r="AN488" s="125">
        <v>1</v>
      </c>
      <c r="AO488" s="114">
        <f>_xlfn.IFS(AJ488&lt;15,1,AJ488=15-18,2,AJ488&gt;18,3)</f>
        <v>1</v>
      </c>
      <c r="AP488" s="125">
        <v>3</v>
      </c>
      <c r="AQ488" s="125">
        <v>83</v>
      </c>
      <c r="AR488" s="125">
        <v>1.28</v>
      </c>
      <c r="AS488" s="241">
        <v>28</v>
      </c>
      <c r="AT488" s="242">
        <v>30.1</v>
      </c>
      <c r="AU488" s="125">
        <v>46</v>
      </c>
      <c r="AV488" s="125">
        <v>139</v>
      </c>
      <c r="AZ488" s="131" t="s">
        <v>1362</v>
      </c>
    </row>
    <row r="489" s="123" customFormat="1" spans="1:52">
      <c r="A489" s="132" t="s">
        <v>1363</v>
      </c>
      <c r="B489" s="132" t="s">
        <v>53</v>
      </c>
      <c r="C489" s="123">
        <v>76</v>
      </c>
      <c r="D489" s="176">
        <v>1.65</v>
      </c>
      <c r="E489" s="123">
        <v>60</v>
      </c>
      <c r="F489" s="189">
        <f>E489/(D489*D489)</f>
        <v>22.038567493113</v>
      </c>
      <c r="G489" s="123">
        <v>3</v>
      </c>
      <c r="I489" s="177">
        <v>44931</v>
      </c>
      <c r="J489" s="177">
        <v>44946</v>
      </c>
      <c r="L489" s="178">
        <v>1</v>
      </c>
      <c r="M489" s="178">
        <v>15</v>
      </c>
      <c r="N489" s="254" t="s">
        <v>1364</v>
      </c>
      <c r="O489" s="123">
        <v>1</v>
      </c>
      <c r="T489" s="123">
        <v>1</v>
      </c>
      <c r="U489" s="123">
        <v>1</v>
      </c>
      <c r="V489" s="123">
        <v>0</v>
      </c>
      <c r="W489" s="123">
        <v>0</v>
      </c>
      <c r="X489" s="123">
        <v>1</v>
      </c>
      <c r="Y489" s="123">
        <v>3</v>
      </c>
      <c r="Z489" s="132" t="s">
        <v>321</v>
      </c>
      <c r="AA489" s="123">
        <v>3</v>
      </c>
      <c r="AB489" s="123">
        <f>_xlfn.IFS(AT489&gt;51,3,AT489&gt;=34,2,AT489&lt;34,1)</f>
        <v>3</v>
      </c>
      <c r="AC489" s="123">
        <f>_xlfn.IFS(AS489&gt;35,1,AS489&gt;=28,2,AS489&lt;28,3)</f>
        <v>3</v>
      </c>
      <c r="AD489" s="114">
        <f>_xlfn.IFS(AR489&gt;2.3,3,AR489&gt;=1.7,2,AR489&lt;1.7,1)</f>
        <v>1</v>
      </c>
      <c r="AE489" s="123">
        <f>Y489+AA489+AB489+AC489+AD489</f>
        <v>13</v>
      </c>
      <c r="AF489" s="132" t="s">
        <v>50</v>
      </c>
      <c r="AG489" s="123">
        <f>AT489/17.1</f>
        <v>7.39766081871345</v>
      </c>
      <c r="AH489" s="123">
        <f>AU489/88.4</f>
        <v>0.667420814479638</v>
      </c>
      <c r="AI489" s="123">
        <f>AR489</f>
        <v>1.24</v>
      </c>
      <c r="AJ489" s="266">
        <f>LN(IF(AG489&gt;=1,AG489,1))*3.8+LN(IF(AH489&gt;=1,AH489,1))*9.6+11.2*LN(IF(AI489&gt;=1,AI489,1))+6.4*AN489</f>
        <v>16.4136700614138</v>
      </c>
      <c r="AK489" s="267">
        <f>IF(AND(AG489&gt;0,AH489&gt;0,AI489&gt;0),AJ489,"")</f>
        <v>16.4136700614138</v>
      </c>
      <c r="AL489" s="267">
        <f>AK489+1.59*(135-AM489)</f>
        <v>25.9536700614138</v>
      </c>
      <c r="AM489" s="267">
        <f>IF(AV489&gt;135,135,IF(AV489&lt;120,120,AV489))</f>
        <v>129</v>
      </c>
      <c r="AN489" s="123">
        <v>1</v>
      </c>
      <c r="AO489" s="114">
        <v>2</v>
      </c>
      <c r="AP489" s="123">
        <v>9.05</v>
      </c>
      <c r="AQ489" s="123">
        <v>120</v>
      </c>
      <c r="AR489" s="123">
        <v>1.24</v>
      </c>
      <c r="AS489" s="267">
        <v>22</v>
      </c>
      <c r="AT489" s="268">
        <v>126.5</v>
      </c>
      <c r="AU489" s="123">
        <v>59</v>
      </c>
      <c r="AV489" s="123">
        <v>129</v>
      </c>
      <c r="AZ489" s="132" t="s">
        <v>1365</v>
      </c>
    </row>
    <row r="490" s="123" customFormat="1" spans="1:52">
      <c r="A490" s="132" t="s">
        <v>1115</v>
      </c>
      <c r="B490" s="132" t="s">
        <v>48</v>
      </c>
      <c r="C490" s="123">
        <v>64</v>
      </c>
      <c r="D490" s="176">
        <v>1.74</v>
      </c>
      <c r="E490" s="123">
        <v>95</v>
      </c>
      <c r="F490" s="189">
        <f>E490/(D490*D490)</f>
        <v>31.3779891663364</v>
      </c>
      <c r="G490" s="123">
        <v>3</v>
      </c>
      <c r="I490" s="177">
        <v>44935</v>
      </c>
      <c r="J490" s="177">
        <v>44943</v>
      </c>
      <c r="L490" s="178">
        <v>3</v>
      </c>
      <c r="M490" s="178">
        <v>8</v>
      </c>
      <c r="N490" s="254" t="s">
        <v>1366</v>
      </c>
      <c r="O490" s="114"/>
      <c r="P490" s="114"/>
      <c r="Q490" s="114"/>
      <c r="R490" s="114"/>
      <c r="S490" s="114">
        <v>1</v>
      </c>
      <c r="T490" s="114">
        <v>1</v>
      </c>
      <c r="U490" s="114">
        <v>0</v>
      </c>
      <c r="V490" s="114">
        <v>0</v>
      </c>
      <c r="W490" s="114">
        <v>0</v>
      </c>
      <c r="X490" s="114">
        <v>1</v>
      </c>
      <c r="Y490" s="114">
        <v>1</v>
      </c>
      <c r="Z490" s="116" t="s">
        <v>321</v>
      </c>
      <c r="AA490" s="114">
        <v>3</v>
      </c>
      <c r="AB490" s="114">
        <f>_xlfn.IFS(AT490&gt;51,3,AT490&gt;=34,2,AT490&lt;34,1)</f>
        <v>1</v>
      </c>
      <c r="AC490" s="114">
        <f>_xlfn.IFS(AS490&gt;35,1,AS490&gt;=28,2,AS490&lt;28,3)</f>
        <v>3</v>
      </c>
      <c r="AD490" s="114">
        <f>_xlfn.IFS(AR490&gt;2.3,3,AR490&gt;=1.7,2,AR490&lt;1.7,1)</f>
        <v>1</v>
      </c>
      <c r="AE490" s="114">
        <f>Y490+AA490+AB490+AC490+AD490</f>
        <v>9</v>
      </c>
      <c r="AF490" s="116" t="s">
        <v>63</v>
      </c>
      <c r="AG490" s="114">
        <f>AT490/17.1</f>
        <v>0.567251461988304</v>
      </c>
      <c r="AH490" s="114">
        <f>AU490/88.4</f>
        <v>0.599547511312217</v>
      </c>
      <c r="AI490" s="114">
        <f>AR490</f>
        <v>1.09</v>
      </c>
      <c r="AJ490" s="159">
        <f>LN(IF(AG490&gt;=1,AG490,1))*3.8+LN(IF(AH490&gt;=1,AH490,1))*9.6+11.2*LN(IF(AI490&gt;=1,AI490,1))+6.4*AN490</f>
        <v>7.36519019789979</v>
      </c>
      <c r="AK490" s="160">
        <f>IF(AND(AG490&gt;0,AH490&gt;0,AI490&gt;0),AJ490,"")</f>
        <v>7.36519019789979</v>
      </c>
      <c r="AL490" s="160">
        <f>AK490+1.59*(135-AM490)</f>
        <v>7.36519019789979</v>
      </c>
      <c r="AM490" s="160">
        <f>IF(AV490&gt;135,135,IF(AV490&lt;120,120,AV490))</f>
        <v>135</v>
      </c>
      <c r="AN490" s="114">
        <v>1</v>
      </c>
      <c r="AO490" s="114">
        <f>_xlfn.IFS(AJ490&lt;15,1,AJ490=15-18,2,AJ490&gt;18,3)</f>
        <v>1</v>
      </c>
      <c r="AP490" s="114">
        <v>4.38</v>
      </c>
      <c r="AQ490" s="114">
        <v>108</v>
      </c>
      <c r="AR490" s="114">
        <v>1.09</v>
      </c>
      <c r="AS490" s="160">
        <v>21</v>
      </c>
      <c r="AT490" s="161">
        <v>9.7</v>
      </c>
      <c r="AU490" s="114">
        <v>53</v>
      </c>
      <c r="AV490" s="114">
        <v>146</v>
      </c>
      <c r="AZ490" s="132" t="s">
        <v>1367</v>
      </c>
    </row>
    <row r="491" spans="1:52">
      <c r="A491" s="119" t="s">
        <v>1368</v>
      </c>
      <c r="B491" s="113" t="s">
        <v>53</v>
      </c>
      <c r="C491" s="113">
        <v>80</v>
      </c>
      <c r="D491" s="113">
        <v>1.6</v>
      </c>
      <c r="E491" s="113">
        <v>35</v>
      </c>
      <c r="F491" s="136">
        <f>E491/(D491*D491)</f>
        <v>13.671875</v>
      </c>
      <c r="G491" s="113">
        <v>3</v>
      </c>
      <c r="H491" s="281">
        <v>44933</v>
      </c>
      <c r="I491" s="158">
        <v>44933</v>
      </c>
      <c r="J491" s="158">
        <v>44943</v>
      </c>
      <c r="L491" s="137">
        <v>1</v>
      </c>
      <c r="M491" s="138">
        <v>10</v>
      </c>
      <c r="N491" s="270" t="s">
        <v>1369</v>
      </c>
      <c r="O491" s="114"/>
      <c r="P491" s="114"/>
      <c r="Q491" s="114"/>
      <c r="R491" s="114">
        <v>1</v>
      </c>
      <c r="S491" s="114"/>
      <c r="T491" s="114">
        <v>0</v>
      </c>
      <c r="U491" s="114">
        <v>0</v>
      </c>
      <c r="V491" s="114">
        <v>0</v>
      </c>
      <c r="W491" s="114">
        <v>0</v>
      </c>
      <c r="X491" s="114">
        <v>1</v>
      </c>
      <c r="Y491" s="114">
        <v>1</v>
      </c>
      <c r="Z491" s="116" t="s">
        <v>58</v>
      </c>
      <c r="AA491" s="114">
        <v>1</v>
      </c>
      <c r="AB491" s="114">
        <f>_xlfn.IFS(AT491&gt;51,3,AT491&gt;=34,2,AT491&lt;34,1)</f>
        <v>3</v>
      </c>
      <c r="AC491" s="114">
        <f>_xlfn.IFS(AS491&gt;35,1,AS491&gt;=28,2,AS491&lt;28,3)</f>
        <v>2</v>
      </c>
      <c r="AD491" s="114">
        <f>_xlfn.IFS(AR491&gt;2.3,3,AR491&gt;=1.7,2,AR491&lt;1.7,1)</f>
        <v>1</v>
      </c>
      <c r="AE491" s="114">
        <f>Y491+AA491+AB491+AC491+AD491</f>
        <v>8</v>
      </c>
      <c r="AF491" s="116" t="s">
        <v>63</v>
      </c>
      <c r="AG491" s="114">
        <f>AT491/17.1</f>
        <v>4.82456140350877</v>
      </c>
      <c r="AH491" s="114">
        <f>AU491/88.4</f>
        <v>1.00678733031674</v>
      </c>
      <c r="AI491" s="114">
        <f>AR491</f>
        <v>1.15</v>
      </c>
      <c r="AJ491" s="159">
        <f>LN(IF(AG491&gt;=1,AG491,1))*3.8+LN(IF(AH491&gt;=1,AH491,1))*9.6+11.2*LN(IF(AI491&gt;=1,AI491,1))+6.4*AN491</f>
        <v>7.61040734881346</v>
      </c>
      <c r="AK491" s="160">
        <f>IF(AND(AG491&gt;0,AH491&gt;0,AI491&gt;0),AJ491,"")</f>
        <v>7.61040734881346</v>
      </c>
      <c r="AL491" s="160">
        <f>AK491+1.59*(135-AM491)</f>
        <v>7.61040734881346</v>
      </c>
      <c r="AM491" s="160">
        <f>IF(AV491&gt;135,135,IF(AV491&lt;120,120,AV491))</f>
        <v>135</v>
      </c>
      <c r="AN491" s="114">
        <v>0</v>
      </c>
      <c r="AO491" s="114">
        <v>1</v>
      </c>
      <c r="AP491" s="114">
        <v>4.73</v>
      </c>
      <c r="AQ491" s="114">
        <v>63</v>
      </c>
      <c r="AR491" s="114">
        <v>1.15</v>
      </c>
      <c r="AS491" s="160">
        <v>28</v>
      </c>
      <c r="AT491" s="161">
        <v>82.5</v>
      </c>
      <c r="AU491" s="114">
        <v>89</v>
      </c>
      <c r="AV491" s="114">
        <v>142</v>
      </c>
      <c r="AZ491" s="119" t="s">
        <v>1370</v>
      </c>
    </row>
    <row r="492" spans="1:52">
      <c r="A492" s="282" t="s">
        <v>1371</v>
      </c>
      <c r="B492" s="113" t="s">
        <v>53</v>
      </c>
      <c r="C492" s="113">
        <v>53</v>
      </c>
      <c r="D492" s="113">
        <v>1.55</v>
      </c>
      <c r="E492" s="113">
        <v>65</v>
      </c>
      <c r="F492" s="136">
        <f>E492/(D492*D492)</f>
        <v>27.0551508844953</v>
      </c>
      <c r="G492" s="113">
        <v>6</v>
      </c>
      <c r="H492" s="281">
        <v>44936</v>
      </c>
      <c r="I492" s="158">
        <v>44936</v>
      </c>
      <c r="J492" s="158">
        <v>44944</v>
      </c>
      <c r="L492" s="137">
        <v>4</v>
      </c>
      <c r="M492" s="138">
        <v>8</v>
      </c>
      <c r="N492" s="270" t="s">
        <v>1372</v>
      </c>
      <c r="O492" s="283"/>
      <c r="P492" s="114">
        <v>1</v>
      </c>
      <c r="Q492" s="114"/>
      <c r="R492" s="114"/>
      <c r="S492" s="114"/>
      <c r="T492" s="114">
        <v>1</v>
      </c>
      <c r="U492" s="114">
        <v>1</v>
      </c>
      <c r="V492" s="114">
        <v>1</v>
      </c>
      <c r="W492" s="114">
        <v>1</v>
      </c>
      <c r="X492" s="114">
        <v>1</v>
      </c>
      <c r="Y492" s="114">
        <v>2</v>
      </c>
      <c r="Z492" s="116" t="s">
        <v>321</v>
      </c>
      <c r="AA492" s="114">
        <v>3</v>
      </c>
      <c r="AB492" s="114">
        <f>_xlfn.IFS(AT492&gt;51,3,AT492&gt;=34,2,AT492&lt;34,1)</f>
        <v>2</v>
      </c>
      <c r="AC492" s="114">
        <f>_xlfn.IFS(AS492&gt;35,1,AS492&gt;=28,2,AS492&lt;28,3)</f>
        <v>3</v>
      </c>
      <c r="AD492" s="114">
        <f>_xlfn.IFS(AR492&gt;2.3,3,AR492&gt;=1.7,2,AR492&lt;1.7,1)</f>
        <v>1</v>
      </c>
      <c r="AE492" s="114">
        <f>Y492+AA492+AB492+AC492+AD492</f>
        <v>11</v>
      </c>
      <c r="AF492" s="116" t="s">
        <v>50</v>
      </c>
      <c r="AG492" s="114">
        <f>AT492/17.1</f>
        <v>2.80116959064327</v>
      </c>
      <c r="AH492" s="114">
        <f>AU492/88.4</f>
        <v>0.475113122171946</v>
      </c>
      <c r="AI492" s="114">
        <f>AR492</f>
        <v>1.68</v>
      </c>
      <c r="AJ492" s="159">
        <f>LN(IF(AG492&gt;=1,AG492,1))*3.8+LN(IF(AH492&gt;=1,AH492,1))*9.6+11.2*LN(IF(AI492&gt;=1,AI492,1))+6.4*AN492</f>
        <v>9.72463124170125</v>
      </c>
      <c r="AK492" s="160">
        <f>IF(AND(AG492&gt;0,AH492&gt;0,AI492&gt;0),AJ492,"")</f>
        <v>9.72463124170125</v>
      </c>
      <c r="AL492" s="160">
        <f>AK492+1.59*(135-AM492)</f>
        <v>9.72463124170125</v>
      </c>
      <c r="AM492" s="160">
        <f>IF(AV492&gt;135,135,IF(AV492&lt;120,120,AV492))</f>
        <v>135</v>
      </c>
      <c r="AN492" s="114">
        <v>0</v>
      </c>
      <c r="AO492" s="114">
        <v>1</v>
      </c>
      <c r="AP492" s="114">
        <v>4.29</v>
      </c>
      <c r="AQ492" s="114">
        <v>97</v>
      </c>
      <c r="AR492" s="114">
        <v>1.68</v>
      </c>
      <c r="AS492" s="160">
        <v>21</v>
      </c>
      <c r="AT492" s="161">
        <v>47.9</v>
      </c>
      <c r="AU492" s="114">
        <v>42</v>
      </c>
      <c r="AV492" s="114">
        <v>136</v>
      </c>
      <c r="AZ492" s="119" t="s">
        <v>1373</v>
      </c>
    </row>
    <row r="493" spans="1:52">
      <c r="A493" s="282" t="s">
        <v>1374</v>
      </c>
      <c r="B493" s="113" t="s">
        <v>53</v>
      </c>
      <c r="C493" s="113">
        <v>66</v>
      </c>
      <c r="D493" s="113">
        <v>1.67</v>
      </c>
      <c r="E493" s="113">
        <v>60</v>
      </c>
      <c r="F493" s="136">
        <f>E493/(D493*D493)</f>
        <v>21.5138585105239</v>
      </c>
      <c r="G493" s="113">
        <v>1</v>
      </c>
      <c r="H493" s="281">
        <v>44938</v>
      </c>
      <c r="I493" s="158">
        <v>44938</v>
      </c>
      <c r="J493" s="158">
        <v>44955</v>
      </c>
      <c r="L493" s="137">
        <v>1</v>
      </c>
      <c r="M493" s="138">
        <v>17</v>
      </c>
      <c r="N493" s="270" t="s">
        <v>1375</v>
      </c>
      <c r="O493" s="114">
        <v>1</v>
      </c>
      <c r="P493" s="114"/>
      <c r="Q493" s="114"/>
      <c r="R493" s="114"/>
      <c r="S493" s="114"/>
      <c r="T493" s="114">
        <v>1</v>
      </c>
      <c r="U493" s="114">
        <v>0</v>
      </c>
      <c r="V493" s="114">
        <v>1</v>
      </c>
      <c r="W493" s="114">
        <v>0</v>
      </c>
      <c r="X493" s="114">
        <v>1</v>
      </c>
      <c r="Y493" s="114">
        <v>1</v>
      </c>
      <c r="Z493" s="116" t="s">
        <v>1376</v>
      </c>
      <c r="AA493" s="114">
        <v>2</v>
      </c>
      <c r="AB493" s="114">
        <f>_xlfn.IFS(AT493&gt;51,3,AT493&gt;=34,2,AT493&lt;34,1)</f>
        <v>1</v>
      </c>
      <c r="AC493" s="114">
        <f>_xlfn.IFS(AS493&gt;35,1,AS493&gt;=28,2,AS493&lt;28,3)</f>
        <v>3</v>
      </c>
      <c r="AD493" s="114">
        <f>_xlfn.IFS(AR493&gt;2.3,3,AR493&gt;=1.7,2,AR493&lt;1.7,1)</f>
        <v>1</v>
      </c>
      <c r="AE493" s="114">
        <f>Y493+AA493+AB493+AC493+AD493</f>
        <v>8</v>
      </c>
      <c r="AF493" s="116" t="s">
        <v>63</v>
      </c>
      <c r="AG493" s="114">
        <f>AT493/17.1</f>
        <v>1.93567251461988</v>
      </c>
      <c r="AH493" s="114">
        <f>AU493/88.4</f>
        <v>0.531674208144796</v>
      </c>
      <c r="AI493" s="114">
        <f>AR493</f>
        <v>1.33</v>
      </c>
      <c r="AJ493" s="159">
        <f>LN(IF(AG493&gt;=1,AG493,1))*3.8+LN(IF(AH493&gt;=1,AH493,1))*9.6+11.2*LN(IF(AI493&gt;=1,AI493,1))+6.4*AN493</f>
        <v>12.1037324647398</v>
      </c>
      <c r="AK493" s="160">
        <f>IF(AND(AG493&gt;0,AH493&gt;0,AI493&gt;0),AJ493,"")</f>
        <v>12.1037324647398</v>
      </c>
      <c r="AL493" s="160">
        <f t="shared" ref="AL493:AL506" si="113">AK493+1.59*(135-AM493)</f>
        <v>12.1037324647398</v>
      </c>
      <c r="AM493" s="160">
        <f>IF(AV493&gt;135,135,IF(AV493&lt;120,120,AV493))</f>
        <v>135</v>
      </c>
      <c r="AN493" s="114">
        <v>1</v>
      </c>
      <c r="AO493" s="114">
        <v>1</v>
      </c>
      <c r="AP493" s="114">
        <v>2.34</v>
      </c>
      <c r="AQ493" s="114">
        <v>94</v>
      </c>
      <c r="AR493" s="114">
        <v>1.33</v>
      </c>
      <c r="AS493" s="160">
        <v>27</v>
      </c>
      <c r="AT493" s="161">
        <v>33.1</v>
      </c>
      <c r="AU493" s="114">
        <v>47</v>
      </c>
      <c r="AV493" s="114">
        <v>141</v>
      </c>
      <c r="AZ493" s="119" t="s">
        <v>1377</v>
      </c>
    </row>
    <row r="494" spans="1:52">
      <c r="A494" s="282" t="s">
        <v>1378</v>
      </c>
      <c r="B494" s="113" t="s">
        <v>53</v>
      </c>
      <c r="C494" s="113">
        <v>60</v>
      </c>
      <c r="D494" s="113">
        <v>1.57</v>
      </c>
      <c r="E494" s="113">
        <v>55</v>
      </c>
      <c r="F494" s="136">
        <f>E494/(D494*D494)</f>
        <v>22.3132784291452</v>
      </c>
      <c r="G494" s="113">
        <v>1</v>
      </c>
      <c r="H494" s="281">
        <v>44940</v>
      </c>
      <c r="I494" s="158">
        <v>44940</v>
      </c>
      <c r="J494" s="158">
        <v>44958</v>
      </c>
      <c r="L494" s="137">
        <v>1</v>
      </c>
      <c r="M494" s="138">
        <v>18</v>
      </c>
      <c r="N494" s="270" t="s">
        <v>1379</v>
      </c>
      <c r="O494" s="114">
        <v>1</v>
      </c>
      <c r="P494" s="114"/>
      <c r="Q494" s="114"/>
      <c r="R494" s="114"/>
      <c r="S494" s="114"/>
      <c r="T494" s="114">
        <v>0</v>
      </c>
      <c r="U494" s="114">
        <v>0</v>
      </c>
      <c r="V494" s="114">
        <v>1</v>
      </c>
      <c r="W494" s="114">
        <v>1</v>
      </c>
      <c r="X494" s="114">
        <v>1</v>
      </c>
      <c r="Y494" s="114">
        <v>1</v>
      </c>
      <c r="Z494" s="116" t="s">
        <v>58</v>
      </c>
      <c r="AA494" s="114">
        <v>1</v>
      </c>
      <c r="AB494" s="114">
        <f>_xlfn.IFS(AT494&gt;51,3,AT494&gt;=34,2,AT494&lt;34,1)</f>
        <v>2</v>
      </c>
      <c r="AC494" s="114">
        <f>_xlfn.IFS(AS494&gt;35,1,AS494&gt;=28,2,AS494&lt;28,3)</f>
        <v>3</v>
      </c>
      <c r="AD494" s="114">
        <f>_xlfn.IFS(AR494&gt;2.3,3,AR494&gt;=1.7,2,AR494&lt;1.7,1)</f>
        <v>1</v>
      </c>
      <c r="AE494" s="114">
        <f>Y494+AA494+AB494+AC494+AD494</f>
        <v>8</v>
      </c>
      <c r="AF494" s="116" t="s">
        <v>63</v>
      </c>
      <c r="AG494" s="114">
        <f>AT494/17.1</f>
        <v>2.45614035087719</v>
      </c>
      <c r="AH494" s="114">
        <f>AU494/88.4</f>
        <v>0.995475113122172</v>
      </c>
      <c r="AI494" s="114">
        <f>AR494</f>
        <v>1.46</v>
      </c>
      <c r="AJ494" s="159">
        <f>LN(IF(AG494&gt;=1,AG494,1))*3.8+LN(IF(AH494&gt;=1,AH494,1))*9.6+11.2*LN(IF(AI494&gt;=1,AI494,1))+6.4*AN494</f>
        <v>7.65313446821081</v>
      </c>
      <c r="AK494" s="160">
        <f>IF(AND(AG494&gt;0,AH494&gt;0,AI494&gt;0),AJ494,"")</f>
        <v>7.65313446821081</v>
      </c>
      <c r="AL494" s="160">
        <f t="shared" si="113"/>
        <v>15.6031344682108</v>
      </c>
      <c r="AM494" s="160">
        <f>IF(AV494&gt;135,135,IF(AV494&lt;120,120,AV494))</f>
        <v>130</v>
      </c>
      <c r="AN494" s="114">
        <v>0</v>
      </c>
      <c r="AO494" s="114">
        <v>1</v>
      </c>
      <c r="AP494" s="114">
        <v>8.87</v>
      </c>
      <c r="AQ494" s="114">
        <v>125</v>
      </c>
      <c r="AR494" s="114">
        <v>1.46</v>
      </c>
      <c r="AS494" s="160">
        <v>26</v>
      </c>
      <c r="AT494" s="161">
        <v>42</v>
      </c>
      <c r="AU494" s="114">
        <v>88</v>
      </c>
      <c r="AV494" s="114">
        <v>130</v>
      </c>
      <c r="AZ494" s="119" t="s">
        <v>1380</v>
      </c>
    </row>
    <row r="495" spans="1:52">
      <c r="A495" s="282" t="s">
        <v>1381</v>
      </c>
      <c r="B495" s="113" t="s">
        <v>53</v>
      </c>
      <c r="C495" s="113">
        <v>58</v>
      </c>
      <c r="D495" s="113">
        <v>1.53</v>
      </c>
      <c r="E495" s="113">
        <v>46</v>
      </c>
      <c r="F495" s="136">
        <f>E495/(D495*D495)</f>
        <v>19.6505617497544</v>
      </c>
      <c r="G495" s="113">
        <v>3</v>
      </c>
      <c r="H495" s="281">
        <v>44942</v>
      </c>
      <c r="I495" s="158">
        <v>44942</v>
      </c>
      <c r="J495" s="158">
        <v>44963</v>
      </c>
      <c r="L495" s="137">
        <v>2</v>
      </c>
      <c r="M495" s="138">
        <v>21</v>
      </c>
      <c r="N495" s="270" t="s">
        <v>1382</v>
      </c>
      <c r="O495" s="114"/>
      <c r="P495" s="114"/>
      <c r="Q495" s="114"/>
      <c r="R495" s="114">
        <v>1</v>
      </c>
      <c r="S495" s="114"/>
      <c r="T495" s="114">
        <v>0</v>
      </c>
      <c r="U495" s="114">
        <v>0</v>
      </c>
      <c r="V495" s="114">
        <v>1</v>
      </c>
      <c r="W495" s="114">
        <v>0</v>
      </c>
      <c r="X495" s="114">
        <v>1</v>
      </c>
      <c r="Y495" s="114">
        <v>1</v>
      </c>
      <c r="Z495" s="116" t="s">
        <v>58</v>
      </c>
      <c r="AA495" s="114">
        <v>1</v>
      </c>
      <c r="AB495" s="114">
        <f>_xlfn.IFS(AT495&gt;51,3,AT495&gt;=34,2,AT495&lt;34,1)</f>
        <v>1</v>
      </c>
      <c r="AC495" s="114">
        <f>_xlfn.IFS(AS495&gt;35,1,AS495&gt;=28,2,AS495&lt;28,3)</f>
        <v>2</v>
      </c>
      <c r="AD495" s="114">
        <f>_xlfn.IFS(AR495&gt;2.3,3,AR495&gt;=1.7,2,AR495&lt;1.7,1)</f>
        <v>1</v>
      </c>
      <c r="AE495" s="114">
        <f>Y495+AA495+AB495+AC495+AD495</f>
        <v>6</v>
      </c>
      <c r="AF495" s="116" t="s">
        <v>59</v>
      </c>
      <c r="AG495" s="114">
        <f>AT495/17.1</f>
        <v>0.473684210526316</v>
      </c>
      <c r="AH495" s="114">
        <f>AU495/88.4</f>
        <v>0.81447963800905</v>
      </c>
      <c r="AI495" s="114">
        <f>AR495</f>
        <v>1.09</v>
      </c>
      <c r="AJ495" s="159">
        <f>LN(IF(AG495&gt;=1,AG495,1))*3.8+LN(IF(AH495&gt;=1,AH495,1))*9.6+11.2*LN(IF(AI495&gt;=1,AI495,1))+6.4*AN495</f>
        <v>0.965190197899787</v>
      </c>
      <c r="AK495" s="160">
        <f>IF(AND(AG495&gt;0,AH495&gt;0,AI495&gt;0),AJ495,"")</f>
        <v>0.965190197899787</v>
      </c>
      <c r="AL495" s="160">
        <f t="shared" si="113"/>
        <v>0.965190197899787</v>
      </c>
      <c r="AM495" s="160">
        <f>IF(AV495&gt;135,135,IF(AV495&lt;120,120,AV495))</f>
        <v>135</v>
      </c>
      <c r="AN495" s="114">
        <v>0</v>
      </c>
      <c r="AO495" s="114">
        <v>1</v>
      </c>
      <c r="AP495" s="114">
        <v>3.83</v>
      </c>
      <c r="AQ495" s="114">
        <v>82</v>
      </c>
      <c r="AR495" s="114">
        <v>1.09</v>
      </c>
      <c r="AS495" s="160">
        <v>31</v>
      </c>
      <c r="AT495" s="161">
        <v>8.1</v>
      </c>
      <c r="AU495" s="114">
        <v>72</v>
      </c>
      <c r="AV495" s="114">
        <v>138</v>
      </c>
      <c r="AZ495" s="119" t="s">
        <v>1383</v>
      </c>
    </row>
    <row r="496" spans="1:52">
      <c r="A496" s="282" t="s">
        <v>1384</v>
      </c>
      <c r="B496" s="113" t="s">
        <v>53</v>
      </c>
      <c r="C496" s="113">
        <v>66</v>
      </c>
      <c r="D496" s="113">
        <v>1.6</v>
      </c>
      <c r="E496" s="113">
        <v>50</v>
      </c>
      <c r="F496" s="136">
        <f>E496/(D496*D496)</f>
        <v>19.53125</v>
      </c>
      <c r="G496" s="113">
        <v>3</v>
      </c>
      <c r="H496" s="281">
        <v>44943</v>
      </c>
      <c r="I496" s="119" t="s">
        <v>1385</v>
      </c>
      <c r="J496" s="158">
        <v>44955</v>
      </c>
      <c r="L496" s="137">
        <v>2</v>
      </c>
      <c r="M496" s="138">
        <v>12</v>
      </c>
      <c r="N496" s="270" t="s">
        <v>1386</v>
      </c>
      <c r="O496" s="114"/>
      <c r="P496" s="114"/>
      <c r="Q496" s="114">
        <v>1</v>
      </c>
      <c r="R496" s="114"/>
      <c r="S496" s="114"/>
      <c r="T496" s="114">
        <v>0</v>
      </c>
      <c r="U496" s="114">
        <v>0</v>
      </c>
      <c r="V496" s="114">
        <v>1</v>
      </c>
      <c r="W496" s="114">
        <v>0</v>
      </c>
      <c r="X496" s="114">
        <v>1</v>
      </c>
      <c r="Y496" s="114">
        <v>1</v>
      </c>
      <c r="Z496" s="116" t="s">
        <v>58</v>
      </c>
      <c r="AA496" s="114">
        <v>1</v>
      </c>
      <c r="AB496" s="114">
        <f>_xlfn.IFS(AT496&gt;51,3,AT496&gt;=34,2,AT496&lt;34,1)</f>
        <v>1</v>
      </c>
      <c r="AC496" s="114">
        <f>_xlfn.IFS(AS496&gt;35,1,AS496&gt;=28,2,AS496&lt;28,3)</f>
        <v>2</v>
      </c>
      <c r="AD496" s="114">
        <f>_xlfn.IFS(AR496&gt;2.3,3,AR496&gt;=1.7,2,AR496&lt;1.7,1)</f>
        <v>1</v>
      </c>
      <c r="AE496" s="114">
        <f>Y496+AA496+AB496+AC496+AD496</f>
        <v>6</v>
      </c>
      <c r="AF496" s="116" t="s">
        <v>59</v>
      </c>
      <c r="AG496" s="114">
        <f>AT496/17.1</f>
        <v>1.74853801169591</v>
      </c>
      <c r="AH496" s="114">
        <f>AU496/88.4</f>
        <v>0.599547511312217</v>
      </c>
      <c r="AI496" s="114">
        <f>AR496</f>
        <v>1.23</v>
      </c>
      <c r="AJ496" s="159">
        <f>LN(IF(AG496&gt;=1,AG496,1))*3.8+LN(IF(AH496&gt;=1,AH496,1))*9.6+11.2*LN(IF(AI496&gt;=1,AI496,1))+6.4*AN496</f>
        <v>10.841922761279</v>
      </c>
      <c r="AK496" s="160">
        <f>IF(AND(AG496&gt;0,AH496&gt;0,AI496&gt;0),AJ496,"")</f>
        <v>10.841922761279</v>
      </c>
      <c r="AL496" s="160">
        <f t="shared" si="113"/>
        <v>10.841922761279</v>
      </c>
      <c r="AM496" s="160">
        <f>IF(AV496&gt;135,135,IF(AV496&lt;120,120,AV496))</f>
        <v>135</v>
      </c>
      <c r="AN496" s="114">
        <v>1</v>
      </c>
      <c r="AO496" s="114">
        <v>1</v>
      </c>
      <c r="AP496" s="114">
        <v>2.69</v>
      </c>
      <c r="AQ496" s="114">
        <v>108</v>
      </c>
      <c r="AR496" s="114">
        <v>1.23</v>
      </c>
      <c r="AS496" s="160">
        <v>30</v>
      </c>
      <c r="AT496" s="161">
        <v>29.9</v>
      </c>
      <c r="AU496" s="114">
        <v>53</v>
      </c>
      <c r="AV496" s="114">
        <v>140</v>
      </c>
      <c r="AZ496" s="119" t="s">
        <v>1387</v>
      </c>
    </row>
    <row r="497" s="123" customFormat="1" spans="1:52">
      <c r="A497" s="284" t="s">
        <v>1388</v>
      </c>
      <c r="B497" s="285" t="s">
        <v>48</v>
      </c>
      <c r="C497" s="285">
        <v>53</v>
      </c>
      <c r="D497" s="285">
        <v>1.74</v>
      </c>
      <c r="E497" s="285">
        <v>60</v>
      </c>
      <c r="F497" s="189">
        <f>E497/(D497*D497)</f>
        <v>19.8176773682124</v>
      </c>
      <c r="G497" s="285">
        <v>3</v>
      </c>
      <c r="H497" s="286">
        <v>44946</v>
      </c>
      <c r="I497" s="177">
        <v>44946</v>
      </c>
      <c r="J497" s="177">
        <v>44962</v>
      </c>
      <c r="L497" s="178">
        <v>1</v>
      </c>
      <c r="M497" s="178">
        <v>16</v>
      </c>
      <c r="N497" s="254" t="s">
        <v>1389</v>
      </c>
      <c r="O497" s="123">
        <v>1</v>
      </c>
      <c r="T497" s="123">
        <v>0</v>
      </c>
      <c r="U497" s="123">
        <v>0</v>
      </c>
      <c r="V497" s="123">
        <v>1</v>
      </c>
      <c r="W497" s="123">
        <v>0</v>
      </c>
      <c r="X497" s="123">
        <v>1</v>
      </c>
      <c r="Y497" s="123">
        <v>1</v>
      </c>
      <c r="Z497" s="132" t="s">
        <v>58</v>
      </c>
      <c r="AA497" s="123">
        <v>1</v>
      </c>
      <c r="AB497" s="123">
        <f>_xlfn.IFS(AT497&gt;51,3,AT497&gt;=34,2,AT497&lt;34,1)</f>
        <v>1</v>
      </c>
      <c r="AC497" s="123">
        <f>_xlfn.IFS(AS497&gt;35,1,AS497&gt;=28,2,AS497&lt;28,3)</f>
        <v>2</v>
      </c>
      <c r="AD497" s="114">
        <f>_xlfn.IFS(AR497&gt;2.3,3,AR497&gt;=1.7,2,AR497&lt;1.7,1)</f>
        <v>1</v>
      </c>
      <c r="AE497" s="123">
        <f>Y497+AA497+AB497+AC497+AD497</f>
        <v>6</v>
      </c>
      <c r="AF497" s="132" t="s">
        <v>59</v>
      </c>
      <c r="AG497" s="123">
        <f>AT497/17.1</f>
        <v>0.736842105263158</v>
      </c>
      <c r="AH497" s="123">
        <f>AU497/88.4</f>
        <v>0.475113122171946</v>
      </c>
      <c r="AI497" s="123">
        <f>AR497</f>
        <v>1.16</v>
      </c>
      <c r="AJ497" s="266">
        <f>LN(IF(AG497&gt;=1,AG497,1))*3.8+LN(IF(AH497&gt;=1,AH497,1))*9.6+11.2*LN(IF(AI497&gt;=1,AI497,1))+6.4*AN497</f>
        <v>8.06230405732466</v>
      </c>
      <c r="AK497" s="267">
        <f>IF(AND(AG497&gt;0,AH497&gt;0,AI497&gt;0),AJ497,"")</f>
        <v>8.06230405732466</v>
      </c>
      <c r="AL497" s="267">
        <f t="shared" si="113"/>
        <v>8.06230405732466</v>
      </c>
      <c r="AM497" s="267">
        <f>IF(AV497&gt;135,135,IF(AV497&lt;120,120,AV497))</f>
        <v>135</v>
      </c>
      <c r="AN497" s="123">
        <v>1</v>
      </c>
      <c r="AO497" s="114">
        <v>1</v>
      </c>
      <c r="AP497" s="123">
        <v>3.96</v>
      </c>
      <c r="AQ497" s="123">
        <v>65</v>
      </c>
      <c r="AR497" s="123">
        <v>1.16</v>
      </c>
      <c r="AS497" s="267">
        <v>29</v>
      </c>
      <c r="AT497" s="268">
        <v>12.6</v>
      </c>
      <c r="AU497" s="123">
        <v>42</v>
      </c>
      <c r="AV497" s="123">
        <v>137</v>
      </c>
      <c r="AZ497" s="132" t="s">
        <v>1390</v>
      </c>
    </row>
    <row r="498" s="134" customFormat="1" spans="1:52">
      <c r="A498" s="287" t="s">
        <v>1391</v>
      </c>
      <c r="B498" s="288" t="s">
        <v>48</v>
      </c>
      <c r="C498" s="288">
        <v>41</v>
      </c>
      <c r="D498" s="288">
        <v>1.78</v>
      </c>
      <c r="E498" s="288">
        <v>65</v>
      </c>
      <c r="F498" s="289">
        <f>E498/(D498*D498)</f>
        <v>20.5150864789799</v>
      </c>
      <c r="G498" s="288">
        <v>3</v>
      </c>
      <c r="H498" s="290">
        <v>44946</v>
      </c>
      <c r="I498" s="291">
        <v>44946</v>
      </c>
      <c r="J498" s="291">
        <v>44972</v>
      </c>
      <c r="L498" s="292">
        <v>1</v>
      </c>
      <c r="M498" s="292">
        <v>26</v>
      </c>
      <c r="N498" s="293" t="s">
        <v>1392</v>
      </c>
      <c r="O498" s="114"/>
      <c r="P498" s="114"/>
      <c r="Q498" s="114"/>
      <c r="R498" s="114"/>
      <c r="S498" s="116" t="s">
        <v>1393</v>
      </c>
      <c r="T498" s="114">
        <v>1</v>
      </c>
      <c r="U498" s="114">
        <v>0</v>
      </c>
      <c r="V498" s="114">
        <v>0</v>
      </c>
      <c r="W498" s="114">
        <v>0</v>
      </c>
      <c r="X498" s="114">
        <v>0</v>
      </c>
      <c r="Y498" s="114">
        <v>1</v>
      </c>
      <c r="Z498" s="116" t="s">
        <v>321</v>
      </c>
      <c r="AA498" s="116">
        <v>3</v>
      </c>
      <c r="AB498" s="114">
        <f>_xlfn.IFS(AT498&gt;51,3,AT498&gt;=34,2,AT498&lt;34,1)</f>
        <v>3</v>
      </c>
      <c r="AC498" s="114">
        <f>_xlfn.IFS(AS498&gt;35,1,AS498&gt;=28,2,AS498&lt;28,3)</f>
        <v>3</v>
      </c>
      <c r="AD498" s="114">
        <v>2</v>
      </c>
      <c r="AE498" s="114">
        <f>Y498+AA498+AB498+AC498+AD498</f>
        <v>12</v>
      </c>
      <c r="AF498" s="116" t="s">
        <v>50</v>
      </c>
      <c r="AG498" s="114">
        <f>AT498/17.1</f>
        <v>4.42690058479532</v>
      </c>
      <c r="AH498" s="114">
        <f>AU498/88.4</f>
        <v>0.486425339366516</v>
      </c>
      <c r="AI498" s="114">
        <f>AR498</f>
        <v>2.07</v>
      </c>
      <c r="AJ498" s="159">
        <f>LN(IF(AG498&gt;=1,AG498,1))*3.8+LN(IF(AH498&gt;=1,AH498,1))*9.6+11.2*LN(IF(AI498&gt;=1,AI498,1))+6.4*AN498</f>
        <v>20.2018032498577</v>
      </c>
      <c r="AK498" s="160">
        <f>IF(AND(AG498&gt;0,AH498&gt;0,AI498&gt;0),AJ498,"")</f>
        <v>20.2018032498577</v>
      </c>
      <c r="AL498" s="160">
        <f t="shared" si="113"/>
        <v>20.2018032498577</v>
      </c>
      <c r="AM498" s="160">
        <f>IF(AV498&gt;135,135,IF(AV498&lt;120,120,AV498))</f>
        <v>135</v>
      </c>
      <c r="AN498" s="114">
        <v>1</v>
      </c>
      <c r="AO498" s="114">
        <v>3</v>
      </c>
      <c r="AP498" s="114">
        <v>14.74</v>
      </c>
      <c r="AQ498" s="114">
        <v>129</v>
      </c>
      <c r="AR498" s="114">
        <v>2.07</v>
      </c>
      <c r="AS498" s="160">
        <v>25</v>
      </c>
      <c r="AT498" s="161">
        <v>75.7</v>
      </c>
      <c r="AU498" s="114">
        <v>43</v>
      </c>
      <c r="AV498" s="114">
        <v>138</v>
      </c>
      <c r="AZ498" s="294" t="s">
        <v>1394</v>
      </c>
    </row>
    <row r="499" s="134" customFormat="1" spans="1:52">
      <c r="A499" s="287" t="s">
        <v>1395</v>
      </c>
      <c r="B499" s="288" t="s">
        <v>53</v>
      </c>
      <c r="C499" s="288">
        <v>46</v>
      </c>
      <c r="D499" s="288">
        <v>1.6</v>
      </c>
      <c r="E499" s="288">
        <v>60</v>
      </c>
      <c r="F499" s="289">
        <f>E499/(D499*D499)</f>
        <v>23.4375</v>
      </c>
      <c r="G499" s="288">
        <v>0</v>
      </c>
      <c r="H499" s="290">
        <v>44951</v>
      </c>
      <c r="I499" s="291">
        <v>44951</v>
      </c>
      <c r="J499" s="291">
        <v>44960</v>
      </c>
      <c r="L499" s="292">
        <v>2</v>
      </c>
      <c r="M499" s="292">
        <v>9</v>
      </c>
      <c r="N499" s="293" t="s">
        <v>1396</v>
      </c>
      <c r="O499" s="114"/>
      <c r="P499" s="116" t="s">
        <v>1083</v>
      </c>
      <c r="Q499" s="114"/>
      <c r="R499" s="116" t="s">
        <v>1083</v>
      </c>
      <c r="S499" s="114"/>
      <c r="T499" s="114">
        <v>1</v>
      </c>
      <c r="U499" s="114">
        <v>1</v>
      </c>
      <c r="V499" s="114">
        <v>0</v>
      </c>
      <c r="W499" s="114">
        <v>0</v>
      </c>
      <c r="X499" s="114">
        <v>0</v>
      </c>
      <c r="Y499" s="114">
        <v>2</v>
      </c>
      <c r="Z499" s="116" t="s">
        <v>300</v>
      </c>
      <c r="AA499" s="114">
        <v>2</v>
      </c>
      <c r="AB499" s="114">
        <f>_xlfn.IFS(AT499&gt;51,3,AT499&gt;=34,2,AT499&lt;34,1)</f>
        <v>3</v>
      </c>
      <c r="AC499" s="114">
        <f>_xlfn.IFS(AS499&gt;35,1,AS499&gt;=28,2,AS499&lt;28,3)</f>
        <v>3</v>
      </c>
      <c r="AD499" s="114">
        <v>2</v>
      </c>
      <c r="AE499" s="114">
        <f>Y499+AA499+AB499+AC499+AD499</f>
        <v>12</v>
      </c>
      <c r="AF499" s="116" t="s">
        <v>50</v>
      </c>
      <c r="AG499" s="114">
        <f>AT499/17.1</f>
        <v>8.6140350877193</v>
      </c>
      <c r="AH499" s="114">
        <f>AU499/88.4</f>
        <v>0.622171945701357</v>
      </c>
      <c r="AI499" s="114">
        <f>AR499</f>
        <v>1.79</v>
      </c>
      <c r="AJ499" s="159">
        <f>LN(IF(AG499&gt;=1,AG499,1))*3.8+LN(IF(AH499&gt;=1,AH499,1))*9.6+11.2*LN(IF(AI499&gt;=1,AI499,1))+6.4*AN499</f>
        <v>14.7037078101977</v>
      </c>
      <c r="AK499" s="160">
        <f>IF(AND(AG499&gt;0,AH499&gt;0,AI499&gt;0),AJ499,"")</f>
        <v>14.7037078101977</v>
      </c>
      <c r="AL499" s="160">
        <f t="shared" si="113"/>
        <v>14.7037078101977</v>
      </c>
      <c r="AM499" s="160">
        <f>IF(AV499&gt;135,135,IF(AV499&lt;120,120,AV499))</f>
        <v>135</v>
      </c>
      <c r="AN499" s="114">
        <v>0</v>
      </c>
      <c r="AO499" s="114">
        <v>2</v>
      </c>
      <c r="AP499" s="116">
        <v>9.16</v>
      </c>
      <c r="AQ499" s="114">
        <v>70</v>
      </c>
      <c r="AR499" s="114">
        <v>1.79</v>
      </c>
      <c r="AS499" s="160">
        <v>26</v>
      </c>
      <c r="AT499" s="161">
        <v>147.3</v>
      </c>
      <c r="AU499" s="114">
        <v>55</v>
      </c>
      <c r="AV499" s="114">
        <v>137</v>
      </c>
      <c r="AZ499" s="294" t="s">
        <v>1397</v>
      </c>
    </row>
    <row r="500" spans="1:52">
      <c r="A500" s="282" t="s">
        <v>1398</v>
      </c>
      <c r="B500" s="113" t="s">
        <v>48</v>
      </c>
      <c r="C500" s="113">
        <v>54</v>
      </c>
      <c r="D500" s="113">
        <v>1.68</v>
      </c>
      <c r="E500" s="113">
        <v>60</v>
      </c>
      <c r="F500" s="136">
        <f t="shared" ref="F500:F513" si="114">E500/(D500*D500)</f>
        <v>21.2585034013605</v>
      </c>
      <c r="G500" s="113">
        <v>6</v>
      </c>
      <c r="H500" s="281">
        <v>44954</v>
      </c>
      <c r="I500" s="158">
        <v>44954</v>
      </c>
      <c r="J500" s="158">
        <v>44961</v>
      </c>
      <c r="L500" s="137">
        <v>2</v>
      </c>
      <c r="M500" s="138">
        <v>7</v>
      </c>
      <c r="N500" s="270" t="s">
        <v>1399</v>
      </c>
      <c r="O500" s="114"/>
      <c r="P500" s="114">
        <v>1</v>
      </c>
      <c r="Q500" s="114"/>
      <c r="R500" s="114"/>
      <c r="S500" s="114"/>
      <c r="T500" s="114">
        <v>1</v>
      </c>
      <c r="U500" s="114">
        <v>0</v>
      </c>
      <c r="V500" s="114">
        <v>1</v>
      </c>
      <c r="W500" s="114">
        <v>0</v>
      </c>
      <c r="X500" s="114">
        <v>1</v>
      </c>
      <c r="Y500" s="114">
        <v>1</v>
      </c>
      <c r="Z500" s="116" t="s">
        <v>300</v>
      </c>
      <c r="AA500" s="114">
        <v>2</v>
      </c>
      <c r="AB500" s="114">
        <f t="shared" ref="AB500:AB513" si="115">_xlfn.IFS(AT500&gt;51,3,AT500&gt;=34,2,AT500&lt;34,1)</f>
        <v>1</v>
      </c>
      <c r="AC500" s="114">
        <f t="shared" ref="AC500:AC513" si="116">_xlfn.IFS(AS500&gt;35,1,AS500&gt;=28,2,AS500&lt;28,3)</f>
        <v>1</v>
      </c>
      <c r="AD500" s="114">
        <f t="shared" ref="AD500:AD513" si="117">_xlfn.IFS(AR500&gt;2.3,3,AR500&gt;=1.7,2,AR500&lt;1.7,1)</f>
        <v>1</v>
      </c>
      <c r="AE500" s="114">
        <f t="shared" ref="AE500:AE519" si="118">Y500+AA500+AB500+AC500+AD500</f>
        <v>6</v>
      </c>
      <c r="AF500" s="116" t="s">
        <v>59</v>
      </c>
      <c r="AG500" s="114">
        <f t="shared" ref="AG500:AG511" si="119">AT500/17.1</f>
        <v>1.4093567251462</v>
      </c>
      <c r="AH500" s="114">
        <f t="shared" ref="AH500:AH511" si="120">AU500/88.4</f>
        <v>1.71945701357466</v>
      </c>
      <c r="AI500" s="114">
        <f t="shared" ref="AI500:AI513" si="121">AR500</f>
        <v>1.09</v>
      </c>
      <c r="AJ500" s="159">
        <f t="shared" ref="AJ500:AJ513" si="122">LN(IF(AG500&gt;=1,AG500,1))*3.8+LN(IF(AH500&gt;=1,AH500,1))*9.6+11.2*LN(IF(AI500&gt;=1,AI500,1))+6.4*AN500</f>
        <v>7.47237912199988</v>
      </c>
      <c r="AK500" s="160">
        <f t="shared" ref="AK500:AK513" si="123">IF(AND(AG500&gt;0,AH500&gt;0,AI500&gt;0),AJ500,"")</f>
        <v>7.47237912199988</v>
      </c>
      <c r="AL500" s="160">
        <f>AK500+1.59*(135-AM500)</f>
        <v>7.47237912199988</v>
      </c>
      <c r="AM500" s="160">
        <f t="shared" ref="AM500:AM513" si="124">IF(AV500&gt;135,135,IF(AV500&lt;120,120,AV500))</f>
        <v>135</v>
      </c>
      <c r="AN500" s="114">
        <v>0</v>
      </c>
      <c r="AO500" s="114">
        <v>1</v>
      </c>
      <c r="AP500" s="114">
        <v>4.21</v>
      </c>
      <c r="AQ500" s="114">
        <v>119</v>
      </c>
      <c r="AR500" s="114">
        <v>1.09</v>
      </c>
      <c r="AS500" s="160">
        <v>37</v>
      </c>
      <c r="AT500" s="161">
        <v>24.1</v>
      </c>
      <c r="AU500" s="114">
        <v>152</v>
      </c>
      <c r="AV500" s="114">
        <v>140</v>
      </c>
      <c r="AZ500" s="119" t="s">
        <v>1400</v>
      </c>
    </row>
    <row r="501" spans="1:52">
      <c r="A501" s="282" t="s">
        <v>1401</v>
      </c>
      <c r="B501" s="113" t="s">
        <v>53</v>
      </c>
      <c r="C501" s="113">
        <v>59</v>
      </c>
      <c r="D501" s="113">
        <v>1.59</v>
      </c>
      <c r="E501" s="113">
        <v>62</v>
      </c>
      <c r="F501" s="136">
        <f t="shared" si="114"/>
        <v>24.5243463470591</v>
      </c>
      <c r="G501" s="113">
        <v>1</v>
      </c>
      <c r="H501" s="281">
        <v>44954</v>
      </c>
      <c r="I501" s="158">
        <v>44954</v>
      </c>
      <c r="J501" s="158">
        <v>44966</v>
      </c>
      <c r="L501" s="137">
        <v>1</v>
      </c>
      <c r="M501" s="138">
        <v>12</v>
      </c>
      <c r="N501" s="270" t="s">
        <v>1402</v>
      </c>
      <c r="O501" s="114">
        <v>1</v>
      </c>
      <c r="P501" s="114"/>
      <c r="Q501" s="114"/>
      <c r="R501" s="114"/>
      <c r="S501" s="114"/>
      <c r="T501" s="114">
        <v>1</v>
      </c>
      <c r="U501" s="114">
        <v>0</v>
      </c>
      <c r="V501" s="114">
        <v>1</v>
      </c>
      <c r="W501" s="114">
        <v>0</v>
      </c>
      <c r="X501" s="114">
        <v>1</v>
      </c>
      <c r="Y501" s="114">
        <v>1</v>
      </c>
      <c r="Z501" s="116" t="s">
        <v>300</v>
      </c>
      <c r="AA501" s="114">
        <v>2</v>
      </c>
      <c r="AB501" s="114">
        <f t="shared" si="115"/>
        <v>1</v>
      </c>
      <c r="AC501" s="114">
        <f t="shared" si="116"/>
        <v>1</v>
      </c>
      <c r="AD501" s="114">
        <f t="shared" si="117"/>
        <v>1</v>
      </c>
      <c r="AE501" s="114">
        <f t="shared" si="118"/>
        <v>6</v>
      </c>
      <c r="AF501" s="116" t="s">
        <v>59</v>
      </c>
      <c r="AG501" s="114">
        <f t="shared" si="119"/>
        <v>1.31578947368421</v>
      </c>
      <c r="AH501" s="114">
        <f t="shared" si="120"/>
        <v>0.576923076923077</v>
      </c>
      <c r="AI501" s="114">
        <f t="shared" si="121"/>
        <v>1.24</v>
      </c>
      <c r="AJ501" s="159">
        <f t="shared" si="122"/>
        <v>9.85210746537648</v>
      </c>
      <c r="AK501" s="160">
        <f t="shared" si="123"/>
        <v>9.85210746537648</v>
      </c>
      <c r="AL501" s="160">
        <f>AK501+1.59*(135-AM501)</f>
        <v>9.85210746537648</v>
      </c>
      <c r="AM501" s="160">
        <f t="shared" si="124"/>
        <v>135</v>
      </c>
      <c r="AN501" s="114">
        <v>1</v>
      </c>
      <c r="AO501" s="114">
        <v>1</v>
      </c>
      <c r="AP501" s="114">
        <v>3.81</v>
      </c>
      <c r="AQ501" s="114">
        <v>102</v>
      </c>
      <c r="AR501" s="114">
        <v>1.24</v>
      </c>
      <c r="AS501" s="160">
        <v>37</v>
      </c>
      <c r="AT501" s="161">
        <v>22.5</v>
      </c>
      <c r="AU501" s="114">
        <v>51</v>
      </c>
      <c r="AV501" s="114">
        <v>139</v>
      </c>
      <c r="AZ501" s="119" t="s">
        <v>1403</v>
      </c>
    </row>
    <row r="502" s="125" customFormat="1" spans="1:52">
      <c r="A502" s="295" t="s">
        <v>637</v>
      </c>
      <c r="B502" s="272" t="s">
        <v>48</v>
      </c>
      <c r="C502" s="272">
        <v>66</v>
      </c>
      <c r="D502" s="272">
        <v>1.66</v>
      </c>
      <c r="E502" s="272">
        <v>50</v>
      </c>
      <c r="F502" s="216">
        <f t="shared" si="114"/>
        <v>18.1448686311511</v>
      </c>
      <c r="G502" s="272">
        <v>3</v>
      </c>
      <c r="H502" s="296">
        <v>44956</v>
      </c>
      <c r="I502" s="186">
        <v>44956</v>
      </c>
      <c r="J502" s="186">
        <v>44979</v>
      </c>
      <c r="L502" s="187">
        <v>4</v>
      </c>
      <c r="M502" s="187">
        <v>23</v>
      </c>
      <c r="N502" s="248" t="s">
        <v>1404</v>
      </c>
      <c r="O502" s="114"/>
      <c r="P502" s="114"/>
      <c r="Q502" s="114"/>
      <c r="R502" s="116" t="s">
        <v>1083</v>
      </c>
      <c r="S502" s="114"/>
      <c r="T502" s="114">
        <v>0</v>
      </c>
      <c r="U502" s="114">
        <v>0</v>
      </c>
      <c r="V502" s="114">
        <v>0</v>
      </c>
      <c r="W502" s="114">
        <v>1</v>
      </c>
      <c r="X502" s="114">
        <v>0</v>
      </c>
      <c r="Y502" s="114">
        <v>1</v>
      </c>
      <c r="Z502" s="116" t="s">
        <v>58</v>
      </c>
      <c r="AA502" s="114">
        <v>1</v>
      </c>
      <c r="AB502" s="114">
        <f t="shared" si="115"/>
        <v>3</v>
      </c>
      <c r="AC502" s="114">
        <f t="shared" si="116"/>
        <v>3</v>
      </c>
      <c r="AD502" s="114">
        <f t="shared" si="117"/>
        <v>1</v>
      </c>
      <c r="AE502" s="114">
        <f t="shared" si="118"/>
        <v>9</v>
      </c>
      <c r="AF502" s="116" t="s">
        <v>63</v>
      </c>
      <c r="AG502" s="114">
        <f t="shared" si="119"/>
        <v>3.64912280701754</v>
      </c>
      <c r="AH502" s="114">
        <f t="shared" si="120"/>
        <v>1.15384615384615</v>
      </c>
      <c r="AI502" s="114">
        <f t="shared" si="121"/>
        <v>1.06</v>
      </c>
      <c r="AJ502" s="159">
        <f t="shared" si="122"/>
        <v>6.94542975503271</v>
      </c>
      <c r="AK502" s="160">
        <f t="shared" si="123"/>
        <v>6.94542975503271</v>
      </c>
      <c r="AL502" s="160">
        <f>AK502+1.59*(135-AM502)</f>
        <v>18.0754297550327</v>
      </c>
      <c r="AM502" s="160">
        <f t="shared" si="124"/>
        <v>128</v>
      </c>
      <c r="AN502" s="114">
        <v>0</v>
      </c>
      <c r="AO502" s="114">
        <v>1</v>
      </c>
      <c r="AP502" s="114">
        <v>10.74</v>
      </c>
      <c r="AQ502" s="114">
        <v>65</v>
      </c>
      <c r="AR502" s="114">
        <v>1.06</v>
      </c>
      <c r="AS502" s="160">
        <v>15</v>
      </c>
      <c r="AT502" s="161">
        <v>62.4</v>
      </c>
      <c r="AU502" s="114">
        <v>102</v>
      </c>
      <c r="AV502" s="114">
        <v>128</v>
      </c>
      <c r="AZ502" s="131" t="s">
        <v>1405</v>
      </c>
    </row>
    <row r="503" s="114" customFormat="1" spans="1:52">
      <c r="A503" s="297" t="s">
        <v>1406</v>
      </c>
      <c r="B503" s="298" t="s">
        <v>48</v>
      </c>
      <c r="C503" s="298">
        <v>72</v>
      </c>
      <c r="D503" s="298">
        <v>1.7</v>
      </c>
      <c r="E503" s="298">
        <v>70</v>
      </c>
      <c r="F503" s="136">
        <f t="shared" si="114"/>
        <v>24.2214532871972</v>
      </c>
      <c r="G503" s="298">
        <v>3</v>
      </c>
      <c r="H503" s="299">
        <v>44956</v>
      </c>
      <c r="I503" s="210">
        <v>44956</v>
      </c>
      <c r="J503" s="210">
        <v>44968</v>
      </c>
      <c r="L503" s="138">
        <v>1</v>
      </c>
      <c r="M503" s="138">
        <v>12</v>
      </c>
      <c r="N503" s="265" t="s">
        <v>1407</v>
      </c>
      <c r="S503" s="114">
        <v>1</v>
      </c>
      <c r="T503" s="114">
        <v>1</v>
      </c>
      <c r="U503" s="114">
        <v>0</v>
      </c>
      <c r="V503" s="114">
        <v>0</v>
      </c>
      <c r="W503" s="114">
        <v>0</v>
      </c>
      <c r="X503" s="114">
        <v>0</v>
      </c>
      <c r="Y503" s="114">
        <v>1</v>
      </c>
      <c r="Z503" s="116" t="s">
        <v>321</v>
      </c>
      <c r="AA503" s="114">
        <v>3</v>
      </c>
      <c r="AB503" s="114">
        <f t="shared" si="115"/>
        <v>1</v>
      </c>
      <c r="AC503" s="114">
        <f t="shared" si="116"/>
        <v>3</v>
      </c>
      <c r="AD503" s="114">
        <f t="shared" si="117"/>
        <v>1</v>
      </c>
      <c r="AE503" s="114">
        <f t="shared" si="118"/>
        <v>9</v>
      </c>
      <c r="AF503" s="116" t="s">
        <v>63</v>
      </c>
      <c r="AG503" s="114">
        <f t="shared" si="119"/>
        <v>1.55555555555556</v>
      </c>
      <c r="AH503" s="114">
        <f t="shared" si="120"/>
        <v>1.26696832579186</v>
      </c>
      <c r="AI503" s="114">
        <f t="shared" si="121"/>
        <v>1.24</v>
      </c>
      <c r="AJ503" s="159">
        <f t="shared" si="122"/>
        <v>12.7598301662245</v>
      </c>
      <c r="AK503" s="160">
        <f t="shared" si="123"/>
        <v>12.7598301662245</v>
      </c>
      <c r="AL503" s="160">
        <f>AK503+1.59*(135-AM503)</f>
        <v>22.2998301662245</v>
      </c>
      <c r="AM503" s="160">
        <f t="shared" si="124"/>
        <v>129</v>
      </c>
      <c r="AN503" s="114">
        <v>1</v>
      </c>
      <c r="AO503" s="116">
        <v>1</v>
      </c>
      <c r="AP503" s="114">
        <v>8.08</v>
      </c>
      <c r="AQ503" s="114">
        <v>103</v>
      </c>
      <c r="AR503" s="114">
        <v>1.24</v>
      </c>
      <c r="AS503" s="160">
        <v>18</v>
      </c>
      <c r="AT503" s="161">
        <v>26.6</v>
      </c>
      <c r="AU503" s="114">
        <v>112</v>
      </c>
      <c r="AV503" s="114">
        <v>129</v>
      </c>
      <c r="AZ503" s="116" t="s">
        <v>1408</v>
      </c>
    </row>
    <row r="504" s="125" customFormat="1" spans="1:52">
      <c r="A504" s="295" t="s">
        <v>1409</v>
      </c>
      <c r="B504" s="272" t="s">
        <v>48</v>
      </c>
      <c r="C504" s="272">
        <v>68</v>
      </c>
      <c r="D504" s="272">
        <v>1.72</v>
      </c>
      <c r="E504" s="272">
        <v>70</v>
      </c>
      <c r="F504" s="216">
        <f t="shared" si="114"/>
        <v>23.6614386154678</v>
      </c>
      <c r="G504" s="272">
        <v>7</v>
      </c>
      <c r="H504" s="296">
        <v>44956</v>
      </c>
      <c r="I504" s="186">
        <v>44956</v>
      </c>
      <c r="J504" s="186">
        <v>44968</v>
      </c>
      <c r="L504" s="187">
        <v>3</v>
      </c>
      <c r="M504" s="187">
        <v>12</v>
      </c>
      <c r="N504" s="248" t="s">
        <v>1410</v>
      </c>
      <c r="O504" s="114"/>
      <c r="P504" s="114">
        <v>1</v>
      </c>
      <c r="Q504" s="114"/>
      <c r="R504" s="114"/>
      <c r="S504" s="114"/>
      <c r="T504" s="114">
        <v>1</v>
      </c>
      <c r="U504" s="114">
        <v>0</v>
      </c>
      <c r="V504" s="114">
        <v>0</v>
      </c>
      <c r="W504" s="114">
        <v>0</v>
      </c>
      <c r="X504" s="114">
        <v>1</v>
      </c>
      <c r="Y504" s="114">
        <v>1</v>
      </c>
      <c r="Z504" s="116" t="s">
        <v>307</v>
      </c>
      <c r="AA504" s="114">
        <v>3</v>
      </c>
      <c r="AB504" s="114">
        <f t="shared" si="115"/>
        <v>1</v>
      </c>
      <c r="AC504" s="114">
        <f t="shared" si="116"/>
        <v>3</v>
      </c>
      <c r="AD504" s="114">
        <f t="shared" si="117"/>
        <v>1</v>
      </c>
      <c r="AE504" s="114">
        <f t="shared" si="118"/>
        <v>9</v>
      </c>
      <c r="AF504" s="116" t="s">
        <v>63</v>
      </c>
      <c r="AG504" s="114">
        <f t="shared" si="119"/>
        <v>0.573099415204678</v>
      </c>
      <c r="AH504" s="114">
        <f t="shared" si="120"/>
        <v>1.97963800904977</v>
      </c>
      <c r="AI504" s="114">
        <f t="shared" si="121"/>
        <v>1.1</v>
      </c>
      <c r="AJ504" s="159">
        <f t="shared" si="122"/>
        <v>7.62344845489563</v>
      </c>
      <c r="AK504" s="160">
        <f t="shared" si="123"/>
        <v>7.62344845489563</v>
      </c>
      <c r="AL504" s="160">
        <f>AK504+1.59*(135-AM504)</f>
        <v>7.62344845489563</v>
      </c>
      <c r="AM504" s="160">
        <f t="shared" si="124"/>
        <v>135</v>
      </c>
      <c r="AN504" s="114">
        <v>0</v>
      </c>
      <c r="AO504" s="114">
        <v>1</v>
      </c>
      <c r="AP504" s="114">
        <v>2.41</v>
      </c>
      <c r="AQ504" s="114">
        <v>56</v>
      </c>
      <c r="AR504" s="114">
        <v>1.1</v>
      </c>
      <c r="AS504" s="160">
        <v>27</v>
      </c>
      <c r="AT504" s="161">
        <v>9.8</v>
      </c>
      <c r="AU504" s="114">
        <v>175</v>
      </c>
      <c r="AV504" s="114">
        <v>137</v>
      </c>
      <c r="AZ504" s="131" t="s">
        <v>1411</v>
      </c>
    </row>
    <row r="505" s="125" customFormat="1" spans="1:52">
      <c r="A505" s="295" t="s">
        <v>857</v>
      </c>
      <c r="B505" s="272" t="s">
        <v>48</v>
      </c>
      <c r="C505" s="272">
        <v>73</v>
      </c>
      <c r="D505" s="272">
        <v>1.72</v>
      </c>
      <c r="E505" s="272">
        <v>80</v>
      </c>
      <c r="F505" s="216">
        <f t="shared" si="114"/>
        <v>27.0416441319632</v>
      </c>
      <c r="G505" s="272">
        <v>1</v>
      </c>
      <c r="H505" s="296">
        <v>44968</v>
      </c>
      <c r="I505" s="186">
        <v>44968</v>
      </c>
      <c r="J505" s="186">
        <v>44977</v>
      </c>
      <c r="L505" s="187">
        <v>6</v>
      </c>
      <c r="M505" s="187">
        <v>9</v>
      </c>
      <c r="N505" s="248" t="s">
        <v>1412</v>
      </c>
      <c r="O505" s="114"/>
      <c r="P505" s="114">
        <v>1</v>
      </c>
      <c r="Q505" s="114"/>
      <c r="R505" s="114"/>
      <c r="S505" s="114"/>
      <c r="T505" s="114">
        <v>1</v>
      </c>
      <c r="U505" s="114">
        <v>1</v>
      </c>
      <c r="V505" s="114">
        <v>0</v>
      </c>
      <c r="W505" s="114">
        <v>0</v>
      </c>
      <c r="X505" s="114">
        <v>0</v>
      </c>
      <c r="Y505" s="114">
        <v>2</v>
      </c>
      <c r="Z505" s="116" t="s">
        <v>321</v>
      </c>
      <c r="AA505" s="114">
        <v>3</v>
      </c>
      <c r="AB505" s="114">
        <f t="shared" si="115"/>
        <v>1</v>
      </c>
      <c r="AC505" s="114">
        <f t="shared" si="116"/>
        <v>3</v>
      </c>
      <c r="AD505" s="114">
        <f t="shared" si="117"/>
        <v>1</v>
      </c>
      <c r="AE505" s="114">
        <f t="shared" si="118"/>
        <v>10</v>
      </c>
      <c r="AF505" s="116" t="s">
        <v>50</v>
      </c>
      <c r="AG505" s="114">
        <f t="shared" si="119"/>
        <v>1.6140350877193</v>
      </c>
      <c r="AH505" s="114">
        <f t="shared" si="120"/>
        <v>1.0972850678733</v>
      </c>
      <c r="AI505" s="114">
        <f t="shared" si="121"/>
        <v>1.51</v>
      </c>
      <c r="AJ505" s="159">
        <f t="shared" si="122"/>
        <v>7.32608434932953</v>
      </c>
      <c r="AK505" s="160">
        <f t="shared" si="123"/>
        <v>7.32608434932953</v>
      </c>
      <c r="AL505" s="160">
        <f>AK505+1.59*(135-AM505)</f>
        <v>7.32608434932953</v>
      </c>
      <c r="AM505" s="160">
        <f t="shared" si="124"/>
        <v>135</v>
      </c>
      <c r="AN505" s="114">
        <v>0</v>
      </c>
      <c r="AO505" s="114">
        <v>1</v>
      </c>
      <c r="AP505" s="114">
        <v>3.9</v>
      </c>
      <c r="AQ505" s="114">
        <v>72</v>
      </c>
      <c r="AR505" s="114">
        <v>1.51</v>
      </c>
      <c r="AS505" s="160">
        <v>24</v>
      </c>
      <c r="AT505" s="161">
        <v>27.6</v>
      </c>
      <c r="AU505" s="114">
        <v>97</v>
      </c>
      <c r="AV505" s="114">
        <v>138</v>
      </c>
      <c r="AZ505" s="131" t="s">
        <v>58</v>
      </c>
    </row>
    <row r="506" s="125" customFormat="1" spans="1:52">
      <c r="A506" s="295" t="s">
        <v>1413</v>
      </c>
      <c r="B506" s="272" t="s">
        <v>53</v>
      </c>
      <c r="C506" s="272">
        <v>57</v>
      </c>
      <c r="D506" s="272">
        <v>1.4</v>
      </c>
      <c r="E506" s="272">
        <v>70</v>
      </c>
      <c r="F506" s="216">
        <f t="shared" si="114"/>
        <v>35.7142857142857</v>
      </c>
      <c r="G506" s="272">
        <v>1</v>
      </c>
      <c r="H506" s="296">
        <v>44970</v>
      </c>
      <c r="I506" s="186">
        <v>44970</v>
      </c>
      <c r="J506" s="186">
        <v>44977</v>
      </c>
      <c r="K506" s="125"/>
      <c r="L506" s="187">
        <v>1</v>
      </c>
      <c r="M506" s="187">
        <v>7</v>
      </c>
      <c r="N506" s="248" t="s">
        <v>1414</v>
      </c>
      <c r="O506" s="125">
        <v>1</v>
      </c>
      <c r="P506" s="125"/>
      <c r="Q506" s="125"/>
      <c r="R506" s="125"/>
      <c r="S506" s="125"/>
      <c r="T506" s="125">
        <v>1</v>
      </c>
      <c r="U506" s="125">
        <v>1</v>
      </c>
      <c r="V506" s="125">
        <v>1</v>
      </c>
      <c r="W506" s="125">
        <v>0</v>
      </c>
      <c r="X506" s="125">
        <v>1</v>
      </c>
      <c r="Y506" s="125">
        <v>2</v>
      </c>
      <c r="Z506" s="131" t="s">
        <v>300</v>
      </c>
      <c r="AA506" s="125">
        <v>2</v>
      </c>
      <c r="AB506" s="125">
        <f t="shared" si="115"/>
        <v>3</v>
      </c>
      <c r="AC506" s="125">
        <f t="shared" si="116"/>
        <v>3</v>
      </c>
      <c r="AD506" s="125">
        <f t="shared" si="117"/>
        <v>1</v>
      </c>
      <c r="AE506" s="125">
        <f t="shared" si="118"/>
        <v>11</v>
      </c>
      <c r="AF506" s="131" t="s">
        <v>50</v>
      </c>
      <c r="AG506" s="125">
        <f t="shared" si="119"/>
        <v>4.05847953216374</v>
      </c>
      <c r="AH506" s="125">
        <f t="shared" si="120"/>
        <v>0.542986425339366</v>
      </c>
      <c r="AI506" s="125">
        <f t="shared" si="121"/>
        <v>1.63</v>
      </c>
      <c r="AJ506" s="240">
        <f t="shared" si="122"/>
        <v>17.1951681011849</v>
      </c>
      <c r="AK506" s="241">
        <f t="shared" si="123"/>
        <v>17.1951681011849</v>
      </c>
      <c r="AL506" s="241">
        <f>AK506+1.59*(135-AM506)</f>
        <v>17.1951681011849</v>
      </c>
      <c r="AM506" s="241">
        <f t="shared" si="124"/>
        <v>135</v>
      </c>
      <c r="AN506" s="125">
        <v>1</v>
      </c>
      <c r="AO506" s="125">
        <v>2</v>
      </c>
      <c r="AP506" s="125">
        <v>1.3</v>
      </c>
      <c r="AQ506" s="125">
        <v>50</v>
      </c>
      <c r="AR506" s="125">
        <v>1.63</v>
      </c>
      <c r="AS506" s="241">
        <v>27</v>
      </c>
      <c r="AT506" s="242">
        <v>69.4</v>
      </c>
      <c r="AU506" s="125">
        <v>48</v>
      </c>
      <c r="AV506" s="125">
        <v>141</v>
      </c>
      <c r="AW506" s="125"/>
      <c r="AX506" s="125"/>
      <c r="AY506" s="125"/>
      <c r="AZ506" s="131" t="s">
        <v>1415</v>
      </c>
    </row>
    <row r="507" s="123" customFormat="1" spans="1:52">
      <c r="A507" s="284" t="s">
        <v>1416</v>
      </c>
      <c r="B507" s="285" t="s">
        <v>48</v>
      </c>
      <c r="C507" s="285">
        <v>50</v>
      </c>
      <c r="D507" s="285">
        <v>1.77</v>
      </c>
      <c r="E507" s="285">
        <v>85</v>
      </c>
      <c r="F507" s="189">
        <f t="shared" si="114"/>
        <v>27.1314117909924</v>
      </c>
      <c r="G507" s="285">
        <v>6</v>
      </c>
      <c r="H507" s="286">
        <v>44971</v>
      </c>
      <c r="I507" s="177">
        <v>44971</v>
      </c>
      <c r="J507" s="177">
        <v>44978</v>
      </c>
      <c r="L507" s="178">
        <v>1</v>
      </c>
      <c r="M507" s="178">
        <v>7</v>
      </c>
      <c r="N507" s="254" t="s">
        <v>1417</v>
      </c>
      <c r="P507" s="123">
        <v>1</v>
      </c>
      <c r="T507" s="123">
        <v>1</v>
      </c>
      <c r="U507" s="123">
        <v>1</v>
      </c>
      <c r="V507" s="123">
        <v>0</v>
      </c>
      <c r="W507" s="123">
        <v>0</v>
      </c>
      <c r="X507" s="123">
        <v>0</v>
      </c>
      <c r="Y507" s="123">
        <v>2</v>
      </c>
      <c r="Z507" s="132" t="s">
        <v>321</v>
      </c>
      <c r="AA507" s="123">
        <v>3</v>
      </c>
      <c r="AB507" s="123">
        <f t="shared" si="115"/>
        <v>3</v>
      </c>
      <c r="AC507" s="123">
        <f t="shared" si="116"/>
        <v>2</v>
      </c>
      <c r="AD507" s="114">
        <f t="shared" si="117"/>
        <v>1</v>
      </c>
      <c r="AE507" s="123">
        <f t="shared" si="118"/>
        <v>11</v>
      </c>
      <c r="AF507" s="132" t="s">
        <v>50</v>
      </c>
      <c r="AG507" s="123">
        <f t="shared" si="119"/>
        <v>3.59649122807017</v>
      </c>
      <c r="AH507" s="123">
        <f t="shared" si="120"/>
        <v>0.486425339366516</v>
      </c>
      <c r="AI507" s="123">
        <f t="shared" si="121"/>
        <v>1.42</v>
      </c>
      <c r="AJ507" s="266">
        <f t="shared" si="122"/>
        <v>8.79120006502216</v>
      </c>
      <c r="AK507" s="267">
        <f t="shared" si="123"/>
        <v>8.79120006502216</v>
      </c>
      <c r="AL507" s="267">
        <f>AK507+1.59*(135-AM507)</f>
        <v>8.79120006502216</v>
      </c>
      <c r="AM507" s="267">
        <f t="shared" si="124"/>
        <v>135</v>
      </c>
      <c r="AN507" s="123">
        <v>0</v>
      </c>
      <c r="AO507" s="114">
        <v>1</v>
      </c>
      <c r="AP507" s="123">
        <v>8.55</v>
      </c>
      <c r="AQ507" s="123">
        <v>88</v>
      </c>
      <c r="AR507" s="123">
        <v>1.42</v>
      </c>
      <c r="AS507" s="267">
        <v>29</v>
      </c>
      <c r="AT507" s="268">
        <v>61.5</v>
      </c>
      <c r="AU507" s="123">
        <v>43</v>
      </c>
      <c r="AV507" s="123">
        <v>144</v>
      </c>
      <c r="AZ507" s="132" t="s">
        <v>58</v>
      </c>
    </row>
    <row r="508" spans="1:52">
      <c r="A508" s="282" t="s">
        <v>1189</v>
      </c>
      <c r="B508" s="113" t="s">
        <v>48</v>
      </c>
      <c r="C508" s="113">
        <v>45</v>
      </c>
      <c r="D508" s="113">
        <v>1.73</v>
      </c>
      <c r="E508" s="113">
        <v>70</v>
      </c>
      <c r="F508" s="136">
        <f t="shared" si="114"/>
        <v>23.3886865581877</v>
      </c>
      <c r="G508" s="113">
        <v>6</v>
      </c>
      <c r="H508" s="281">
        <v>44971</v>
      </c>
      <c r="I508" s="158">
        <v>44971</v>
      </c>
      <c r="J508" s="158">
        <v>44978</v>
      </c>
      <c r="L508" s="137">
        <v>3</v>
      </c>
      <c r="M508" s="138">
        <v>7</v>
      </c>
      <c r="N508" s="270" t="s">
        <v>1418</v>
      </c>
      <c r="O508" s="114"/>
      <c r="P508" s="114">
        <v>1</v>
      </c>
      <c r="Q508" s="114"/>
      <c r="R508" s="114"/>
      <c r="S508" s="114"/>
      <c r="T508" s="114">
        <v>0</v>
      </c>
      <c r="U508" s="114">
        <v>0</v>
      </c>
      <c r="V508" s="114">
        <v>1</v>
      </c>
      <c r="W508" s="114">
        <v>0</v>
      </c>
      <c r="X508" s="114">
        <v>1</v>
      </c>
      <c r="Y508" s="114">
        <v>1</v>
      </c>
      <c r="Z508" s="116" t="s">
        <v>58</v>
      </c>
      <c r="AA508" s="114">
        <v>1</v>
      </c>
      <c r="AB508" s="114">
        <f t="shared" si="115"/>
        <v>1</v>
      </c>
      <c r="AC508" s="114">
        <f t="shared" si="116"/>
        <v>2</v>
      </c>
      <c r="AD508" s="114">
        <f t="shared" si="117"/>
        <v>1</v>
      </c>
      <c r="AE508" s="114">
        <f t="shared" si="118"/>
        <v>6</v>
      </c>
      <c r="AF508" s="116" t="s">
        <v>59</v>
      </c>
      <c r="AG508" s="114">
        <f t="shared" si="119"/>
        <v>1.52046783625731</v>
      </c>
      <c r="AI508" s="114">
        <f t="shared" si="121"/>
        <v>1.38</v>
      </c>
      <c r="AJ508" s="159">
        <f t="shared" si="122"/>
        <v>5.19960387384297</v>
      </c>
      <c r="AK508" s="160" t="str">
        <f t="shared" si="123"/>
        <v/>
      </c>
      <c r="AL508" s="160"/>
      <c r="AM508" s="160">
        <f t="shared" si="124"/>
        <v>132</v>
      </c>
      <c r="AN508" s="114">
        <v>0</v>
      </c>
      <c r="AO508" s="114"/>
      <c r="AP508" s="114">
        <v>3.22</v>
      </c>
      <c r="AQ508" s="114">
        <v>66</v>
      </c>
      <c r="AR508" s="114">
        <v>1.38</v>
      </c>
      <c r="AS508" s="160">
        <v>32</v>
      </c>
      <c r="AT508" s="161">
        <v>26</v>
      </c>
      <c r="AU508" s="114"/>
      <c r="AV508" s="114">
        <v>132</v>
      </c>
      <c r="AZ508" s="119" t="s">
        <v>1419</v>
      </c>
    </row>
    <row r="509" s="123" customFormat="1" spans="1:52">
      <c r="A509" s="284" t="s">
        <v>1420</v>
      </c>
      <c r="B509" s="285" t="s">
        <v>53</v>
      </c>
      <c r="C509" s="285">
        <v>45</v>
      </c>
      <c r="D509" s="285">
        <v>1.68</v>
      </c>
      <c r="E509" s="285">
        <v>50</v>
      </c>
      <c r="F509" s="189">
        <f t="shared" si="114"/>
        <v>17.7154195011338</v>
      </c>
      <c r="G509" s="285">
        <v>1</v>
      </c>
      <c r="H509" s="286">
        <v>44972</v>
      </c>
      <c r="I509" s="177">
        <v>44972</v>
      </c>
      <c r="J509" s="177">
        <v>44991</v>
      </c>
      <c r="L509" s="178">
        <v>1</v>
      </c>
      <c r="M509" s="178">
        <v>19</v>
      </c>
      <c r="N509" s="254" t="s">
        <v>1421</v>
      </c>
      <c r="O509" s="114">
        <v>1</v>
      </c>
      <c r="P509" s="114"/>
      <c r="Q509" s="114"/>
      <c r="R509" s="114"/>
      <c r="S509" s="114"/>
      <c r="T509" s="114">
        <v>1</v>
      </c>
      <c r="U509" s="114">
        <v>0</v>
      </c>
      <c r="V509" s="114">
        <v>1</v>
      </c>
      <c r="W509" s="114">
        <v>0</v>
      </c>
      <c r="X509" s="114">
        <v>1</v>
      </c>
      <c r="Y509" s="114">
        <v>1</v>
      </c>
      <c r="Z509" s="116" t="s">
        <v>321</v>
      </c>
      <c r="AA509" s="114">
        <v>3</v>
      </c>
      <c r="AB509" s="114">
        <f t="shared" si="115"/>
        <v>1</v>
      </c>
      <c r="AC509" s="114">
        <f t="shared" si="116"/>
        <v>2</v>
      </c>
      <c r="AD509" s="114">
        <f t="shared" si="117"/>
        <v>1</v>
      </c>
      <c r="AE509" s="114">
        <f t="shared" si="118"/>
        <v>8</v>
      </c>
      <c r="AF509" s="116" t="s">
        <v>63</v>
      </c>
      <c r="AG509" s="114">
        <f t="shared" si="119"/>
        <v>0.91812865497076</v>
      </c>
      <c r="AH509" s="114">
        <f>AU509/88.4</f>
        <v>0.678733031674208</v>
      </c>
      <c r="AI509" s="114">
        <f t="shared" si="121"/>
        <v>1.41</v>
      </c>
      <c r="AJ509" s="159">
        <f t="shared" si="122"/>
        <v>10.2482046891689</v>
      </c>
      <c r="AK509" s="160">
        <f t="shared" si="123"/>
        <v>10.2482046891689</v>
      </c>
      <c r="AL509" s="160">
        <f>AK509+1.59*(135-AM509)</f>
        <v>10.2482046891689</v>
      </c>
      <c r="AM509" s="160">
        <f t="shared" si="124"/>
        <v>135</v>
      </c>
      <c r="AN509" s="114">
        <v>1</v>
      </c>
      <c r="AO509" s="114">
        <v>1</v>
      </c>
      <c r="AP509" s="114">
        <v>1.1</v>
      </c>
      <c r="AQ509" s="114">
        <v>63</v>
      </c>
      <c r="AR509" s="114">
        <v>1.41</v>
      </c>
      <c r="AS509" s="160">
        <v>34</v>
      </c>
      <c r="AT509" s="161">
        <v>15.7</v>
      </c>
      <c r="AU509" s="114">
        <v>60</v>
      </c>
      <c r="AV509" s="114">
        <v>142</v>
      </c>
      <c r="AZ509" s="132" t="s">
        <v>1422</v>
      </c>
    </row>
    <row r="510" spans="1:52">
      <c r="A510" s="282" t="s">
        <v>1341</v>
      </c>
      <c r="B510" s="113" t="s">
        <v>53</v>
      </c>
      <c r="C510" s="113">
        <v>62</v>
      </c>
      <c r="D510" s="113">
        <v>1.6</v>
      </c>
      <c r="E510" s="113">
        <v>60</v>
      </c>
      <c r="F510" s="136">
        <f t="shared" si="114"/>
        <v>23.4375</v>
      </c>
      <c r="G510" s="113">
        <v>3</v>
      </c>
      <c r="H510" s="281">
        <v>44977</v>
      </c>
      <c r="I510" s="158">
        <v>44977</v>
      </c>
      <c r="J510" s="158">
        <v>44992</v>
      </c>
      <c r="L510" s="137">
        <v>2</v>
      </c>
      <c r="M510" s="138">
        <v>15</v>
      </c>
      <c r="N510" s="270" t="s">
        <v>1423</v>
      </c>
      <c r="O510" s="114"/>
      <c r="P510" s="114"/>
      <c r="Q510" s="114">
        <v>1</v>
      </c>
      <c r="R510" s="114">
        <v>1</v>
      </c>
      <c r="S510" s="114"/>
      <c r="T510" s="114">
        <v>1</v>
      </c>
      <c r="U510" s="114">
        <v>0</v>
      </c>
      <c r="V510" s="114">
        <v>1</v>
      </c>
      <c r="W510" s="114">
        <v>0</v>
      </c>
      <c r="X510" s="114">
        <v>1</v>
      </c>
      <c r="Y510" s="114">
        <v>1</v>
      </c>
      <c r="Z510" s="116" t="s">
        <v>321</v>
      </c>
      <c r="AA510" s="114">
        <v>3</v>
      </c>
      <c r="AB510" s="114">
        <f t="shared" si="115"/>
        <v>1</v>
      </c>
      <c r="AC510" s="114">
        <f t="shared" si="116"/>
        <v>2</v>
      </c>
      <c r="AD510" s="114">
        <f t="shared" si="117"/>
        <v>1</v>
      </c>
      <c r="AE510" s="114">
        <f t="shared" si="118"/>
        <v>8</v>
      </c>
      <c r="AF510" s="116" t="s">
        <v>63</v>
      </c>
      <c r="AG510" s="114">
        <f t="shared" si="119"/>
        <v>0.976608187134503</v>
      </c>
      <c r="AH510" s="114">
        <f>AU510/88.4</f>
        <v>0.599547511312217</v>
      </c>
      <c r="AI510" s="114">
        <f t="shared" si="121"/>
        <v>1.05</v>
      </c>
      <c r="AJ510" s="159">
        <f t="shared" si="122"/>
        <v>0.546449838697639</v>
      </c>
      <c r="AK510" s="160">
        <f t="shared" si="123"/>
        <v>0.546449838697639</v>
      </c>
      <c r="AL510" s="160">
        <f>AK510+1.59*(135-AM510)</f>
        <v>0.546449838697639</v>
      </c>
      <c r="AM510" s="160">
        <f t="shared" si="124"/>
        <v>135</v>
      </c>
      <c r="AN510" s="114">
        <v>0</v>
      </c>
      <c r="AO510" s="114">
        <v>1</v>
      </c>
      <c r="AP510" s="114">
        <v>4.61</v>
      </c>
      <c r="AQ510" s="114">
        <v>105</v>
      </c>
      <c r="AR510" s="114">
        <v>1.05</v>
      </c>
      <c r="AS510" s="160">
        <v>31</v>
      </c>
      <c r="AT510" s="161">
        <v>16.7</v>
      </c>
      <c r="AU510" s="114">
        <v>53</v>
      </c>
      <c r="AV510" s="114">
        <v>143</v>
      </c>
      <c r="AZ510" s="119" t="s">
        <v>1424</v>
      </c>
    </row>
    <row r="511" spans="1:52">
      <c r="A511" s="282" t="s">
        <v>1425</v>
      </c>
      <c r="B511" s="113" t="s">
        <v>48</v>
      </c>
      <c r="C511" s="113">
        <v>59</v>
      </c>
      <c r="D511" s="113">
        <v>1.73</v>
      </c>
      <c r="E511" s="113">
        <v>76</v>
      </c>
      <c r="F511" s="136">
        <f t="shared" si="114"/>
        <v>25.3934311203181</v>
      </c>
      <c r="G511" s="113">
        <v>3</v>
      </c>
      <c r="H511" s="281">
        <v>44977</v>
      </c>
      <c r="I511" s="281">
        <v>44977</v>
      </c>
      <c r="J511" s="158">
        <v>44984</v>
      </c>
      <c r="L511" s="137">
        <v>1</v>
      </c>
      <c r="M511" s="138">
        <v>7</v>
      </c>
      <c r="N511" s="270" t="s">
        <v>1426</v>
      </c>
      <c r="O511" s="114"/>
      <c r="P511" s="114"/>
      <c r="Q511" s="114"/>
      <c r="R511" s="114"/>
      <c r="S511" s="114">
        <v>1</v>
      </c>
      <c r="T511" s="114">
        <v>0</v>
      </c>
      <c r="U511" s="114">
        <v>0</v>
      </c>
      <c r="V511" s="114">
        <v>0</v>
      </c>
      <c r="W511" s="114">
        <v>0</v>
      </c>
      <c r="X511" s="114">
        <v>1</v>
      </c>
      <c r="Y511" s="114">
        <v>1</v>
      </c>
      <c r="Z511" s="116" t="s">
        <v>58</v>
      </c>
      <c r="AA511" s="114">
        <v>1</v>
      </c>
      <c r="AB511" s="114">
        <f t="shared" si="115"/>
        <v>1</v>
      </c>
      <c r="AC511" s="114">
        <f t="shared" si="116"/>
        <v>1</v>
      </c>
      <c r="AD511" s="114">
        <f t="shared" si="117"/>
        <v>1</v>
      </c>
      <c r="AE511" s="114">
        <f t="shared" si="118"/>
        <v>5</v>
      </c>
      <c r="AF511" s="116" t="s">
        <v>59</v>
      </c>
      <c r="AG511" s="114">
        <f t="shared" si="119"/>
        <v>0.660818713450292</v>
      </c>
      <c r="AH511" s="114">
        <f>AU511/88.4</f>
        <v>0.8710407239819</v>
      </c>
      <c r="AI511" s="114">
        <f t="shared" si="121"/>
        <v>1.26</v>
      </c>
      <c r="AJ511" s="159">
        <f t="shared" si="122"/>
        <v>8.98845127478993</v>
      </c>
      <c r="AK511" s="160">
        <f t="shared" si="123"/>
        <v>8.98845127478993</v>
      </c>
      <c r="AL511" s="160">
        <f>AK511+1.59*(135-AM511)</f>
        <v>8.98845127478993</v>
      </c>
      <c r="AM511" s="160">
        <f t="shared" si="124"/>
        <v>135</v>
      </c>
      <c r="AN511" s="114">
        <v>1</v>
      </c>
      <c r="AO511" s="114">
        <v>1</v>
      </c>
      <c r="AP511" s="114">
        <v>2.4</v>
      </c>
      <c r="AQ511" s="114">
        <v>102</v>
      </c>
      <c r="AR511" s="114">
        <v>1.26</v>
      </c>
      <c r="AS511" s="160">
        <v>36</v>
      </c>
      <c r="AT511" s="161">
        <v>11.3</v>
      </c>
      <c r="AU511" s="114">
        <v>77</v>
      </c>
      <c r="AV511" s="114">
        <v>144</v>
      </c>
      <c r="AZ511" s="119" t="s">
        <v>1427</v>
      </c>
    </row>
    <row r="512" s="125" customFormat="1" spans="1:52">
      <c r="A512" s="295" t="s">
        <v>848</v>
      </c>
      <c r="B512" s="272" t="s">
        <v>53</v>
      </c>
      <c r="C512" s="272">
        <v>68</v>
      </c>
      <c r="D512" s="272">
        <v>1.6</v>
      </c>
      <c r="E512" s="272">
        <v>50</v>
      </c>
      <c r="F512" s="216">
        <f t="shared" si="114"/>
        <v>19.53125</v>
      </c>
      <c r="G512" s="272">
        <v>7</v>
      </c>
      <c r="H512" s="296">
        <v>44979</v>
      </c>
      <c r="I512" s="186">
        <v>44979</v>
      </c>
      <c r="J512" s="186">
        <v>44999</v>
      </c>
      <c r="L512" s="187">
        <v>5</v>
      </c>
      <c r="M512" s="187">
        <v>20</v>
      </c>
      <c r="N512" s="248" t="s">
        <v>1428</v>
      </c>
      <c r="R512" s="131" t="s">
        <v>1083</v>
      </c>
      <c r="T512" s="125">
        <v>1</v>
      </c>
      <c r="U512" s="125">
        <v>0</v>
      </c>
      <c r="V512" s="125">
        <v>1</v>
      </c>
      <c r="W512" s="125">
        <v>0</v>
      </c>
      <c r="X512" s="125">
        <v>1</v>
      </c>
      <c r="Y512" s="125">
        <v>1</v>
      </c>
      <c r="Z512" s="131" t="s">
        <v>1376</v>
      </c>
      <c r="AA512" s="125">
        <v>2</v>
      </c>
      <c r="AB512" s="125">
        <f t="shared" si="115"/>
        <v>1</v>
      </c>
      <c r="AC512" s="125">
        <f t="shared" si="116"/>
        <v>2</v>
      </c>
      <c r="AD512" s="125">
        <f t="shared" si="117"/>
        <v>1</v>
      </c>
      <c r="AE512" s="125">
        <f t="shared" si="118"/>
        <v>7</v>
      </c>
      <c r="AF512" s="131" t="s">
        <v>63</v>
      </c>
      <c r="AG512" s="125">
        <f>AT512/17.1</f>
        <v>1.90643274853801</v>
      </c>
      <c r="AH512" s="125">
        <f>AU512/88.4</f>
        <v>0.995475113122172</v>
      </c>
      <c r="AI512" s="125">
        <f t="shared" si="121"/>
        <v>1.34</v>
      </c>
      <c r="AJ512" s="240">
        <f t="shared" si="122"/>
        <v>5.72978821086697</v>
      </c>
      <c r="AK512" s="241">
        <f t="shared" si="123"/>
        <v>5.72978821086697</v>
      </c>
      <c r="AL512" s="241">
        <f>AK512+1.59*(135-AM512)</f>
        <v>10.499788210867</v>
      </c>
      <c r="AM512" s="241">
        <f t="shared" si="124"/>
        <v>132</v>
      </c>
      <c r="AN512" s="125">
        <v>0</v>
      </c>
      <c r="AO512" s="125">
        <v>1</v>
      </c>
      <c r="AP512" s="125">
        <v>3.46</v>
      </c>
      <c r="AQ512" s="125">
        <v>72</v>
      </c>
      <c r="AR512" s="125">
        <v>1.34</v>
      </c>
      <c r="AS512" s="241">
        <v>28</v>
      </c>
      <c r="AT512" s="242">
        <v>32.6</v>
      </c>
      <c r="AU512" s="125">
        <v>88</v>
      </c>
      <c r="AV512" s="125">
        <v>132</v>
      </c>
      <c r="AZ512" s="131" t="s">
        <v>1429</v>
      </c>
    </row>
    <row r="513" s="125" customFormat="1" spans="1:52">
      <c r="A513" s="295" t="s">
        <v>857</v>
      </c>
      <c r="B513" s="272" t="s">
        <v>48</v>
      </c>
      <c r="C513" s="272">
        <v>73</v>
      </c>
      <c r="D513" s="272">
        <v>1.72</v>
      </c>
      <c r="E513" s="272">
        <v>80</v>
      </c>
      <c r="F513" s="216">
        <f t="shared" si="114"/>
        <v>27.0416441319632</v>
      </c>
      <c r="G513" s="272">
        <v>6</v>
      </c>
      <c r="H513" s="296">
        <v>44981</v>
      </c>
      <c r="I513" s="186">
        <v>44981</v>
      </c>
      <c r="J513" s="186">
        <v>44995</v>
      </c>
      <c r="L513" s="187">
        <v>7</v>
      </c>
      <c r="M513" s="187">
        <v>14</v>
      </c>
      <c r="N513" s="248" t="s">
        <v>1430</v>
      </c>
      <c r="O513" s="114"/>
      <c r="P513" s="114">
        <v>1</v>
      </c>
      <c r="Q513" s="114"/>
      <c r="R513" s="114"/>
      <c r="S513" s="114"/>
      <c r="T513" s="114">
        <v>1</v>
      </c>
      <c r="U513" s="114">
        <v>1</v>
      </c>
      <c r="V513" s="114">
        <v>1</v>
      </c>
      <c r="W513" s="114">
        <v>0</v>
      </c>
      <c r="X513" s="114">
        <v>1</v>
      </c>
      <c r="Y513" s="114">
        <v>2</v>
      </c>
      <c r="Z513" s="116" t="s">
        <v>321</v>
      </c>
      <c r="AA513" s="114">
        <v>3</v>
      </c>
      <c r="AB513" s="114">
        <f t="shared" si="115"/>
        <v>1</v>
      </c>
      <c r="AC513" s="114">
        <f t="shared" si="116"/>
        <v>3</v>
      </c>
      <c r="AD513" s="114">
        <f t="shared" si="117"/>
        <v>1</v>
      </c>
      <c r="AE513" s="114">
        <f t="shared" si="118"/>
        <v>10</v>
      </c>
      <c r="AF513" s="116" t="s">
        <v>50</v>
      </c>
      <c r="AG513" s="114">
        <f>AT513/17.1</f>
        <v>1.57309941520468</v>
      </c>
      <c r="AH513" s="114">
        <f>AU513/88.4</f>
        <v>1.91176470588235</v>
      </c>
      <c r="AI513" s="114">
        <f t="shared" si="121"/>
        <v>1.59</v>
      </c>
      <c r="AJ513" s="159">
        <f t="shared" si="122"/>
        <v>13.1364594642598</v>
      </c>
      <c r="AK513" s="160">
        <f t="shared" si="123"/>
        <v>13.1364594642598</v>
      </c>
      <c r="AL513" s="160">
        <f>AK513+1.59*(135-AM513)</f>
        <v>13.1364594642598</v>
      </c>
      <c r="AM513" s="160">
        <f t="shared" si="124"/>
        <v>135</v>
      </c>
      <c r="AN513" s="114">
        <v>0</v>
      </c>
      <c r="AO513" s="114">
        <v>1</v>
      </c>
      <c r="AP513" s="114">
        <v>3.54</v>
      </c>
      <c r="AQ513" s="114">
        <v>43</v>
      </c>
      <c r="AR513" s="114">
        <v>1.59</v>
      </c>
      <c r="AS513" s="160">
        <v>27</v>
      </c>
      <c r="AT513" s="161">
        <v>26.9</v>
      </c>
      <c r="AU513" s="114">
        <v>169</v>
      </c>
      <c r="AV513" s="114">
        <v>138</v>
      </c>
      <c r="AZ513" s="131" t="s">
        <v>1431</v>
      </c>
    </row>
    <row r="514" spans="1:52">
      <c r="A514" s="282" t="s">
        <v>1432</v>
      </c>
      <c r="B514" s="113" t="s">
        <v>53</v>
      </c>
      <c r="C514" s="113">
        <v>63</v>
      </c>
      <c r="D514" s="113">
        <v>1.7</v>
      </c>
      <c r="E514" s="113">
        <v>59</v>
      </c>
      <c r="F514" s="136">
        <f>E514/(D514*D514)</f>
        <v>20.4152249134948</v>
      </c>
      <c r="G514" s="113">
        <v>0</v>
      </c>
      <c r="H514" s="281">
        <v>44960</v>
      </c>
      <c r="I514" s="158">
        <v>44960</v>
      </c>
      <c r="J514" s="158">
        <v>44965</v>
      </c>
      <c r="L514" s="137">
        <v>3</v>
      </c>
      <c r="M514" s="138">
        <v>5</v>
      </c>
      <c r="N514" s="270" t="s">
        <v>1433</v>
      </c>
      <c r="O514" s="114"/>
      <c r="P514" s="114"/>
      <c r="Q514" s="114">
        <v>1</v>
      </c>
      <c r="R514" s="114"/>
      <c r="S514" s="114"/>
      <c r="T514" s="114">
        <v>0</v>
      </c>
      <c r="U514" s="114">
        <v>0</v>
      </c>
      <c r="V514" s="114">
        <v>0</v>
      </c>
      <c r="W514" s="114">
        <v>0</v>
      </c>
      <c r="X514" s="114">
        <v>0</v>
      </c>
      <c r="Y514" s="114">
        <v>1</v>
      </c>
      <c r="Z514" s="116" t="s">
        <v>58</v>
      </c>
      <c r="AA514" s="114">
        <v>1</v>
      </c>
      <c r="AB514" s="114">
        <f>_xlfn.IFS(AT514&gt;51,3,AT514&gt;=34,2,AT514&lt;34,1)</f>
        <v>1</v>
      </c>
      <c r="AC514" s="114">
        <f>_xlfn.IFS(AS514&gt;35,1,AS514&gt;=28,2,AS514&lt;28,3)</f>
        <v>1</v>
      </c>
      <c r="AD514" s="114">
        <f>_xlfn.IFS(AR514&gt;2.3,3,AR514&gt;=1.7,2,AR514&lt;1.7,1)</f>
        <v>1</v>
      </c>
      <c r="AE514" s="114">
        <f>Y514+AA514+AB514+AC514+AD514</f>
        <v>5</v>
      </c>
      <c r="AF514" s="116" t="s">
        <v>59</v>
      </c>
      <c r="AG514" s="114">
        <f>AT514/17.1</f>
        <v>0.742690058479532</v>
      </c>
      <c r="AH514" s="114">
        <f>AU514/88.4</f>
        <v>0.588235294117647</v>
      </c>
      <c r="AI514" s="114">
        <f>AR514</f>
        <v>0.97</v>
      </c>
      <c r="AJ514" s="159">
        <f>LN(IF(AG514&gt;=1,AG514,1))*3.8+LN(IF(AH514&gt;=1,AH514,1))*9.6+11.2*LN(IF(AI514&gt;=1,AI514,1))+6.4*AN514</f>
        <v>6.4</v>
      </c>
      <c r="AK514" s="160">
        <f>IF(AND(AG514&gt;0,AH514&gt;0,AI514&gt;0),AJ514,"")</f>
        <v>6.4</v>
      </c>
      <c r="AL514" s="160">
        <f>AK514+1.59*(135-AM514)</f>
        <v>6.4</v>
      </c>
      <c r="AM514" s="160">
        <f>IF(AV514&gt;135,135,IF(AV514&lt;120,120,AV514))</f>
        <v>135</v>
      </c>
      <c r="AN514" s="114">
        <v>1</v>
      </c>
      <c r="AO514" s="114">
        <v>1</v>
      </c>
      <c r="AP514" s="114">
        <v>3.66</v>
      </c>
      <c r="AQ514" s="114">
        <v>122</v>
      </c>
      <c r="AR514" s="114">
        <v>0.97</v>
      </c>
      <c r="AS514" s="160">
        <v>41</v>
      </c>
      <c r="AT514" s="161">
        <v>12.7</v>
      </c>
      <c r="AU514" s="114">
        <v>52</v>
      </c>
      <c r="AV514" s="114">
        <v>140</v>
      </c>
      <c r="AZ514" s="119" t="s">
        <v>1434</v>
      </c>
    </row>
    <row r="515" s="128" customFormat="1" spans="1:52">
      <c r="A515" s="300" t="s">
        <v>1435</v>
      </c>
      <c r="B515" s="301" t="s">
        <v>53</v>
      </c>
      <c r="C515" s="301">
        <v>94</v>
      </c>
      <c r="D515" s="301">
        <v>1.6</v>
      </c>
      <c r="E515" s="301">
        <v>42</v>
      </c>
      <c r="F515" s="205">
        <f>E515/(D515*D515)</f>
        <v>16.40625</v>
      </c>
      <c r="G515" s="301">
        <v>2</v>
      </c>
      <c r="H515" s="302">
        <v>44960</v>
      </c>
      <c r="I515" s="206">
        <v>44960</v>
      </c>
      <c r="J515" s="206">
        <v>44980</v>
      </c>
      <c r="L515" s="207">
        <v>3</v>
      </c>
      <c r="M515" s="207">
        <v>20</v>
      </c>
      <c r="N515" s="303" t="s">
        <v>1436</v>
      </c>
      <c r="O515" s="114"/>
      <c r="P515" s="114"/>
      <c r="Q515" s="114"/>
      <c r="R515" s="114"/>
      <c r="S515" s="114">
        <v>1</v>
      </c>
      <c r="T515" s="114">
        <v>1</v>
      </c>
      <c r="U515" s="114">
        <v>1</v>
      </c>
      <c r="V515" s="114">
        <v>1</v>
      </c>
      <c r="W515" s="114">
        <v>0</v>
      </c>
      <c r="X515" s="114">
        <v>1</v>
      </c>
      <c r="Y515" s="114">
        <v>2</v>
      </c>
      <c r="Z515" s="116" t="s">
        <v>321</v>
      </c>
      <c r="AA515" s="114">
        <v>3</v>
      </c>
      <c r="AB515" s="114">
        <f>_xlfn.IFS(AT515&gt;51,3,AT515&gt;=34,2,AT515&lt;34,1)</f>
        <v>1</v>
      </c>
      <c r="AC515" s="114">
        <f>_xlfn.IFS(AS515&gt;35,1,AS515&gt;=28,2,AS515&lt;28,3)</f>
        <v>3</v>
      </c>
      <c r="AD515" s="114">
        <f>_xlfn.IFS(AR515&gt;2.3,3,AR515&gt;=1.7,2,AR515&lt;1.7,1)</f>
        <v>1</v>
      </c>
      <c r="AE515" s="114">
        <f>Y515+AA515+AB515+AC515+AD515</f>
        <v>10</v>
      </c>
      <c r="AF515" s="116" t="s">
        <v>50</v>
      </c>
      <c r="AG515" s="114">
        <f>AT515/17.1</f>
        <v>0.672514619883041</v>
      </c>
      <c r="AH515" s="114">
        <f>AU515/88.4</f>
        <v>0.565610859728507</v>
      </c>
      <c r="AI515" s="114">
        <f>AR515</f>
        <v>1.3</v>
      </c>
      <c r="AJ515" s="159">
        <f>LN(IF(AG515&gt;=1,AG515,1))*3.8+LN(IF(AH515&gt;=1,AH515,1))*9.6+11.2*LN(IF(AI515&gt;=1,AI515,1))+6.4*AN515</f>
        <v>9.3384797620359</v>
      </c>
      <c r="AK515" s="160">
        <f>IF(AND(AG515&gt;0,AH515&gt;0,AI515&gt;0),AJ515,"")</f>
        <v>9.3384797620359</v>
      </c>
      <c r="AL515" s="160">
        <f>AK515+1.59*(135-AM515)</f>
        <v>9.3384797620359</v>
      </c>
      <c r="AM515" s="160">
        <f>IF(AV515&gt;135,135,IF(AV515&lt;120,120,AV515))</f>
        <v>135</v>
      </c>
      <c r="AN515" s="114">
        <v>1</v>
      </c>
      <c r="AO515" s="114">
        <v>1</v>
      </c>
      <c r="AP515" s="114">
        <v>4</v>
      </c>
      <c r="AQ515" s="114">
        <v>53</v>
      </c>
      <c r="AR515" s="114">
        <v>1.3</v>
      </c>
      <c r="AS515" s="160">
        <v>23</v>
      </c>
      <c r="AT515" s="161">
        <v>11.5</v>
      </c>
      <c r="AU515" s="114">
        <v>50</v>
      </c>
      <c r="AV515" s="114">
        <v>138</v>
      </c>
      <c r="AZ515" s="209" t="s">
        <v>1437</v>
      </c>
    </row>
    <row r="516" spans="1:52">
      <c r="A516" s="282" t="s">
        <v>1438</v>
      </c>
      <c r="B516" s="113" t="s">
        <v>53</v>
      </c>
      <c r="C516" s="113">
        <v>63</v>
      </c>
      <c r="D516" s="113">
        <v>1.64</v>
      </c>
      <c r="E516" s="113">
        <v>66</v>
      </c>
      <c r="F516" s="136">
        <f>E516/(D516*D516)</f>
        <v>24.5389649018441</v>
      </c>
      <c r="G516" s="113">
        <v>0</v>
      </c>
      <c r="H516" s="281">
        <v>44961</v>
      </c>
      <c r="I516" s="158">
        <v>44961</v>
      </c>
      <c r="J516" s="158">
        <v>44970</v>
      </c>
      <c r="L516" s="137">
        <v>1</v>
      </c>
      <c r="M516" s="138">
        <v>9</v>
      </c>
      <c r="N516" s="270" t="s">
        <v>1439</v>
      </c>
      <c r="O516" s="114"/>
      <c r="P516" s="114"/>
      <c r="Q516" s="116" t="s">
        <v>1083</v>
      </c>
      <c r="R516" s="116"/>
      <c r="S516" s="116" t="s">
        <v>1083</v>
      </c>
      <c r="T516" s="114">
        <v>1</v>
      </c>
      <c r="U516" s="114">
        <v>0</v>
      </c>
      <c r="V516" s="114">
        <v>0</v>
      </c>
      <c r="W516" s="114">
        <v>0</v>
      </c>
      <c r="X516" s="114">
        <v>1</v>
      </c>
      <c r="Y516" s="114">
        <v>1</v>
      </c>
      <c r="Z516" s="116" t="s">
        <v>307</v>
      </c>
      <c r="AA516" s="114">
        <v>3</v>
      </c>
      <c r="AB516" s="114">
        <f>_xlfn.IFS(AT516&gt;51,3,AT516&gt;=34,2,AT516&lt;34,1)</f>
        <v>1</v>
      </c>
      <c r="AC516" s="114">
        <f>_xlfn.IFS(AS516&gt;35,1,AS516&gt;=28,2,AS516&lt;28,3)</f>
        <v>2</v>
      </c>
      <c r="AD516" s="114">
        <f>_xlfn.IFS(AR516&gt;2.3,3,AR516&gt;=1.7,2,AR516&lt;1.7,1)</f>
        <v>1</v>
      </c>
      <c r="AE516" s="114">
        <f>Y516+AA516+AB516+AC516+AD516</f>
        <v>8</v>
      </c>
      <c r="AF516" s="116" t="s">
        <v>63</v>
      </c>
      <c r="AG516" s="114">
        <f>AT516/17.1</f>
        <v>1.23391812865497</v>
      </c>
      <c r="AH516" s="114">
        <f>AU516/88.4</f>
        <v>0.712669683257918</v>
      </c>
      <c r="AI516" s="114">
        <f>AR516</f>
        <v>1.02</v>
      </c>
      <c r="AJ516" s="159">
        <f>LN(IF(AG516&gt;=1,AG516,1))*3.8+LN(IF(AH516&gt;=1,AH516,1))*9.6+11.2*LN(IF(AI516&gt;=1,AI516,1))+6.4*AN516</f>
        <v>7.42052881821616</v>
      </c>
      <c r="AK516" s="160">
        <f>IF(AND(AG516&gt;0,AH516&gt;0,AI516&gt;0),AJ516,"")</f>
        <v>7.42052881821616</v>
      </c>
      <c r="AL516" s="160">
        <f>AK516+1.59*(135-AM516)</f>
        <v>7.42052881821616</v>
      </c>
      <c r="AM516" s="160">
        <f>IF(AV516&gt;135,135,IF(AV516&lt;120,120,AV516))</f>
        <v>135</v>
      </c>
      <c r="AN516" s="114">
        <v>1</v>
      </c>
      <c r="AO516" s="114">
        <v>1</v>
      </c>
      <c r="AP516" s="114">
        <v>2.8</v>
      </c>
      <c r="AQ516" s="114">
        <v>117</v>
      </c>
      <c r="AR516" s="114">
        <v>1.02</v>
      </c>
      <c r="AS516" s="160">
        <v>32</v>
      </c>
      <c r="AT516" s="161">
        <v>21.1</v>
      </c>
      <c r="AU516" s="114">
        <v>63</v>
      </c>
      <c r="AV516" s="114">
        <v>146</v>
      </c>
      <c r="AZ516" s="119" t="s">
        <v>1440</v>
      </c>
    </row>
    <row r="517" s="123" customFormat="1" spans="1:52">
      <c r="A517" s="284" t="s">
        <v>910</v>
      </c>
      <c r="B517" s="285" t="s">
        <v>48</v>
      </c>
      <c r="C517" s="285">
        <v>55</v>
      </c>
      <c r="D517" s="285">
        <v>1.74</v>
      </c>
      <c r="E517" s="285">
        <v>85</v>
      </c>
      <c r="F517" s="189">
        <f>E517/(D517*D517)</f>
        <v>28.075042938301</v>
      </c>
      <c r="G517" s="285">
        <v>1</v>
      </c>
      <c r="H517" s="286">
        <v>44966</v>
      </c>
      <c r="I517" s="177">
        <v>44966</v>
      </c>
      <c r="J517" s="177">
        <v>44979</v>
      </c>
      <c r="L517" s="178">
        <v>4</v>
      </c>
      <c r="M517" s="178">
        <v>13</v>
      </c>
      <c r="N517" s="254" t="s">
        <v>1441</v>
      </c>
      <c r="O517" s="114"/>
      <c r="P517" s="114">
        <v>1</v>
      </c>
      <c r="Q517" s="116" t="s">
        <v>1083</v>
      </c>
      <c r="R517" s="114"/>
      <c r="S517" s="114"/>
      <c r="T517" s="114">
        <v>1</v>
      </c>
      <c r="U517" s="114">
        <v>1</v>
      </c>
      <c r="V517" s="114">
        <v>1</v>
      </c>
      <c r="W517" s="114">
        <v>0</v>
      </c>
      <c r="X517" s="114">
        <v>1</v>
      </c>
      <c r="Y517" s="114">
        <v>2</v>
      </c>
      <c r="Z517" s="116" t="s">
        <v>321</v>
      </c>
      <c r="AA517" s="114">
        <v>3</v>
      </c>
      <c r="AB517" s="114">
        <f>_xlfn.IFS(AT517&gt;51,3,AT517&gt;=34,2,AT517&lt;34,1)</f>
        <v>3</v>
      </c>
      <c r="AC517" s="114">
        <f>_xlfn.IFS(AS517&gt;35,1,AS517&gt;=28,2,AS517&lt;28,3)</f>
        <v>3</v>
      </c>
      <c r="AD517" s="114">
        <v>2</v>
      </c>
      <c r="AE517" s="114">
        <f>Y517+AA517+AB517+AC517+AD517</f>
        <v>13</v>
      </c>
      <c r="AF517" s="116" t="s">
        <v>50</v>
      </c>
      <c r="AG517" s="114">
        <f>AT517/17.1</f>
        <v>8.53801169590643</v>
      </c>
      <c r="AH517" s="114">
        <f>AU517/88.4</f>
        <v>1.24434389140271</v>
      </c>
      <c r="AI517" s="114">
        <f>AR517</f>
        <v>1.78</v>
      </c>
      <c r="AJ517" s="159">
        <f>LN(IF(AG517&gt;=1,AG517,1))*3.8+LN(IF(AH517&gt;=1,AH517,1))*9.6+11.2*LN(IF(AI517&gt;=1,AI517,1))+6.4*AN517</f>
        <v>16.7059172843923</v>
      </c>
      <c r="AK517" s="160">
        <f>IF(AND(AG517&gt;0,AH517&gt;0,AI517&gt;0),AJ517,"")</f>
        <v>16.7059172843923</v>
      </c>
      <c r="AL517" s="160">
        <f>AK517+1.59*(135-AM517)</f>
        <v>19.8859172843923</v>
      </c>
      <c r="AM517" s="160">
        <f>IF(AV517&gt;135,135,IF(AV517&lt;120,120,AV517))</f>
        <v>133</v>
      </c>
      <c r="AN517" s="114">
        <v>0</v>
      </c>
      <c r="AO517" s="114">
        <v>2</v>
      </c>
      <c r="AP517" s="114">
        <v>6.22</v>
      </c>
      <c r="AQ517" s="114">
        <v>95</v>
      </c>
      <c r="AR517" s="114">
        <v>1.78</v>
      </c>
      <c r="AS517" s="160">
        <v>23</v>
      </c>
      <c r="AT517" s="161">
        <v>146</v>
      </c>
      <c r="AU517" s="114">
        <v>110</v>
      </c>
      <c r="AV517" s="114">
        <v>133</v>
      </c>
      <c r="AZ517" s="132" t="s">
        <v>1442</v>
      </c>
    </row>
    <row r="518" spans="1:52">
      <c r="A518" s="282" t="s">
        <v>1443</v>
      </c>
      <c r="B518" s="113" t="s">
        <v>53</v>
      </c>
      <c r="C518" s="113">
        <v>58</v>
      </c>
      <c r="D518" s="113">
        <v>1.64</v>
      </c>
      <c r="E518" s="113">
        <v>91</v>
      </c>
      <c r="F518" s="136">
        <f>E518/(D518*D518)</f>
        <v>33.8340273646639</v>
      </c>
      <c r="G518" s="113">
        <v>1</v>
      </c>
      <c r="H518" s="281">
        <v>44981</v>
      </c>
      <c r="I518" s="158">
        <v>44981</v>
      </c>
      <c r="J518" s="158">
        <v>44996</v>
      </c>
      <c r="L518" s="137">
        <v>1</v>
      </c>
      <c r="M518" s="138">
        <v>15</v>
      </c>
      <c r="N518" s="270" t="s">
        <v>1444</v>
      </c>
      <c r="O518" s="114"/>
      <c r="P518" s="114"/>
      <c r="Q518" s="116" t="s">
        <v>1083</v>
      </c>
      <c r="R518" s="114"/>
      <c r="S518" s="116" t="s">
        <v>1083</v>
      </c>
      <c r="T518" s="114">
        <v>1</v>
      </c>
      <c r="U518" s="114">
        <v>0</v>
      </c>
      <c r="V518" s="114">
        <v>1</v>
      </c>
      <c r="W518" s="114">
        <v>0</v>
      </c>
      <c r="X518" s="114">
        <v>1</v>
      </c>
      <c r="Y518" s="114">
        <v>1</v>
      </c>
      <c r="Z518" s="116" t="s">
        <v>300</v>
      </c>
      <c r="AA518" s="114">
        <v>2</v>
      </c>
      <c r="AB518" s="114">
        <f>_xlfn.IFS(AT518&gt;51,3,AT518&gt;=34,2,AT518&lt;34,1)</f>
        <v>2</v>
      </c>
      <c r="AC518" s="114">
        <f>_xlfn.IFS(AS518&gt;35,1,AS518&gt;=28,2,AS518&lt;28,3)</f>
        <v>3</v>
      </c>
      <c r="AD518" s="114">
        <f>_xlfn.IFS(AR518&gt;2.3,3,AR518&gt;=1.7,2,AR518&lt;1.7,1)</f>
        <v>3</v>
      </c>
      <c r="AE518" s="114">
        <f>Y518+AA518+AB518+AC518+AD518</f>
        <v>11</v>
      </c>
      <c r="AF518" s="116" t="s">
        <v>50</v>
      </c>
      <c r="AG518" s="114">
        <f>AT518/17.1</f>
        <v>2.34502923976608</v>
      </c>
      <c r="AH518" s="114">
        <f>AU518/88.4</f>
        <v>0.644796380090498</v>
      </c>
      <c r="AI518" s="114">
        <f>AR518</f>
        <v>2.32</v>
      </c>
      <c r="AJ518" s="159">
        <f>LN(IF(AG518&gt;=1,AG518,1))*3.8+LN(IF(AH518&gt;=1,AH518,1))*9.6+11.2*LN(IF(AI518&gt;=1,AI518,1))+6.4*AN518</f>
        <v>19.0642843886509</v>
      </c>
      <c r="AK518" s="160">
        <f>IF(AND(AG518&gt;0,AH518&gt;0,AI518&gt;0),AJ518,"")</f>
        <v>19.0642843886509</v>
      </c>
      <c r="AL518" s="160">
        <f>AK518+1.59*(135-AM518)</f>
        <v>19.0642843886509</v>
      </c>
      <c r="AM518" s="160">
        <f>IF(AV518&gt;135,135,IF(AV518&lt;120,120,AV518))</f>
        <v>135</v>
      </c>
      <c r="AN518" s="114">
        <v>1</v>
      </c>
      <c r="AO518" s="114">
        <v>3</v>
      </c>
      <c r="AP518" s="114">
        <v>3.39</v>
      </c>
      <c r="AQ518" s="114">
        <v>112</v>
      </c>
      <c r="AR518" s="114">
        <v>2.32</v>
      </c>
      <c r="AS518" s="160">
        <v>20</v>
      </c>
      <c r="AT518" s="161">
        <v>40.1</v>
      </c>
      <c r="AU518" s="114">
        <v>57</v>
      </c>
      <c r="AV518" s="114">
        <v>143</v>
      </c>
      <c r="AZ518" s="119" t="s">
        <v>1445</v>
      </c>
    </row>
    <row r="519" s="123" customFormat="1" spans="1:52">
      <c r="A519" s="284" t="s">
        <v>1446</v>
      </c>
      <c r="B519" s="285" t="s">
        <v>48</v>
      </c>
      <c r="C519" s="285">
        <v>63</v>
      </c>
      <c r="D519" s="285">
        <v>1.6</v>
      </c>
      <c r="E519" s="285">
        <v>55</v>
      </c>
      <c r="F519" s="189">
        <f>E519/(D519*D519)</f>
        <v>21.484375</v>
      </c>
      <c r="G519" s="285">
        <v>6</v>
      </c>
      <c r="H519" s="286">
        <v>44982</v>
      </c>
      <c r="I519" s="177">
        <v>44617</v>
      </c>
      <c r="J519" s="177">
        <v>44629</v>
      </c>
      <c r="K519" s="123"/>
      <c r="L519" s="178">
        <v>2</v>
      </c>
      <c r="M519" s="178">
        <v>16</v>
      </c>
      <c r="N519" s="254" t="s">
        <v>1447</v>
      </c>
      <c r="O519" s="123"/>
      <c r="P519" s="123">
        <v>1</v>
      </c>
      <c r="Q519" s="123"/>
      <c r="R519" s="123"/>
      <c r="S519" s="123"/>
      <c r="T519" s="123">
        <v>1</v>
      </c>
      <c r="U519" s="123">
        <v>0</v>
      </c>
      <c r="V519" s="123">
        <v>0</v>
      </c>
      <c r="W519" s="123">
        <v>0</v>
      </c>
      <c r="X519" s="123">
        <v>1</v>
      </c>
      <c r="Y519" s="123">
        <v>1</v>
      </c>
      <c r="Z519" s="132" t="s">
        <v>300</v>
      </c>
      <c r="AA519" s="123">
        <v>2</v>
      </c>
      <c r="AB519" s="123">
        <f>_xlfn.IFS(AT519&gt;51,3,AT519&gt;=34,2,AT519&lt;34,1)</f>
        <v>1</v>
      </c>
      <c r="AC519" s="123">
        <f>_xlfn.IFS(AS519&gt;35,1,AS519&gt;=28,2,AS519&lt;28,3)</f>
        <v>2</v>
      </c>
      <c r="AD519" s="123">
        <f>_xlfn.IFS(AR519&gt;2.3,3,AR519&gt;=1.7,2,AR519&lt;1.7,1)</f>
        <v>1</v>
      </c>
      <c r="AE519" s="123">
        <f>Y519+AA519+AB519+AC519+AD519</f>
        <v>7</v>
      </c>
      <c r="AF519" s="132" t="s">
        <v>63</v>
      </c>
      <c r="AG519" s="123">
        <f>AT519/17.1</f>
        <v>0.274853801169591</v>
      </c>
      <c r="AH519" s="123">
        <f>AU519/88.4</f>
        <v>0.576923076923077</v>
      </c>
      <c r="AI519" s="123">
        <f>AR519</f>
        <v>1.09</v>
      </c>
      <c r="AJ519" s="266">
        <f>LN(IF(AG519&gt;=1,AG519,1))*3.8+LN(IF(AH519&gt;=1,AH519,1))*9.6+11.2*LN(IF(AI519&gt;=1,AI519,1))+6.4*AN519</f>
        <v>0.965190197899787</v>
      </c>
      <c r="AK519" s="267">
        <f>IF(AND(AG519&gt;0,AH519&gt;0,AI519&gt;0),AJ519,"")</f>
        <v>0.965190197899787</v>
      </c>
      <c r="AL519" s="267">
        <f>AK519+1.59*(135-AM519)</f>
        <v>0.965190197899787</v>
      </c>
      <c r="AM519" s="267">
        <f>IF(AV519&gt;135,135,IF(AV519&lt;120,120,AV519))</f>
        <v>135</v>
      </c>
      <c r="AN519" s="123">
        <v>0</v>
      </c>
      <c r="AO519" s="123">
        <v>1</v>
      </c>
      <c r="AP519" s="123">
        <v>5.04</v>
      </c>
      <c r="AQ519" s="123">
        <v>81</v>
      </c>
      <c r="AR519" s="123">
        <v>1.09</v>
      </c>
      <c r="AS519" s="267">
        <v>28</v>
      </c>
      <c r="AT519" s="268">
        <v>4.7</v>
      </c>
      <c r="AU519" s="123">
        <v>51</v>
      </c>
      <c r="AV519" s="123">
        <v>136</v>
      </c>
      <c r="AW519" s="123"/>
      <c r="AX519" s="123"/>
      <c r="AY519" s="123"/>
      <c r="AZ519" s="132" t="s">
        <v>1448</v>
      </c>
    </row>
    <row r="520" s="123" customFormat="1" spans="1:52">
      <c r="A520" s="284" t="s">
        <v>1449</v>
      </c>
      <c r="B520" s="285" t="s">
        <v>53</v>
      </c>
      <c r="C520" s="285">
        <v>51</v>
      </c>
      <c r="D520" s="285">
        <v>1.6</v>
      </c>
      <c r="E520" s="285">
        <v>55</v>
      </c>
      <c r="F520" s="189">
        <f>E520/(D520*D520)</f>
        <v>21.484375</v>
      </c>
      <c r="G520" s="285">
        <v>1</v>
      </c>
      <c r="H520" s="286">
        <v>44982</v>
      </c>
      <c r="I520" s="177">
        <v>44982</v>
      </c>
      <c r="J520" s="177">
        <v>44998</v>
      </c>
      <c r="L520" s="178">
        <v>1</v>
      </c>
      <c r="M520" s="178">
        <v>16</v>
      </c>
      <c r="N520" s="254" t="s">
        <v>1450</v>
      </c>
      <c r="O520" s="114"/>
      <c r="P520" s="114"/>
      <c r="Q520" s="114"/>
      <c r="R520" s="304">
        <v>1</v>
      </c>
      <c r="S520" s="114"/>
      <c r="T520" s="114">
        <v>1</v>
      </c>
      <c r="U520" s="114">
        <v>0</v>
      </c>
      <c r="V520" s="114">
        <v>1</v>
      </c>
      <c r="W520" s="114">
        <v>0</v>
      </c>
      <c r="X520" s="114">
        <v>1</v>
      </c>
      <c r="Y520" s="114">
        <v>1</v>
      </c>
      <c r="Z520" s="116" t="s">
        <v>300</v>
      </c>
      <c r="AA520" s="114">
        <v>2</v>
      </c>
      <c r="AB520" s="114">
        <f>_xlfn.IFS(AT520&gt;51,3,AT520&gt;=34,2,AT520&lt;34,1)</f>
        <v>3</v>
      </c>
      <c r="AC520" s="114">
        <f>_xlfn.IFS(AS520&gt;35,1,AS520&gt;=28,2,AS520&lt;28,3)</f>
        <v>3</v>
      </c>
      <c r="AD520" s="114">
        <f>_xlfn.IFS(AR520&gt;2.3,3,AR520&gt;=1.7,2,AR520&lt;1.7,1)</f>
        <v>1</v>
      </c>
      <c r="AE520" s="114">
        <f>Y520+AA520+AB520+AC520+AD520</f>
        <v>10</v>
      </c>
      <c r="AF520" s="116" t="s">
        <v>50</v>
      </c>
      <c r="AG520" s="114">
        <f>AT520/17.1</f>
        <v>3.85380116959064</v>
      </c>
      <c r="AH520" s="114">
        <f>AU520/88.4</f>
        <v>0.350678733031674</v>
      </c>
      <c r="AI520" s="114">
        <f>AR520</f>
        <v>0.94</v>
      </c>
      <c r="AJ520" s="159">
        <f>LN(IF(AG520&gt;=1,AG520,1))*3.8+LN(IF(AH520&gt;=1,AH520,1))*9.6+11.2*LN(IF(AI520&gt;=1,AI520,1))+6.4*AN520</f>
        <v>5.12642791639942</v>
      </c>
      <c r="AK520" s="160">
        <f>IF(AND(AG520&gt;0,AH520&gt;0,AI520&gt;0),AJ520,"")</f>
        <v>5.12642791639942</v>
      </c>
      <c r="AL520" s="160">
        <f>AK520+1.59*(135-AM520)</f>
        <v>5.12642791639942</v>
      </c>
      <c r="AM520" s="160">
        <f>IF(AV520&gt;135,135,IF(AV520&lt;120,120,AV520))</f>
        <v>135</v>
      </c>
      <c r="AN520" s="114">
        <v>0</v>
      </c>
      <c r="AO520" s="114">
        <v>1</v>
      </c>
      <c r="AP520" s="114">
        <v>1.06</v>
      </c>
      <c r="AQ520" s="114">
        <v>64</v>
      </c>
      <c r="AR520" s="114">
        <v>0.94</v>
      </c>
      <c r="AS520" s="160">
        <v>27</v>
      </c>
      <c r="AT520" s="161">
        <v>65.9</v>
      </c>
      <c r="AU520" s="114">
        <v>31</v>
      </c>
      <c r="AV520" s="114">
        <v>143</v>
      </c>
      <c r="AZ520" s="132" t="s">
        <v>1451</v>
      </c>
    </row>
    <row r="521" spans="1:52">
      <c r="A521" s="282" t="s">
        <v>1452</v>
      </c>
      <c r="B521" s="113" t="s">
        <v>48</v>
      </c>
      <c r="C521" s="113">
        <v>52</v>
      </c>
      <c r="D521" s="113">
        <v>1.64</v>
      </c>
      <c r="E521" s="113">
        <v>73</v>
      </c>
      <c r="F521" s="136">
        <f>E521/(D521*D521)</f>
        <v>27.1415823914337</v>
      </c>
      <c r="G521" s="113">
        <v>3</v>
      </c>
      <c r="H521" s="281">
        <v>44987</v>
      </c>
      <c r="I521" s="158">
        <v>44987</v>
      </c>
      <c r="J521" s="158">
        <v>45001</v>
      </c>
      <c r="L521" s="137">
        <v>1</v>
      </c>
      <c r="M521" s="138">
        <v>14</v>
      </c>
      <c r="N521" s="270" t="s">
        <v>1453</v>
      </c>
      <c r="O521" s="114"/>
      <c r="P521" s="114"/>
      <c r="Q521" s="114"/>
      <c r="R521" s="114"/>
      <c r="S521" s="114">
        <v>1</v>
      </c>
      <c r="T521" s="114">
        <v>1</v>
      </c>
      <c r="U521" s="114">
        <v>0</v>
      </c>
      <c r="V521" s="114">
        <v>1</v>
      </c>
      <c r="W521" s="114">
        <v>0</v>
      </c>
      <c r="X521" s="114">
        <v>1</v>
      </c>
      <c r="Y521" s="114">
        <v>1</v>
      </c>
      <c r="Z521" s="116" t="s">
        <v>307</v>
      </c>
      <c r="AA521" s="114">
        <v>3</v>
      </c>
      <c r="AB521" s="114">
        <f>_xlfn.IFS(AT521&gt;51,3,AT521&gt;=34,2,AT521&lt;34,1)</f>
        <v>1</v>
      </c>
      <c r="AC521" s="114">
        <f>_xlfn.IFS(AS521&gt;35,1,AS521&gt;=28,2,AS521&lt;28,3)</f>
        <v>2</v>
      </c>
      <c r="AD521" s="114">
        <f>_xlfn.IFS(AR521&gt;2.3,3,AR521&gt;=1.7,2,AR521&lt;1.7,1)</f>
        <v>1</v>
      </c>
      <c r="AE521" s="114">
        <f>Y521+AA521+AB521+AC521+AD521</f>
        <v>8</v>
      </c>
      <c r="AF521" s="116" t="s">
        <v>63</v>
      </c>
      <c r="AG521" s="114">
        <f>AT521/17.1</f>
        <v>0.672514619883041</v>
      </c>
      <c r="AH521" s="114">
        <f>AU521/88.4</f>
        <v>0.757918552036199</v>
      </c>
      <c r="AI521" s="114">
        <f>AR521</f>
        <v>1.21</v>
      </c>
      <c r="AJ521" s="159">
        <f>LN(IF(AG521&gt;=1,AG521,1))*3.8+LN(IF(AH521&gt;=1,AH521,1))*9.6+11.2*LN(IF(AI521&gt;=1,AI521,1))+6.4*AN521</f>
        <v>8.53494802761688</v>
      </c>
      <c r="AK521" s="160">
        <f>IF(AND(AG521&gt;0,AH521&gt;0,AI521&gt;0),AJ521,"")</f>
        <v>8.53494802761688</v>
      </c>
      <c r="AL521" s="160">
        <f>AK521+1.59*(135-AM521)</f>
        <v>8.53494802761688</v>
      </c>
      <c r="AM521" s="160">
        <f>IF(AV521&gt;135,135,IF(AV521&lt;120,120,AV521))</f>
        <v>135</v>
      </c>
      <c r="AN521" s="114">
        <v>1</v>
      </c>
      <c r="AO521" s="114">
        <v>1</v>
      </c>
      <c r="AP521" s="114">
        <v>2.85</v>
      </c>
      <c r="AQ521" s="114">
        <v>81</v>
      </c>
      <c r="AR521" s="114">
        <v>1.21</v>
      </c>
      <c r="AS521" s="160">
        <v>32</v>
      </c>
      <c r="AT521" s="161">
        <v>11.5</v>
      </c>
      <c r="AU521" s="114">
        <v>67</v>
      </c>
      <c r="AV521" s="114">
        <v>143</v>
      </c>
      <c r="AZ521" s="119" t="s">
        <v>1454</v>
      </c>
    </row>
    <row r="522" s="125" customFormat="1" spans="1:52">
      <c r="A522" s="295" t="s">
        <v>1001</v>
      </c>
      <c r="B522" s="272" t="s">
        <v>48</v>
      </c>
      <c r="C522" s="272">
        <v>59</v>
      </c>
      <c r="D522" s="272">
        <v>1.75</v>
      </c>
      <c r="E522" s="272">
        <v>85</v>
      </c>
      <c r="F522" s="216">
        <f>E522/(D522*D522)</f>
        <v>27.7551020408163</v>
      </c>
      <c r="G522" s="272">
        <v>6</v>
      </c>
      <c r="H522" s="296">
        <v>44987</v>
      </c>
      <c r="I522" s="296">
        <v>44987</v>
      </c>
      <c r="J522" s="186">
        <v>44995</v>
      </c>
      <c r="L522" s="187">
        <v>3</v>
      </c>
      <c r="M522" s="187">
        <v>8</v>
      </c>
      <c r="N522" s="248" t="s">
        <v>1455</v>
      </c>
      <c r="O522" s="114"/>
      <c r="P522" s="114">
        <v>1</v>
      </c>
      <c r="Q522" s="116" t="s">
        <v>1083</v>
      </c>
      <c r="R522" s="114"/>
      <c r="S522" s="114"/>
      <c r="T522" s="114">
        <v>1</v>
      </c>
      <c r="U522" s="114">
        <v>0</v>
      </c>
      <c r="V522" s="114">
        <v>1</v>
      </c>
      <c r="W522" s="114">
        <v>0</v>
      </c>
      <c r="X522" s="114">
        <v>1</v>
      </c>
      <c r="Y522" s="114">
        <v>1</v>
      </c>
      <c r="Z522" s="116" t="s">
        <v>307</v>
      </c>
      <c r="AA522" s="114">
        <v>3</v>
      </c>
      <c r="AB522" s="114">
        <f>_xlfn.IFS(AT522&gt;51,3,AT522&gt;=34,2,AT522&lt;34,1)</f>
        <v>1</v>
      </c>
      <c r="AC522" s="114">
        <f>_xlfn.IFS(AS522&gt;35,1,AS522&gt;=28,2,AS522&lt;28,3)</f>
        <v>3</v>
      </c>
      <c r="AD522" s="114">
        <f>_xlfn.IFS(AR522&gt;2.3,3,AR522&gt;=1.7,2,AR522&lt;1.7,1)</f>
        <v>1</v>
      </c>
      <c r="AE522" s="114">
        <f>Y522+AA522+AB522+AC522+AD522</f>
        <v>9</v>
      </c>
      <c r="AF522" s="116" t="s">
        <v>63</v>
      </c>
      <c r="AG522" s="114">
        <f>AT522/17.1</f>
        <v>1.10526315789474</v>
      </c>
      <c r="AH522" s="114">
        <f>AU522/88.4</f>
        <v>0.463800904977376</v>
      </c>
      <c r="AI522" s="114">
        <f>AR522</f>
        <v>1.39</v>
      </c>
      <c r="AJ522" s="159">
        <f>LN(IF(AG522&gt;=1,AG522,1))*3.8+LN(IF(AH522&gt;=1,AH522,1))*9.6+11.2*LN(IF(AI522&gt;=1,AI522,1))+6.4*AN522</f>
        <v>4.06851911051366</v>
      </c>
      <c r="AK522" s="160">
        <f>IF(AND(AG522&gt;0,AH522&gt;0,AI522&gt;0),AJ522,"")</f>
        <v>4.06851911051366</v>
      </c>
      <c r="AL522" s="160">
        <f>AK522+1.59*(135-AM522)</f>
        <v>4.06851911051366</v>
      </c>
      <c r="AM522" s="160">
        <f>IF(AV522&gt;135,135,IF(AV522&lt;120,120,AV522))</f>
        <v>135</v>
      </c>
      <c r="AN522" s="114">
        <v>0</v>
      </c>
      <c r="AO522" s="114">
        <v>1</v>
      </c>
      <c r="AP522" s="114">
        <v>5.62</v>
      </c>
      <c r="AQ522" s="114">
        <v>105</v>
      </c>
      <c r="AR522" s="114">
        <v>1.39</v>
      </c>
      <c r="AS522" s="160">
        <v>26</v>
      </c>
      <c r="AT522" s="161">
        <v>18.9</v>
      </c>
      <c r="AU522" s="114">
        <v>41</v>
      </c>
      <c r="AV522" s="114">
        <v>139</v>
      </c>
      <c r="AZ522" s="131" t="s">
        <v>1456</v>
      </c>
    </row>
    <row r="523" spans="1:52">
      <c r="A523" s="282" t="s">
        <v>1457</v>
      </c>
      <c r="B523" s="113" t="s">
        <v>53</v>
      </c>
      <c r="C523" s="113">
        <v>69</v>
      </c>
      <c r="D523" s="113">
        <v>1.63</v>
      </c>
      <c r="E523" s="113">
        <v>76</v>
      </c>
      <c r="F523" s="136">
        <f>E523/(D523*D523)</f>
        <v>28.6047649516354</v>
      </c>
      <c r="G523" s="113">
        <v>0</v>
      </c>
      <c r="H523" s="281">
        <v>44988</v>
      </c>
      <c r="I523" s="158">
        <v>44988</v>
      </c>
      <c r="J523" s="158">
        <v>45000</v>
      </c>
      <c r="L523" s="137">
        <v>5</v>
      </c>
      <c r="M523" s="138">
        <v>12</v>
      </c>
      <c r="N523" s="270" t="s">
        <v>1458</v>
      </c>
      <c r="O523" s="114"/>
      <c r="P523" s="114"/>
      <c r="Q523" s="116" t="s">
        <v>1083</v>
      </c>
      <c r="R523" s="114"/>
      <c r="S523" s="114"/>
      <c r="T523" s="114">
        <v>0</v>
      </c>
      <c r="U523" s="114">
        <v>0</v>
      </c>
      <c r="V523" s="114">
        <v>1</v>
      </c>
      <c r="W523" s="114">
        <v>0</v>
      </c>
      <c r="X523" s="114">
        <v>1</v>
      </c>
      <c r="Y523" s="114">
        <v>1</v>
      </c>
      <c r="Z523" s="116" t="s">
        <v>58</v>
      </c>
      <c r="AA523" s="114">
        <v>1</v>
      </c>
      <c r="AB523" s="114">
        <f>_xlfn.IFS(AT523&gt;51,3,AT523&gt;=34,2,AT523&lt;34,1)</f>
        <v>1</v>
      </c>
      <c r="AC523" s="114">
        <f>_xlfn.IFS(AS523&gt;35,1,AS523&gt;=28,2,AS523&lt;28,3)</f>
        <v>2</v>
      </c>
      <c r="AD523" s="114">
        <f>_xlfn.IFS(AR523&gt;2.3,3,AR523&gt;=1.7,2,AR523&lt;1.7,1)</f>
        <v>1</v>
      </c>
      <c r="AE523" s="114">
        <f>Y523+AA523+AB523+AC523+AD523</f>
        <v>6</v>
      </c>
      <c r="AF523" s="116" t="s">
        <v>59</v>
      </c>
      <c r="AG523" s="114">
        <f>AT523/17.1</f>
        <v>0.502923976608187</v>
      </c>
      <c r="AH523" s="114">
        <f>AU523/88.4</f>
        <v>0.667420814479638</v>
      </c>
      <c r="AI523" s="114">
        <f>AR523</f>
        <v>1.01</v>
      </c>
      <c r="AJ523" s="159">
        <f>LN(IF(AG523&gt;=1,AG523,1))*3.8+LN(IF(AH523&gt;=1,AH523,1))*9.6+11.2*LN(IF(AI523&gt;=1,AI523,1))+6.4*AN523</f>
        <v>6.51144370555548</v>
      </c>
      <c r="AK523" s="160">
        <f>IF(AND(AG523&gt;0,AH523&gt;0,AI523&gt;0),AJ523,"")</f>
        <v>6.51144370555548</v>
      </c>
      <c r="AL523" s="160">
        <f>AK523+1.59*(135-AM523)</f>
        <v>6.51144370555548</v>
      </c>
      <c r="AM523" s="160">
        <f>IF(AV523&gt;135,135,IF(AV523&lt;120,120,AV523))</f>
        <v>135</v>
      </c>
      <c r="AN523" s="114">
        <v>1</v>
      </c>
      <c r="AO523" s="114">
        <v>1</v>
      </c>
      <c r="AP523" s="114">
        <v>4.03</v>
      </c>
      <c r="AQ523" s="114">
        <v>134</v>
      </c>
      <c r="AR523" s="114">
        <v>1.01</v>
      </c>
      <c r="AS523" s="160">
        <v>35</v>
      </c>
      <c r="AT523" s="161">
        <v>8.6</v>
      </c>
      <c r="AU523" s="114">
        <v>59</v>
      </c>
      <c r="AV523" s="114">
        <v>147</v>
      </c>
      <c r="AZ523" s="119" t="s">
        <v>1459</v>
      </c>
    </row>
    <row r="524" s="125" customFormat="1" spans="1:52">
      <c r="A524" s="295" t="s">
        <v>1265</v>
      </c>
      <c r="B524" s="272" t="s">
        <v>48</v>
      </c>
      <c r="C524" s="272">
        <v>61</v>
      </c>
      <c r="D524" s="272">
        <v>1.62</v>
      </c>
      <c r="E524" s="272">
        <v>80</v>
      </c>
      <c r="F524" s="216">
        <f>E524/(D524*D524)</f>
        <v>30.4831580551745</v>
      </c>
      <c r="G524" s="272">
        <v>1</v>
      </c>
      <c r="H524" s="296">
        <v>44989</v>
      </c>
      <c r="I524" s="131" t="s">
        <v>1460</v>
      </c>
      <c r="J524" s="131" t="s">
        <v>1461</v>
      </c>
      <c r="L524" s="187">
        <v>3</v>
      </c>
      <c r="M524" s="187">
        <v>7</v>
      </c>
      <c r="N524" s="248" t="s">
        <v>1462</v>
      </c>
      <c r="O524" s="125">
        <v>1</v>
      </c>
      <c r="T524" s="125">
        <v>1</v>
      </c>
      <c r="U524" s="125">
        <v>0</v>
      </c>
      <c r="V524" s="125">
        <v>0</v>
      </c>
      <c r="W524" s="125">
        <v>0</v>
      </c>
      <c r="X524" s="125">
        <v>1</v>
      </c>
      <c r="Y524" s="125">
        <v>1</v>
      </c>
      <c r="Z524" s="131" t="s">
        <v>321</v>
      </c>
      <c r="AA524" s="125">
        <v>3</v>
      </c>
      <c r="AB524" s="125">
        <f>_xlfn.IFS(AT524&gt;51,3,AT524&gt;=34,2,AT524&lt;34,1)</f>
        <v>1</v>
      </c>
      <c r="AC524" s="125">
        <f>_xlfn.IFS(AS524&gt;35,1,AS524&gt;=28,2,AS524&lt;28,3)</f>
        <v>3</v>
      </c>
      <c r="AD524" s="114">
        <f>_xlfn.IFS(AR524&gt;2.3,3,AR524&gt;=1.7,2,AR524&lt;1.7,1)</f>
        <v>1</v>
      </c>
      <c r="AE524" s="125">
        <f>Y524+AA524+AB524+AC524+AD524</f>
        <v>9</v>
      </c>
      <c r="AF524" s="131" t="s">
        <v>63</v>
      </c>
      <c r="AG524" s="125">
        <f>AT524/17.1</f>
        <v>1.85380116959064</v>
      </c>
      <c r="AH524" s="125">
        <f>AU524/88.4</f>
        <v>0.656108597285068</v>
      </c>
      <c r="AI524" s="125">
        <f>AR524</f>
        <v>1.61</v>
      </c>
      <c r="AJ524" s="240">
        <f>LN(IF(AG524&gt;=1,AG524,1))*3.8+LN(IF(AH524&gt;=1,AH524,1))*9.6+11.2*LN(IF(AI524&gt;=1,AI524,1))+6.4*AN524</f>
        <v>14.0793280307829</v>
      </c>
      <c r="AK524" s="241">
        <f>IF(AND(AG524&gt;0,AH524&gt;0,AI524&gt;0),AJ524,"")</f>
        <v>14.0793280307829</v>
      </c>
      <c r="AL524" s="241">
        <f>AK524+1.59*(135-AM524)</f>
        <v>14.0793280307829</v>
      </c>
      <c r="AM524" s="241">
        <f>IF(AV524&gt;135,135,IF(AV524&lt;120,120,AV524))</f>
        <v>135</v>
      </c>
      <c r="AN524" s="125">
        <v>1</v>
      </c>
      <c r="AO524" s="114">
        <v>2</v>
      </c>
      <c r="AP524" s="125">
        <v>7.14</v>
      </c>
      <c r="AQ524" s="125">
        <v>125</v>
      </c>
      <c r="AR524" s="125">
        <v>1.61</v>
      </c>
      <c r="AS524" s="241">
        <v>25</v>
      </c>
      <c r="AT524" s="242">
        <v>31.7</v>
      </c>
      <c r="AU524" s="125">
        <v>58</v>
      </c>
      <c r="AV524" s="125">
        <v>136</v>
      </c>
      <c r="AZ524" s="131" t="s">
        <v>1463</v>
      </c>
    </row>
    <row r="525" spans="1:52">
      <c r="A525" s="282" t="s">
        <v>1464</v>
      </c>
      <c r="B525" s="113" t="s">
        <v>53</v>
      </c>
      <c r="C525" s="113">
        <v>42</v>
      </c>
      <c r="D525" s="113">
        <v>1.56</v>
      </c>
      <c r="E525" s="113">
        <v>64</v>
      </c>
      <c r="F525" s="136">
        <f>E525/(D525*D525)</f>
        <v>26.2984878369494</v>
      </c>
      <c r="G525" s="113">
        <v>0</v>
      </c>
      <c r="H525" s="281">
        <v>44993</v>
      </c>
      <c r="I525" s="119" t="s">
        <v>1465</v>
      </c>
      <c r="J525" s="119" t="s">
        <v>1466</v>
      </c>
      <c r="L525" s="137">
        <v>1</v>
      </c>
      <c r="M525" s="138">
        <v>8</v>
      </c>
      <c r="N525" s="270" t="s">
        <v>1467</v>
      </c>
      <c r="O525" s="114"/>
      <c r="P525" s="114"/>
      <c r="Q525" s="114"/>
      <c r="R525" s="114"/>
      <c r="S525" s="114"/>
      <c r="T525" s="114">
        <v>0</v>
      </c>
      <c r="U525" s="114">
        <v>0</v>
      </c>
      <c r="V525" s="114">
        <v>0</v>
      </c>
      <c r="W525" s="114">
        <v>0</v>
      </c>
      <c r="X525" s="114">
        <v>1</v>
      </c>
      <c r="Y525" s="114">
        <v>1</v>
      </c>
      <c r="Z525" s="116" t="s">
        <v>58</v>
      </c>
      <c r="AA525" s="114">
        <v>1</v>
      </c>
      <c r="AB525" s="114">
        <f>_xlfn.IFS(AT525&gt;51,3,AT525&gt;=34,2,AT525&lt;34,1)</f>
        <v>1</v>
      </c>
      <c r="AC525" s="114">
        <f>_xlfn.IFS(AS525&gt;35,1,AS525&gt;=28,2,AS525&lt;28,3)</f>
        <v>2</v>
      </c>
      <c r="AD525" s="114">
        <f>_xlfn.IFS(AR525&gt;2.3,3,AR525&gt;=1.7,2,AR525&lt;1.7,1)</f>
        <v>1</v>
      </c>
      <c r="AE525" s="114">
        <f>Y525+AA525+AB525+AC525+AD525</f>
        <v>6</v>
      </c>
      <c r="AF525" s="116" t="s">
        <v>59</v>
      </c>
      <c r="AG525" s="114">
        <f>AT525/17.1</f>
        <v>0.976608187134503</v>
      </c>
      <c r="AH525" s="114">
        <f>AU525/88.4</f>
        <v>0.463800904977376</v>
      </c>
      <c r="AI525" s="114">
        <f>AR525</f>
        <v>1.2</v>
      </c>
      <c r="AJ525" s="159">
        <f>LN(IF(AG525&gt;=1,AG525,1))*3.8+LN(IF(AH525&gt;=1,AH525,1))*9.6+11.2*LN(IF(AI525&gt;=1,AI525,1))+6.4*AN525</f>
        <v>8.44200143609229</v>
      </c>
      <c r="AK525" s="160">
        <f>IF(AND(AG525&gt;0,AH525&gt;0,AI525&gt;0),AJ525,"")</f>
        <v>8.44200143609229</v>
      </c>
      <c r="AL525" s="160">
        <f>AK525+1.59*(135-AM525)</f>
        <v>8.44200143609229</v>
      </c>
      <c r="AM525" s="160">
        <f>IF(AV525&gt;135,135,IF(AV525&lt;120,120,AV525))</f>
        <v>135</v>
      </c>
      <c r="AN525" s="114">
        <v>1</v>
      </c>
      <c r="AO525" s="114">
        <v>1</v>
      </c>
      <c r="AP525" s="114">
        <v>1.4</v>
      </c>
      <c r="AQ525" s="114">
        <v>78</v>
      </c>
      <c r="AR525" s="114">
        <v>1.2</v>
      </c>
      <c r="AS525" s="160">
        <v>32</v>
      </c>
      <c r="AT525" s="161">
        <v>16.7</v>
      </c>
      <c r="AU525" s="114">
        <v>41</v>
      </c>
      <c r="AV525" s="114">
        <v>142</v>
      </c>
      <c r="AZ525" s="119" t="s">
        <v>58</v>
      </c>
    </row>
    <row r="526" spans="1:52">
      <c r="A526" s="282" t="s">
        <v>1468</v>
      </c>
      <c r="B526" s="113" t="s">
        <v>53</v>
      </c>
      <c r="C526" s="113">
        <v>59</v>
      </c>
      <c r="D526" s="113">
        <v>1.61</v>
      </c>
      <c r="E526" s="113">
        <v>61</v>
      </c>
      <c r="F526" s="136">
        <f>E526/(D526*D526)</f>
        <v>23.5330427066857</v>
      </c>
      <c r="G526" s="113">
        <v>0</v>
      </c>
      <c r="H526" s="281">
        <v>44993</v>
      </c>
      <c r="I526" s="119" t="s">
        <v>1465</v>
      </c>
      <c r="J526" s="119" t="s">
        <v>1461</v>
      </c>
      <c r="L526" s="137">
        <v>1</v>
      </c>
      <c r="M526" s="138">
        <v>15</v>
      </c>
      <c r="N526" s="270" t="s">
        <v>1469</v>
      </c>
      <c r="O526" s="114"/>
      <c r="P526" s="114"/>
      <c r="Q526" s="114"/>
      <c r="R526" s="114"/>
      <c r="S526" s="116" t="s">
        <v>1470</v>
      </c>
      <c r="T526" s="114">
        <v>0</v>
      </c>
      <c r="U526" s="114">
        <v>0</v>
      </c>
      <c r="V526" s="114">
        <v>1</v>
      </c>
      <c r="W526" s="114">
        <v>0</v>
      </c>
      <c r="X526" s="114">
        <v>0</v>
      </c>
      <c r="Y526" s="114">
        <v>1</v>
      </c>
      <c r="Z526" s="116" t="s">
        <v>58</v>
      </c>
      <c r="AA526" s="114">
        <v>1</v>
      </c>
      <c r="AB526" s="114">
        <f>_xlfn.IFS(AT526&gt;51,3,AT526&gt;=34,2,AT526&lt;34,1)</f>
        <v>1</v>
      </c>
      <c r="AC526" s="114">
        <f>_xlfn.IFS(AS526&gt;35,1,AS526&gt;=28,2,AS526&lt;28,3)</f>
        <v>2</v>
      </c>
      <c r="AD526" s="114">
        <f>_xlfn.IFS(AR526&gt;2.3,3,AR526&gt;=1.7,2,AR526&lt;1.7,1)</f>
        <v>1</v>
      </c>
      <c r="AE526" s="114">
        <f>Y526+AA526+AB526+AC526+AD526</f>
        <v>6</v>
      </c>
      <c r="AF526" s="116" t="s">
        <v>59</v>
      </c>
      <c r="AG526" s="114">
        <f>AT526/17.1</f>
        <v>0.473684210526316</v>
      </c>
      <c r="AH526" s="114">
        <f>AU526/88.4</f>
        <v>0.84841628959276</v>
      </c>
      <c r="AI526" s="114">
        <f>AR526</f>
        <v>1.18</v>
      </c>
      <c r="AJ526" s="159">
        <f>LN(IF(AG526&gt;=1,AG526,1))*3.8+LN(IF(AH526&gt;=1,AH526,1))*9.6+11.2*LN(IF(AI526&gt;=1,AI526,1))+6.4*AN526</f>
        <v>8.25376171094882</v>
      </c>
      <c r="AK526" s="160">
        <f>IF(AND(AG526&gt;0,AH526&gt;0,AI526&gt;0),AJ526,"")</f>
        <v>8.25376171094882</v>
      </c>
      <c r="AL526" s="160">
        <f>AK526+1.59*(135-AM526)</f>
        <v>8.25376171094882</v>
      </c>
      <c r="AM526" s="160">
        <f>IF(AV526&gt;135,135,IF(AV526&lt;120,120,AV526))</f>
        <v>135</v>
      </c>
      <c r="AN526" s="114">
        <v>1</v>
      </c>
      <c r="AO526" s="114">
        <v>1</v>
      </c>
      <c r="AP526" s="114">
        <v>1.74</v>
      </c>
      <c r="AQ526" s="114">
        <v>69</v>
      </c>
      <c r="AR526" s="114">
        <v>1.18</v>
      </c>
      <c r="AS526" s="160">
        <v>31</v>
      </c>
      <c r="AT526" s="161">
        <v>8.1</v>
      </c>
      <c r="AU526" s="114">
        <v>75</v>
      </c>
      <c r="AV526" s="114">
        <v>143</v>
      </c>
      <c r="AZ526" s="119" t="s">
        <v>1471</v>
      </c>
    </row>
    <row r="527" spans="1:52">
      <c r="A527" s="282" t="s">
        <v>1472</v>
      </c>
      <c r="B527" s="113" t="s">
        <v>53</v>
      </c>
      <c r="C527" s="113">
        <v>78</v>
      </c>
      <c r="D527" s="113">
        <v>1.56</v>
      </c>
      <c r="E527" s="113">
        <v>54</v>
      </c>
      <c r="F527" s="136">
        <f>E527/(D527*D527)</f>
        <v>22.189349112426</v>
      </c>
      <c r="G527" s="113">
        <v>0</v>
      </c>
      <c r="H527" s="281">
        <v>44998</v>
      </c>
      <c r="I527" s="119" t="s">
        <v>1473</v>
      </c>
      <c r="J527" s="119" t="s">
        <v>1474</v>
      </c>
      <c r="L527" s="137">
        <v>2</v>
      </c>
      <c r="M527" s="138">
        <v>21</v>
      </c>
      <c r="N527" s="270" t="s">
        <v>1475</v>
      </c>
      <c r="O527" s="114"/>
      <c r="P527" s="114"/>
      <c r="Q527" s="114">
        <v>1</v>
      </c>
      <c r="R527" s="114"/>
      <c r="S527" s="114"/>
      <c r="T527" s="114">
        <v>0</v>
      </c>
      <c r="U527" s="114">
        <v>0</v>
      </c>
      <c r="V527" s="114">
        <v>1</v>
      </c>
      <c r="W527" s="114">
        <v>0</v>
      </c>
      <c r="X527" s="114">
        <v>1</v>
      </c>
      <c r="Y527" s="114">
        <v>1</v>
      </c>
      <c r="Z527" s="116" t="s">
        <v>58</v>
      </c>
      <c r="AA527" s="114">
        <v>1</v>
      </c>
      <c r="AB527" s="114">
        <f>_xlfn.IFS(AT527&gt;51,3,AT527&gt;=34,2,AT527&lt;34,1)</f>
        <v>1</v>
      </c>
      <c r="AC527" s="114">
        <f>_xlfn.IFS(AS527&gt;35,1,AS527&gt;=28,2,AS527&lt;28,3)</f>
        <v>3</v>
      </c>
      <c r="AD527" s="114">
        <f>_xlfn.IFS(AR527&gt;2.3,3,AR527&gt;=1.7,2,AR527&lt;1.7,1)</f>
        <v>1</v>
      </c>
      <c r="AE527" s="114">
        <f>Y527+AA527+AB527+AC527+AD527</f>
        <v>7</v>
      </c>
      <c r="AF527" s="116" t="s">
        <v>63</v>
      </c>
      <c r="AG527" s="114">
        <f>AT527/17.1</f>
        <v>0.91812865497076</v>
      </c>
      <c r="AH527" s="114">
        <f>AU527/88.4</f>
        <v>0.610859728506787</v>
      </c>
      <c r="AI527" s="114">
        <f>AR527</f>
        <v>1</v>
      </c>
      <c r="AJ527" s="159">
        <f>LN(IF(AG527&gt;=1,AG527,1))*3.8+LN(IF(AH527&gt;=1,AH527,1))*9.6+11.2*LN(IF(AI527&gt;=1,AI527,1))+6.4*AN527</f>
        <v>6.4</v>
      </c>
      <c r="AK527" s="160">
        <f>IF(AND(AG527&gt;0,AH527&gt;0,AI527&gt;0),AJ527,"")</f>
        <v>6.4</v>
      </c>
      <c r="AL527" s="160">
        <f>AK527+1.59*(135-AM527)</f>
        <v>6.4</v>
      </c>
      <c r="AM527" s="160">
        <f>IF(AV527&gt;135,135,IF(AV527&lt;120,120,AV527))</f>
        <v>135</v>
      </c>
      <c r="AN527" s="114">
        <v>1</v>
      </c>
      <c r="AO527" s="114">
        <v>1</v>
      </c>
      <c r="AP527" s="114">
        <v>1.86</v>
      </c>
      <c r="AQ527" s="114">
        <v>38</v>
      </c>
      <c r="AR527" s="114">
        <v>1</v>
      </c>
      <c r="AS527" s="160">
        <v>26</v>
      </c>
      <c r="AT527" s="161">
        <v>15.7</v>
      </c>
      <c r="AU527" s="114">
        <v>54</v>
      </c>
      <c r="AV527" s="114">
        <v>140</v>
      </c>
      <c r="AZ527" s="119" t="s">
        <v>1476</v>
      </c>
    </row>
    <row r="528" s="128" customFormat="1" spans="1:52">
      <c r="A528" s="300" t="s">
        <v>1477</v>
      </c>
      <c r="B528" s="301" t="s">
        <v>48</v>
      </c>
      <c r="C528" s="301">
        <v>79</v>
      </c>
      <c r="D528" s="301">
        <v>1.75</v>
      </c>
      <c r="E528" s="301">
        <v>75</v>
      </c>
      <c r="F528" s="205">
        <f>E528/(D528*D528)</f>
        <v>24.4897959183673</v>
      </c>
      <c r="G528" s="301">
        <v>3</v>
      </c>
      <c r="H528" s="302">
        <v>44999</v>
      </c>
      <c r="I528" s="209" t="s">
        <v>1478</v>
      </c>
      <c r="J528" s="209" t="s">
        <v>1479</v>
      </c>
      <c r="L528" s="207">
        <v>1</v>
      </c>
      <c r="M528" s="207">
        <v>6</v>
      </c>
      <c r="N528" s="303" t="s">
        <v>1480</v>
      </c>
      <c r="O528" s="114"/>
      <c r="P528" s="114"/>
      <c r="Q528" s="114"/>
      <c r="R528" s="114"/>
      <c r="S528" s="114"/>
      <c r="T528" s="114">
        <v>0</v>
      </c>
      <c r="U528" s="114">
        <v>0</v>
      </c>
      <c r="V528" s="114">
        <v>1</v>
      </c>
      <c r="W528" s="114">
        <v>0</v>
      </c>
      <c r="X528" s="114">
        <v>0</v>
      </c>
      <c r="Y528" s="114">
        <v>1</v>
      </c>
      <c r="Z528" s="116" t="s">
        <v>58</v>
      </c>
      <c r="AA528" s="114">
        <v>1</v>
      </c>
      <c r="AB528" s="114">
        <f>_xlfn.IFS(AT528&gt;51,3,AT528&gt;=34,2,AT528&lt;34,1)</f>
        <v>2</v>
      </c>
      <c r="AC528" s="114">
        <f>_xlfn.IFS(AS528&gt;35,1,AS528&gt;=28,2,AS528&lt;28,3)</f>
        <v>2</v>
      </c>
      <c r="AD528" s="114">
        <f>_xlfn.IFS(AR528&gt;2.3,3,AR528&gt;=1.7,2,AR528&lt;1.7,1)</f>
        <v>1</v>
      </c>
      <c r="AE528" s="114">
        <f>Y528+AA528+AB528+AC528+AD528</f>
        <v>7</v>
      </c>
      <c r="AF528" s="116" t="s">
        <v>63</v>
      </c>
      <c r="AG528" s="114">
        <f>AT528/17.1</f>
        <v>2.32748538011696</v>
      </c>
      <c r="AH528" s="114">
        <f>AU528/88.4</f>
        <v>1.08597285067873</v>
      </c>
      <c r="AI528" s="114">
        <f>AR528</f>
        <v>1.09</v>
      </c>
      <c r="AJ528" s="159">
        <f>LN(IF(AG528&gt;=1,AG528,1))*3.8+LN(IF(AH528&gt;=1,AH528,1))*9.6+11.2*LN(IF(AI528&gt;=1,AI528,1))+6.4*AN528</f>
        <v>11.3671580327832</v>
      </c>
      <c r="AK528" s="160">
        <f>IF(AND(AG528&gt;0,AH528&gt;0,AI528&gt;0),AJ528,"")</f>
        <v>11.3671580327832</v>
      </c>
      <c r="AL528" s="160">
        <f>AK528+1.59*(135-AM528)</f>
        <v>11.3671580327832</v>
      </c>
      <c r="AM528" s="160">
        <f>IF(AV528&gt;135,135,IF(AV528&lt;120,120,AV528))</f>
        <v>135</v>
      </c>
      <c r="AN528" s="114">
        <v>1</v>
      </c>
      <c r="AO528" s="114">
        <v>1</v>
      </c>
      <c r="AP528" s="114">
        <v>3.6</v>
      </c>
      <c r="AQ528" s="114">
        <v>73</v>
      </c>
      <c r="AR528" s="114">
        <v>1.09</v>
      </c>
      <c r="AS528" s="160">
        <v>28</v>
      </c>
      <c r="AT528" s="161">
        <v>39.8</v>
      </c>
      <c r="AU528" s="114">
        <v>96</v>
      </c>
      <c r="AV528" s="114">
        <v>147</v>
      </c>
      <c r="AZ528" s="209" t="s">
        <v>1481</v>
      </c>
    </row>
    <row r="529" spans="1:52">
      <c r="A529" s="282" t="s">
        <v>1482</v>
      </c>
      <c r="B529" s="113" t="s">
        <v>53</v>
      </c>
      <c r="C529" s="113">
        <v>61</v>
      </c>
      <c r="D529" s="113">
        <v>1.68</v>
      </c>
      <c r="E529" s="113">
        <v>55</v>
      </c>
      <c r="F529" s="136">
        <f>E529/(D529*D529)</f>
        <v>19.4869614512472</v>
      </c>
      <c r="G529" s="113">
        <v>1</v>
      </c>
      <c r="H529" s="281">
        <v>45000</v>
      </c>
      <c r="I529" s="119" t="s">
        <v>1483</v>
      </c>
      <c r="J529" s="119" t="s">
        <v>1474</v>
      </c>
      <c r="L529" s="137">
        <v>1</v>
      </c>
      <c r="M529" s="138">
        <v>19</v>
      </c>
      <c r="N529" s="270" t="s">
        <v>1484</v>
      </c>
      <c r="O529" s="114"/>
      <c r="P529" s="114"/>
      <c r="Q529" s="114"/>
      <c r="R529" s="114">
        <v>1</v>
      </c>
      <c r="S529" s="114"/>
      <c r="T529" s="114">
        <v>1</v>
      </c>
      <c r="U529" s="114">
        <v>0</v>
      </c>
      <c r="V529" s="114">
        <v>1</v>
      </c>
      <c r="W529" s="114">
        <v>0</v>
      </c>
      <c r="X529" s="114">
        <v>1</v>
      </c>
      <c r="Y529" s="114">
        <v>1</v>
      </c>
      <c r="Z529" s="116" t="s">
        <v>300</v>
      </c>
      <c r="AA529" s="114">
        <v>2</v>
      </c>
      <c r="AB529" s="114">
        <f t="shared" ref="AB529:AB549" si="125">_xlfn.IFS(AT529&gt;51,3,AT529&gt;=34,2,AT529&lt;34,1)</f>
        <v>1</v>
      </c>
      <c r="AC529" s="114">
        <f t="shared" ref="AC529:AC549" si="126">_xlfn.IFS(AS529&gt;35,1,AS529&gt;=28,2,AS529&lt;28,3)</f>
        <v>2</v>
      </c>
      <c r="AD529" s="114">
        <f t="shared" ref="AD529:AD549" si="127">_xlfn.IFS(AR529&gt;2.3,3,AR529&gt;=1.7,2,AR529&lt;1.7,1)</f>
        <v>1</v>
      </c>
      <c r="AE529" s="114">
        <f t="shared" ref="AE529:AE541" si="128">Y529+AA529+AB529+AC529+AD529</f>
        <v>7</v>
      </c>
      <c r="AF529" s="116" t="s">
        <v>63</v>
      </c>
      <c r="AG529" s="114">
        <f>AT529/17.1</f>
        <v>0.87719298245614</v>
      </c>
      <c r="AH529" s="114">
        <f>AU529/88.4</f>
        <v>0.531674208144796</v>
      </c>
      <c r="AI529" s="114">
        <f>AR529</f>
        <v>1.23</v>
      </c>
      <c r="AJ529" s="159">
        <f>LN(IF(AG529&gt;=1,AG529,1))*3.8+LN(IF(AH529&gt;=1,AH529,1))*9.6+11.2*LN(IF(AI529&gt;=1,AI529,1))+6.4*AN529</f>
        <v>2.31855869710445</v>
      </c>
      <c r="AK529" s="160">
        <f>IF(AND(AG529&gt;0,AH529&gt;0,AI529&gt;0),AJ529,"")</f>
        <v>2.31855869710445</v>
      </c>
      <c r="AL529" s="160">
        <f>AK529+1.59*(135-AM529)</f>
        <v>2.31855869710445</v>
      </c>
      <c r="AM529" s="160">
        <f>IF(AV529&gt;135,135,IF(AV529&lt;120,120,AV529))</f>
        <v>135</v>
      </c>
      <c r="AN529" s="114">
        <v>0</v>
      </c>
      <c r="AO529" s="114">
        <v>1</v>
      </c>
      <c r="AP529" s="114">
        <v>2.63</v>
      </c>
      <c r="AQ529" s="114">
        <v>95</v>
      </c>
      <c r="AR529" s="114">
        <v>1.23</v>
      </c>
      <c r="AS529" s="160">
        <v>32</v>
      </c>
      <c r="AT529" s="161">
        <v>15</v>
      </c>
      <c r="AU529" s="114">
        <v>47</v>
      </c>
      <c r="AV529" s="114">
        <v>143</v>
      </c>
      <c r="AZ529" s="119" t="s">
        <v>1485</v>
      </c>
    </row>
    <row r="530" spans="1:52">
      <c r="A530" s="282" t="s">
        <v>1486</v>
      </c>
      <c r="B530" s="113" t="s">
        <v>53</v>
      </c>
      <c r="C530" s="113">
        <v>69</v>
      </c>
      <c r="D530" s="113">
        <v>1.6</v>
      </c>
      <c r="E530" s="113">
        <v>53</v>
      </c>
      <c r="F530" s="136">
        <f>E530/(D530*D530)</f>
        <v>20.703125</v>
      </c>
      <c r="G530" s="113">
        <v>1</v>
      </c>
      <c r="H530" s="281">
        <v>45001</v>
      </c>
      <c r="I530" s="119" t="s">
        <v>1466</v>
      </c>
      <c r="J530" s="119" t="s">
        <v>1487</v>
      </c>
      <c r="L530" s="137">
        <v>1</v>
      </c>
      <c r="M530" s="138">
        <v>12</v>
      </c>
      <c r="N530" s="270" t="s">
        <v>1488</v>
      </c>
      <c r="O530" s="114"/>
      <c r="P530" s="114"/>
      <c r="Q530" s="114">
        <v>1</v>
      </c>
      <c r="R530" s="114"/>
      <c r="S530" s="114"/>
      <c r="T530" s="114">
        <v>0</v>
      </c>
      <c r="U530" s="114">
        <v>0</v>
      </c>
      <c r="V530" s="114">
        <v>1</v>
      </c>
      <c r="W530" s="114">
        <v>0</v>
      </c>
      <c r="X530" s="114">
        <v>0</v>
      </c>
      <c r="Y530" s="114">
        <v>1</v>
      </c>
      <c r="Z530" s="116" t="s">
        <v>58</v>
      </c>
      <c r="AA530" s="114">
        <v>1</v>
      </c>
      <c r="AB530" s="114">
        <f t="shared" si="125"/>
        <v>1</v>
      </c>
      <c r="AC530" s="114">
        <f t="shared" si="126"/>
        <v>2</v>
      </c>
      <c r="AD530" s="114">
        <f t="shared" si="127"/>
        <v>1</v>
      </c>
      <c r="AE530" s="114">
        <f t="shared" si="128"/>
        <v>6</v>
      </c>
      <c r="AF530" s="116" t="s">
        <v>59</v>
      </c>
      <c r="AG530" s="114">
        <f>AT530/17.1</f>
        <v>0.801169590643275</v>
      </c>
      <c r="AH530" s="114">
        <f>AU530/88.4</f>
        <v>0.735294117647059</v>
      </c>
      <c r="AI530" s="114">
        <f>AR530</f>
        <v>1.02</v>
      </c>
      <c r="AJ530" s="159">
        <f>LN(IF(AG530&gt;=1,AG530,1))*3.8+LN(IF(AH530&gt;=1,AH530,1))*9.6+11.2*LN(IF(AI530&gt;=1,AI530,1))+6.4*AN530</f>
        <v>6.62178942571721</v>
      </c>
      <c r="AK530" s="160">
        <f>IF(AND(AG530&gt;0,AH530&gt;0,AI530&gt;0),AJ530,"")</f>
        <v>6.62178942571721</v>
      </c>
      <c r="AL530" s="160">
        <f>AK530+1.59*(135-AM530)</f>
        <v>6.62178942571721</v>
      </c>
      <c r="AM530" s="160">
        <f>IF(AV530&gt;135,135,IF(AV530&lt;120,120,AV530))</f>
        <v>135</v>
      </c>
      <c r="AN530" s="114">
        <v>1</v>
      </c>
      <c r="AO530" s="114">
        <v>1</v>
      </c>
      <c r="AP530" s="114">
        <v>6.72</v>
      </c>
      <c r="AQ530" s="114">
        <v>119</v>
      </c>
      <c r="AR530" s="114">
        <v>1.02</v>
      </c>
      <c r="AS530" s="160">
        <v>31</v>
      </c>
      <c r="AT530" s="161">
        <v>13.7</v>
      </c>
      <c r="AU530" s="114">
        <v>65</v>
      </c>
      <c r="AV530" s="114">
        <v>140</v>
      </c>
      <c r="AZ530" s="119" t="s">
        <v>1489</v>
      </c>
    </row>
    <row r="531" spans="1:52">
      <c r="A531" s="282" t="s">
        <v>1490</v>
      </c>
      <c r="B531" s="113" t="s">
        <v>53</v>
      </c>
      <c r="C531" s="113">
        <v>66</v>
      </c>
      <c r="D531" s="113">
        <v>1.58</v>
      </c>
      <c r="E531" s="113">
        <v>52.5</v>
      </c>
      <c r="F531" s="136">
        <f>E531/(D531*D531)</f>
        <v>21.0302836083961</v>
      </c>
      <c r="G531" s="113">
        <v>0</v>
      </c>
      <c r="H531" s="281">
        <v>45001</v>
      </c>
      <c r="I531" s="119" t="s">
        <v>1466</v>
      </c>
      <c r="J531" s="119" t="s">
        <v>1491</v>
      </c>
      <c r="L531" s="137">
        <v>3</v>
      </c>
      <c r="M531" s="138">
        <v>7</v>
      </c>
      <c r="N531" s="270" t="s">
        <v>1492</v>
      </c>
      <c r="O531" s="114">
        <v>1</v>
      </c>
      <c r="P531" s="114"/>
      <c r="Q531" s="114"/>
      <c r="R531" s="114"/>
      <c r="S531" s="114"/>
      <c r="T531" s="114">
        <v>0</v>
      </c>
      <c r="U531" s="114">
        <v>0</v>
      </c>
      <c r="V531" s="114">
        <v>1</v>
      </c>
      <c r="W531" s="114">
        <v>0</v>
      </c>
      <c r="X531" s="114">
        <v>0</v>
      </c>
      <c r="Y531" s="114">
        <v>1</v>
      </c>
      <c r="Z531" s="116" t="s">
        <v>58</v>
      </c>
      <c r="AA531" s="114">
        <v>1</v>
      </c>
      <c r="AB531" s="114">
        <f t="shared" si="125"/>
        <v>1</v>
      </c>
      <c r="AC531" s="114">
        <f t="shared" si="126"/>
        <v>2</v>
      </c>
      <c r="AD531" s="114">
        <f t="shared" si="127"/>
        <v>1</v>
      </c>
      <c r="AE531" s="114">
        <f t="shared" si="128"/>
        <v>6</v>
      </c>
      <c r="AF531" s="116" t="s">
        <v>59</v>
      </c>
      <c r="AG531" s="114">
        <f>AT531/17.1</f>
        <v>1.2280701754386</v>
      </c>
      <c r="AI531" s="114">
        <f>AR531</f>
        <v>1.06</v>
      </c>
      <c r="AJ531" s="159">
        <f>LN(IF(AG531&gt;=1,AG531,1))*3.8+LN(IF(AH531&gt;=1,AH531,1))*9.6+11.2*LN(IF(AI531&gt;=1,AI531,1))+6.4*AN531</f>
        <v>7.8332988730048</v>
      </c>
      <c r="AK531" s="160" t="str">
        <f>IF(AND(AG531&gt;0,AH531&gt;0,AI531&gt;0),AJ531,"")</f>
        <v/>
      </c>
      <c r="AL531" s="160"/>
      <c r="AM531" s="160">
        <f>IF(AV531&gt;135,135,IF(AV531&lt;120,120,AV531))</f>
        <v>135</v>
      </c>
      <c r="AN531" s="114">
        <v>1</v>
      </c>
      <c r="AO531" s="114"/>
      <c r="AP531" s="114">
        <v>3.65</v>
      </c>
      <c r="AQ531" s="114">
        <v>101</v>
      </c>
      <c r="AR531" s="114">
        <v>1.06</v>
      </c>
      <c r="AS531" s="160">
        <v>29</v>
      </c>
      <c r="AT531" s="161">
        <v>21</v>
      </c>
      <c r="AU531" s="114"/>
      <c r="AV531" s="114">
        <v>142</v>
      </c>
      <c r="AZ531" s="119" t="s">
        <v>1493</v>
      </c>
    </row>
    <row r="532" s="114" customFormat="1" spans="1:52">
      <c r="A532" s="297" t="s">
        <v>1494</v>
      </c>
      <c r="B532" s="298" t="s">
        <v>48</v>
      </c>
      <c r="C532" s="298">
        <v>68</v>
      </c>
      <c r="D532" s="298">
        <v>1.75</v>
      </c>
      <c r="E532" s="298">
        <v>80</v>
      </c>
      <c r="F532" s="136">
        <f>E532/(D532*D532)</f>
        <v>26.1224489795918</v>
      </c>
      <c r="G532" s="298">
        <v>3</v>
      </c>
      <c r="H532" s="299">
        <v>45001</v>
      </c>
      <c r="I532" s="116" t="s">
        <v>1466</v>
      </c>
      <c r="J532" s="116" t="s">
        <v>1487</v>
      </c>
      <c r="L532" s="138">
        <v>1</v>
      </c>
      <c r="M532" s="138">
        <v>12</v>
      </c>
      <c r="N532" s="265" t="s">
        <v>1495</v>
      </c>
      <c r="O532" s="114">
        <v>1</v>
      </c>
      <c r="T532" s="114">
        <v>1</v>
      </c>
      <c r="U532" s="114">
        <v>0</v>
      </c>
      <c r="V532" s="114">
        <v>0</v>
      </c>
      <c r="W532" s="114">
        <v>0</v>
      </c>
      <c r="X532" s="114">
        <v>0</v>
      </c>
      <c r="Y532" s="114">
        <v>1</v>
      </c>
      <c r="Z532" s="116" t="s">
        <v>321</v>
      </c>
      <c r="AA532" s="114">
        <v>3</v>
      </c>
      <c r="AB532" s="114">
        <f t="shared" si="125"/>
        <v>1</v>
      </c>
      <c r="AC532" s="114">
        <f t="shared" si="126"/>
        <v>1</v>
      </c>
      <c r="AD532" s="114">
        <f t="shared" si="127"/>
        <v>1</v>
      </c>
      <c r="AE532" s="114">
        <f t="shared" si="128"/>
        <v>7</v>
      </c>
      <c r="AF532" s="116" t="s">
        <v>63</v>
      </c>
      <c r="AG532" s="114">
        <f>AT532/17.1</f>
        <v>0.578947368421053</v>
      </c>
      <c r="AH532" s="114">
        <f>AU532/88.4</f>
        <v>3.21266968325792</v>
      </c>
      <c r="AI532" s="114">
        <f>AR532</f>
        <v>1.29</v>
      </c>
      <c r="AJ532" s="159">
        <f>LN(IF(AG532&gt;=1,AG532,1))*3.8+LN(IF(AH532&gt;=1,AH532,1))*9.6+11.2*LN(IF(AI532&gt;=1,AI532,1))+6.4*AN532</f>
        <v>20.4561746235531</v>
      </c>
      <c r="AK532" s="160">
        <f>IF(AND(AG532&gt;0,AH532&gt;0,AI532&gt;0),AJ532,"")</f>
        <v>20.4561746235531</v>
      </c>
      <c r="AL532" s="160">
        <f>AK532+1.59*(135-AM532)</f>
        <v>20.4561746235531</v>
      </c>
      <c r="AM532" s="160">
        <f>IF(AV532&gt;135,135,IF(AV532&lt;120,120,AV532))</f>
        <v>135</v>
      </c>
      <c r="AN532" s="114">
        <v>1</v>
      </c>
      <c r="AO532" s="114">
        <v>3</v>
      </c>
      <c r="AP532" s="116">
        <v>6.65</v>
      </c>
      <c r="AQ532" s="114">
        <v>84</v>
      </c>
      <c r="AR532" s="114">
        <v>1.29</v>
      </c>
      <c r="AS532" s="160">
        <v>37</v>
      </c>
      <c r="AT532" s="161">
        <v>9.9</v>
      </c>
      <c r="AU532" s="114">
        <v>284</v>
      </c>
      <c r="AV532" s="114">
        <v>142</v>
      </c>
      <c r="AZ532" s="116" t="s">
        <v>1496</v>
      </c>
    </row>
    <row r="533" s="123" customFormat="1" spans="1:52">
      <c r="A533" s="284" t="s">
        <v>1497</v>
      </c>
      <c r="B533" s="285" t="s">
        <v>53</v>
      </c>
      <c r="C533" s="285">
        <v>74</v>
      </c>
      <c r="D533" s="285">
        <v>1.55</v>
      </c>
      <c r="E533" s="285">
        <v>41</v>
      </c>
      <c r="F533" s="189">
        <f>E533/(D533*D533)</f>
        <v>17.0655567117586</v>
      </c>
      <c r="G533" s="285">
        <v>5</v>
      </c>
      <c r="H533" s="286">
        <v>45002</v>
      </c>
      <c r="I533" s="132" t="s">
        <v>1498</v>
      </c>
      <c r="J533" s="132" t="s">
        <v>1499</v>
      </c>
      <c r="L533" s="178">
        <v>3</v>
      </c>
      <c r="M533" s="178">
        <v>12</v>
      </c>
      <c r="N533" s="254" t="s">
        <v>1500</v>
      </c>
      <c r="O533" s="114"/>
      <c r="P533" s="114"/>
      <c r="Q533" s="114">
        <v>1</v>
      </c>
      <c r="R533" s="114"/>
      <c r="S533" s="114"/>
      <c r="T533" s="114">
        <v>1</v>
      </c>
      <c r="U533" s="114">
        <v>0</v>
      </c>
      <c r="V533" s="114">
        <v>1</v>
      </c>
      <c r="W533" s="114">
        <v>0</v>
      </c>
      <c r="X533" s="114">
        <v>1</v>
      </c>
      <c r="Y533" s="114">
        <v>1</v>
      </c>
      <c r="Z533" s="116" t="s">
        <v>321</v>
      </c>
      <c r="AA533" s="114">
        <v>3</v>
      </c>
      <c r="AB533" s="114">
        <f t="shared" si="125"/>
        <v>1</v>
      </c>
      <c r="AC533" s="114">
        <f t="shared" si="126"/>
        <v>2</v>
      </c>
      <c r="AD533" s="114">
        <f t="shared" si="127"/>
        <v>1</v>
      </c>
      <c r="AE533" s="114">
        <f t="shared" si="128"/>
        <v>8</v>
      </c>
      <c r="AF533" s="116" t="s">
        <v>63</v>
      </c>
      <c r="AG533" s="114">
        <f>AT533/17.1</f>
        <v>1.86549707602339</v>
      </c>
      <c r="AH533" s="114">
        <f>AU533/88.4</f>
        <v>0.723981900452489</v>
      </c>
      <c r="AI533" s="114">
        <f>AR533</f>
        <v>1.56</v>
      </c>
      <c r="AJ533" s="159">
        <f>LN(IF(AG533&gt;=1,AG533,1))*3.8+LN(IF(AH533&gt;=1,AH533,1))*9.6+11.2*LN(IF(AI533&gt;=1,AI533,1))+6.4*AN533</f>
        <v>13.7498858740005</v>
      </c>
      <c r="AK533" s="160">
        <f>IF(AND(AG533&gt;0,AH533&gt;0,AI533&gt;0),AJ533,"")</f>
        <v>13.7498858740005</v>
      </c>
      <c r="AL533" s="160">
        <f>AK533+1.59*(135-AM533)</f>
        <v>20.1098858740005</v>
      </c>
      <c r="AM533" s="160">
        <f>IF(AV533&gt;135,135,IF(AV533&lt;120,120,AV533))</f>
        <v>131</v>
      </c>
      <c r="AN533" s="114">
        <v>1</v>
      </c>
      <c r="AO533" s="114">
        <v>1</v>
      </c>
      <c r="AP533" s="114">
        <v>2.08</v>
      </c>
      <c r="AQ533" s="114">
        <v>81</v>
      </c>
      <c r="AR533" s="114">
        <v>1.56</v>
      </c>
      <c r="AS533" s="160">
        <v>31</v>
      </c>
      <c r="AT533" s="161">
        <v>31.9</v>
      </c>
      <c r="AU533" s="114">
        <v>64</v>
      </c>
      <c r="AV533" s="114">
        <v>131</v>
      </c>
      <c r="AZ533" s="132" t="s">
        <v>1501</v>
      </c>
    </row>
    <row r="534" s="122" customFormat="1" spans="1:52">
      <c r="A534" s="305" t="s">
        <v>1502</v>
      </c>
      <c r="B534" s="306" t="s">
        <v>53</v>
      </c>
      <c r="C534" s="306">
        <v>68</v>
      </c>
      <c r="D534" s="306">
        <v>1.6</v>
      </c>
      <c r="E534" s="306">
        <v>59</v>
      </c>
      <c r="F534" s="148">
        <f>E534/(D534*D534)</f>
        <v>23.046875</v>
      </c>
      <c r="G534" s="306">
        <v>0</v>
      </c>
      <c r="H534" s="307">
        <v>45002</v>
      </c>
      <c r="I534" s="122" t="s">
        <v>1498</v>
      </c>
      <c r="J534" s="122" t="s">
        <v>1503</v>
      </c>
      <c r="L534" s="173">
        <v>1</v>
      </c>
      <c r="M534" s="173">
        <v>7</v>
      </c>
      <c r="N534" s="174" t="s">
        <v>1504</v>
      </c>
      <c r="O534" s="114"/>
      <c r="P534" s="114"/>
      <c r="Q534" s="114">
        <v>1</v>
      </c>
      <c r="R534" s="114"/>
      <c r="S534" s="114"/>
      <c r="T534" s="114">
        <v>0</v>
      </c>
      <c r="U534" s="114">
        <v>0</v>
      </c>
      <c r="V534" s="114">
        <v>1</v>
      </c>
      <c r="W534" s="114">
        <v>0</v>
      </c>
      <c r="X534" s="114">
        <v>1</v>
      </c>
      <c r="Y534" s="114">
        <v>1</v>
      </c>
      <c r="Z534" s="114" t="s">
        <v>58</v>
      </c>
      <c r="AA534" s="114">
        <v>1</v>
      </c>
      <c r="AB534" s="114">
        <f t="shared" si="125"/>
        <v>1</v>
      </c>
      <c r="AC534" s="114">
        <f t="shared" si="126"/>
        <v>2</v>
      </c>
      <c r="AD534" s="114">
        <f t="shared" si="127"/>
        <v>1</v>
      </c>
      <c r="AE534" s="114">
        <f t="shared" si="128"/>
        <v>6</v>
      </c>
      <c r="AF534" s="116" t="s">
        <v>59</v>
      </c>
      <c r="AG534" s="114">
        <f>AT534/17.1</f>
        <v>0.91812865497076</v>
      </c>
      <c r="AH534" s="114">
        <f>AU534/88.4</f>
        <v>0.565610859728507</v>
      </c>
      <c r="AI534" s="114">
        <f>AR534</f>
        <v>1.13</v>
      </c>
      <c r="AJ534" s="159">
        <f>LN(IF(AG534&gt;=1,AG534,1))*3.8+LN(IF(AH534&gt;=1,AH534,1))*9.6+11.2*LN(IF(AI534&gt;=1,AI534,1))+6.4*AN534</f>
        <v>1.36883748651159</v>
      </c>
      <c r="AK534" s="160">
        <f>IF(AND(AG534&gt;0,AH534&gt;0,AI534&gt;0),AJ534,"")</f>
        <v>1.36883748651159</v>
      </c>
      <c r="AL534" s="160">
        <f>AK534+1.59*(135-AM534)</f>
        <v>1.36883748651159</v>
      </c>
      <c r="AM534" s="160">
        <f>IF(AV534&gt;135,135,IF(AV534&lt;120,120,AV534))</f>
        <v>135</v>
      </c>
      <c r="AN534" s="114">
        <v>0</v>
      </c>
      <c r="AO534" s="114">
        <v>1</v>
      </c>
      <c r="AP534" s="114">
        <v>2.69</v>
      </c>
      <c r="AQ534" s="114">
        <v>110</v>
      </c>
      <c r="AR534" s="114">
        <v>1.13</v>
      </c>
      <c r="AS534" s="160">
        <v>30</v>
      </c>
      <c r="AT534" s="161">
        <v>15.7</v>
      </c>
      <c r="AU534" s="114">
        <v>50</v>
      </c>
      <c r="AV534" s="114">
        <v>144</v>
      </c>
      <c r="AZ534" s="175" t="s">
        <v>1505</v>
      </c>
    </row>
    <row r="535" s="114" customFormat="1" spans="1:52">
      <c r="A535" s="297" t="s">
        <v>1506</v>
      </c>
      <c r="B535" s="298" t="s">
        <v>48</v>
      </c>
      <c r="C535" s="298">
        <v>51</v>
      </c>
      <c r="D535" s="298">
        <v>1.65</v>
      </c>
      <c r="E535" s="298">
        <v>74</v>
      </c>
      <c r="F535" s="136">
        <f>E535/(D535*D535)</f>
        <v>27.1808999081726</v>
      </c>
      <c r="G535" s="298">
        <v>6</v>
      </c>
      <c r="H535" s="299">
        <v>45002</v>
      </c>
      <c r="I535" s="116" t="s">
        <v>1498</v>
      </c>
      <c r="J535" s="116" t="s">
        <v>1503</v>
      </c>
      <c r="L535" s="138">
        <v>1</v>
      </c>
      <c r="M535" s="138">
        <v>7</v>
      </c>
      <c r="N535" s="265" t="s">
        <v>1507</v>
      </c>
      <c r="P535" s="114">
        <v>1</v>
      </c>
      <c r="T535" s="114">
        <v>0</v>
      </c>
      <c r="U535" s="114">
        <v>1</v>
      </c>
      <c r="V535" s="114">
        <v>0</v>
      </c>
      <c r="W535" s="114">
        <v>0</v>
      </c>
      <c r="X535" s="114">
        <v>0</v>
      </c>
      <c r="Y535" s="114">
        <v>3</v>
      </c>
      <c r="Z535" s="116" t="s">
        <v>58</v>
      </c>
      <c r="AA535" s="114">
        <v>1</v>
      </c>
      <c r="AB535" s="114">
        <f t="shared" si="125"/>
        <v>1</v>
      </c>
      <c r="AC535" s="114">
        <f t="shared" si="126"/>
        <v>2</v>
      </c>
      <c r="AD535" s="114">
        <f t="shared" si="127"/>
        <v>1</v>
      </c>
      <c r="AE535" s="114">
        <f t="shared" si="128"/>
        <v>8</v>
      </c>
      <c r="AF535" s="116" t="s">
        <v>63</v>
      </c>
      <c r="AG535" s="114">
        <f>AT535/17.1</f>
        <v>0.719298245614035</v>
      </c>
      <c r="AH535" s="114">
        <f>AU535/88.4</f>
        <v>0.565610859728507</v>
      </c>
      <c r="AI535" s="114">
        <f>AR535</f>
        <v>1.1</v>
      </c>
      <c r="AJ535" s="159">
        <f>LN(IF(AG535&gt;=1,AG535,1))*3.8+LN(IF(AH535&gt;=1,AH535,1))*9.6+11.2*LN(IF(AI535&gt;=1,AI535,1))+6.4*AN535</f>
        <v>1.06747401380844</v>
      </c>
      <c r="AK535" s="160">
        <f>IF(AND(AG535&gt;0,AH535&gt;0,AI535&gt;0),AJ535,"")</f>
        <v>1.06747401380844</v>
      </c>
      <c r="AL535" s="160">
        <f>AK535+1.59*(135-AM535)</f>
        <v>1.06747401380844</v>
      </c>
      <c r="AM535" s="160">
        <f>IF(AV535&gt;135,135,IF(AV535&lt;120,120,AV535))</f>
        <v>135</v>
      </c>
      <c r="AN535" s="114">
        <v>0</v>
      </c>
      <c r="AO535" s="114">
        <v>1</v>
      </c>
      <c r="AP535" s="114">
        <v>6.42</v>
      </c>
      <c r="AQ535" s="114">
        <v>106</v>
      </c>
      <c r="AR535" s="114">
        <v>1.1</v>
      </c>
      <c r="AS535" s="160">
        <v>31</v>
      </c>
      <c r="AT535" s="161">
        <v>12.3</v>
      </c>
      <c r="AU535" s="114">
        <v>50</v>
      </c>
      <c r="AV535" s="114">
        <v>140</v>
      </c>
      <c r="AZ535" s="116" t="s">
        <v>1508</v>
      </c>
    </row>
    <row r="536" spans="1:52">
      <c r="A536" s="282" t="s">
        <v>1509</v>
      </c>
      <c r="B536" s="113" t="s">
        <v>53</v>
      </c>
      <c r="C536" s="113">
        <v>63</v>
      </c>
      <c r="D536" s="113">
        <v>1.55</v>
      </c>
      <c r="E536" s="113">
        <v>70</v>
      </c>
      <c r="F536" s="136">
        <f>E536/(D536*D536)</f>
        <v>29.1363163371488</v>
      </c>
      <c r="G536" s="113">
        <v>3</v>
      </c>
      <c r="H536" s="281">
        <v>45003</v>
      </c>
      <c r="I536" s="119" t="s">
        <v>1510</v>
      </c>
      <c r="J536" s="119" t="s">
        <v>1511</v>
      </c>
      <c r="L536" s="137">
        <v>1</v>
      </c>
      <c r="M536" s="138">
        <v>18</v>
      </c>
      <c r="N536" s="270" t="s">
        <v>1512</v>
      </c>
      <c r="O536" s="114">
        <v>1</v>
      </c>
      <c r="P536" s="114"/>
      <c r="Q536" s="114"/>
      <c r="R536" s="114"/>
      <c r="S536" s="114"/>
      <c r="T536" s="114">
        <v>0</v>
      </c>
      <c r="U536" s="114">
        <v>0</v>
      </c>
      <c r="V536" s="114">
        <v>1</v>
      </c>
      <c r="W536" s="114">
        <v>0</v>
      </c>
      <c r="X536" s="114">
        <v>1</v>
      </c>
      <c r="Y536" s="114">
        <v>1</v>
      </c>
      <c r="Z536" s="116" t="s">
        <v>58</v>
      </c>
      <c r="AA536" s="114">
        <v>1</v>
      </c>
      <c r="AB536" s="114">
        <f t="shared" si="125"/>
        <v>1</v>
      </c>
      <c r="AC536" s="114">
        <f t="shared" si="126"/>
        <v>3</v>
      </c>
      <c r="AD536" s="114">
        <f t="shared" si="127"/>
        <v>1</v>
      </c>
      <c r="AE536" s="114">
        <f t="shared" si="128"/>
        <v>7</v>
      </c>
      <c r="AF536" s="116" t="s">
        <v>63</v>
      </c>
      <c r="AG536" s="114">
        <f>AT536/17.1</f>
        <v>1.28654970760234</v>
      </c>
      <c r="AH536" s="114">
        <f>AU536/88.4</f>
        <v>0.690045248868778</v>
      </c>
      <c r="AI536" s="114">
        <f>AR536</f>
        <v>1.29</v>
      </c>
      <c r="AJ536" s="159">
        <f>LN(IF(AG536&gt;=1,AG536,1))*3.8+LN(IF(AH536&gt;=1,AH536,1))*9.6+11.2*LN(IF(AI536&gt;=1,AI536,1))+6.4*AN536</f>
        <v>10.209456007213</v>
      </c>
      <c r="AK536" s="160">
        <f>IF(AND(AG536&gt;0,AH536&gt;0,AI536&gt;0),AJ536,"")</f>
        <v>10.209456007213</v>
      </c>
      <c r="AL536" s="160">
        <f>AK536+1.59*(135-AM536)</f>
        <v>10.209456007213</v>
      </c>
      <c r="AM536" s="160">
        <f>IF(AV536&gt;135,135,IF(AV536&lt;120,120,AV536))</f>
        <v>135</v>
      </c>
      <c r="AN536" s="114">
        <v>1</v>
      </c>
      <c r="AO536" s="114">
        <v>1</v>
      </c>
      <c r="AP536" s="114">
        <v>3.09</v>
      </c>
      <c r="AQ536" s="114">
        <v>58</v>
      </c>
      <c r="AR536" s="114">
        <v>1.29</v>
      </c>
      <c r="AS536" s="160">
        <v>26</v>
      </c>
      <c r="AT536" s="161">
        <v>22</v>
      </c>
      <c r="AU536" s="114">
        <v>61</v>
      </c>
      <c r="AV536" s="114">
        <v>142</v>
      </c>
      <c r="AZ536" s="119" t="s">
        <v>1513</v>
      </c>
    </row>
    <row r="537" spans="1:52">
      <c r="A537" s="282" t="s">
        <v>1514</v>
      </c>
      <c r="B537" s="113" t="s">
        <v>48</v>
      </c>
      <c r="C537" s="113">
        <v>61</v>
      </c>
      <c r="D537" s="113">
        <v>1.74</v>
      </c>
      <c r="E537" s="113">
        <v>81</v>
      </c>
      <c r="F537" s="136">
        <f>E537/(D537*D537)</f>
        <v>26.7538644470868</v>
      </c>
      <c r="G537" s="113">
        <v>1</v>
      </c>
      <c r="H537" s="281">
        <v>45007</v>
      </c>
      <c r="I537" s="119" t="s">
        <v>1515</v>
      </c>
      <c r="J537" s="119" t="s">
        <v>1516</v>
      </c>
      <c r="L537" s="137">
        <v>1</v>
      </c>
      <c r="M537" s="138">
        <v>8</v>
      </c>
      <c r="N537" s="270" t="s">
        <v>1517</v>
      </c>
      <c r="O537" s="114"/>
      <c r="P537" s="114">
        <v>1</v>
      </c>
      <c r="Q537" s="114"/>
      <c r="R537" s="114"/>
      <c r="S537" s="114"/>
      <c r="T537" s="114">
        <v>1</v>
      </c>
      <c r="U537" s="114">
        <v>0</v>
      </c>
      <c r="V537" s="114">
        <v>0</v>
      </c>
      <c r="W537" s="114">
        <v>0</v>
      </c>
      <c r="X537" s="114">
        <v>1</v>
      </c>
      <c r="Y537" s="114">
        <v>1</v>
      </c>
      <c r="Z537" s="116" t="s">
        <v>307</v>
      </c>
      <c r="AA537" s="114">
        <v>3</v>
      </c>
      <c r="AB537" s="114">
        <f t="shared" si="125"/>
        <v>1</v>
      </c>
      <c r="AC537" s="114">
        <f t="shared" si="126"/>
        <v>2</v>
      </c>
      <c r="AD537" s="114">
        <f t="shared" si="127"/>
        <v>1</v>
      </c>
      <c r="AE537" s="114">
        <f t="shared" si="128"/>
        <v>8</v>
      </c>
      <c r="AF537" s="116" t="s">
        <v>63</v>
      </c>
      <c r="AG537" s="114">
        <f>AT537/17.1</f>
        <v>0.982456140350877</v>
      </c>
      <c r="AH537" s="114">
        <f>AU537/88.4</f>
        <v>0.644796380090498</v>
      </c>
      <c r="AI537" s="114">
        <f>AR537</f>
        <v>1.17</v>
      </c>
      <c r="AJ537" s="159">
        <f>LN(IF(AG537&gt;=1,AG537,1))*3.8+LN(IF(AH537&gt;=1,AH537,1))*9.6+11.2*LN(IF(AI537&gt;=1,AI537,1))+6.4*AN537</f>
        <v>1.75844198666824</v>
      </c>
      <c r="AK537" s="160">
        <f>IF(AND(AG537&gt;0,AH537&gt;0,AI537&gt;0),AJ537,"")</f>
        <v>1.75844198666824</v>
      </c>
      <c r="AL537" s="160">
        <f>AK537+1.59*(135-AM537)</f>
        <v>1.75844198666824</v>
      </c>
      <c r="AM537" s="160">
        <f>IF(AV537&gt;135,135,IF(AV537&lt;120,120,AV537))</f>
        <v>135</v>
      </c>
      <c r="AN537" s="114">
        <v>0</v>
      </c>
      <c r="AO537" s="114">
        <v>1</v>
      </c>
      <c r="AP537" s="114">
        <v>4.29</v>
      </c>
      <c r="AQ537" s="114">
        <v>91</v>
      </c>
      <c r="AR537" s="114">
        <v>1.17</v>
      </c>
      <c r="AS537" s="160">
        <v>32</v>
      </c>
      <c r="AT537" s="161">
        <v>16.8</v>
      </c>
      <c r="AU537" s="114">
        <v>57</v>
      </c>
      <c r="AV537" s="114">
        <v>143</v>
      </c>
      <c r="AZ537" s="119" t="s">
        <v>1518</v>
      </c>
    </row>
    <row r="538" spans="1:52">
      <c r="A538" s="282" t="s">
        <v>1519</v>
      </c>
      <c r="B538" s="113" t="s">
        <v>53</v>
      </c>
      <c r="C538" s="113">
        <v>60</v>
      </c>
      <c r="D538" s="113">
        <v>1.63</v>
      </c>
      <c r="E538" s="113">
        <v>64</v>
      </c>
      <c r="F538" s="136">
        <f>E538/(D538*D538)</f>
        <v>24.0882231171666</v>
      </c>
      <c r="G538" s="113">
        <v>1</v>
      </c>
      <c r="H538" s="281">
        <v>45008</v>
      </c>
      <c r="I538" s="119" t="s">
        <v>1491</v>
      </c>
      <c r="J538" s="119" t="s">
        <v>1520</v>
      </c>
      <c r="L538" s="137">
        <v>1</v>
      </c>
      <c r="M538" s="138">
        <v>20</v>
      </c>
      <c r="N538" s="270" t="s">
        <v>1521</v>
      </c>
      <c r="O538" s="114">
        <v>1</v>
      </c>
      <c r="P538" s="114"/>
      <c r="Q538" s="114"/>
      <c r="R538" s="114"/>
      <c r="S538" s="114"/>
      <c r="T538" s="114">
        <v>1</v>
      </c>
      <c r="U538" s="114">
        <v>0</v>
      </c>
      <c r="V538" s="114">
        <v>1</v>
      </c>
      <c r="W538" s="114">
        <v>0</v>
      </c>
      <c r="X538" s="114">
        <v>1</v>
      </c>
      <c r="Y538" s="114">
        <v>1</v>
      </c>
      <c r="Z538" s="116" t="s">
        <v>307</v>
      </c>
      <c r="AA538" s="114">
        <v>3</v>
      </c>
      <c r="AB538" s="114">
        <f t="shared" si="125"/>
        <v>1</v>
      </c>
      <c r="AC538" s="114">
        <f t="shared" si="126"/>
        <v>2</v>
      </c>
      <c r="AD538" s="114">
        <f t="shared" si="127"/>
        <v>1</v>
      </c>
      <c r="AE538" s="114">
        <f t="shared" si="128"/>
        <v>8</v>
      </c>
      <c r="AF538" s="116" t="s">
        <v>63</v>
      </c>
      <c r="AG538" s="114">
        <f>AT538/17.1</f>
        <v>0.923976608187134</v>
      </c>
      <c r="AH538" s="114">
        <f>AU538/88.4</f>
        <v>1.67420814479638</v>
      </c>
      <c r="AI538" s="114">
        <f>AR538</f>
        <v>1</v>
      </c>
      <c r="AJ538" s="159">
        <f>LN(IF(AG538&gt;=1,AG538,1))*3.8+LN(IF(AH538&gt;=1,AH538,1))*9.6+11.2*LN(IF(AI538&gt;=1,AI538,1))+6.4*AN538</f>
        <v>11.347266919557</v>
      </c>
      <c r="AK538" s="160">
        <f>IF(AND(AG538&gt;0,AH538&gt;0,AI538&gt;0),AJ538,"")</f>
        <v>11.347266919557</v>
      </c>
      <c r="AL538" s="160">
        <f>AK538+1.59*(135-AM538)</f>
        <v>11.347266919557</v>
      </c>
      <c r="AM538" s="160">
        <f>IF(AV538&gt;135,135,IF(AV538&lt;120,120,AV538))</f>
        <v>135</v>
      </c>
      <c r="AN538" s="114">
        <v>1</v>
      </c>
      <c r="AO538" s="116">
        <v>1</v>
      </c>
      <c r="AP538" s="114">
        <v>2.64</v>
      </c>
      <c r="AQ538" s="114">
        <v>85</v>
      </c>
      <c r="AR538" s="114">
        <v>1</v>
      </c>
      <c r="AS538" s="160">
        <v>29</v>
      </c>
      <c r="AT538" s="161">
        <v>15.8</v>
      </c>
      <c r="AU538" s="114">
        <v>148</v>
      </c>
      <c r="AV538" s="114">
        <v>144</v>
      </c>
      <c r="AZ538" s="119" t="s">
        <v>1522</v>
      </c>
    </row>
    <row r="539" spans="1:52">
      <c r="A539" s="282" t="s">
        <v>1523</v>
      </c>
      <c r="B539" s="113" t="s">
        <v>53</v>
      </c>
      <c r="C539" s="113">
        <v>58</v>
      </c>
      <c r="D539" s="113">
        <v>1.52</v>
      </c>
      <c r="E539" s="113">
        <v>57</v>
      </c>
      <c r="F539" s="136">
        <f>E539/(D539*D539)</f>
        <v>24.6710526315789</v>
      </c>
      <c r="G539" s="113">
        <v>0</v>
      </c>
      <c r="H539" s="281">
        <v>45015</v>
      </c>
      <c r="I539" s="119" t="s">
        <v>1516</v>
      </c>
      <c r="J539" s="119" t="s">
        <v>1524</v>
      </c>
      <c r="L539" s="137">
        <v>1</v>
      </c>
      <c r="M539" s="138">
        <v>8</v>
      </c>
      <c r="N539" s="270" t="s">
        <v>1525</v>
      </c>
      <c r="O539" s="114"/>
      <c r="P539" s="114"/>
      <c r="Q539" s="114"/>
      <c r="R539" s="114"/>
      <c r="S539" s="114"/>
      <c r="T539" s="114">
        <v>0</v>
      </c>
      <c r="U539" s="114">
        <v>0</v>
      </c>
      <c r="V539" s="114">
        <v>1</v>
      </c>
      <c r="W539" s="114">
        <v>0</v>
      </c>
      <c r="X539" s="114">
        <v>1</v>
      </c>
      <c r="Y539" s="114">
        <v>1</v>
      </c>
      <c r="Z539" s="116" t="s">
        <v>58</v>
      </c>
      <c r="AA539" s="114">
        <v>1</v>
      </c>
      <c r="AB539" s="114">
        <f>_xlfn.IFS(AT539&gt;51,3,AT539&gt;=34,2,AT539&lt;34,1)</f>
        <v>1</v>
      </c>
      <c r="AC539" s="114">
        <f>_xlfn.IFS(AS539&gt;35,1,AS539&gt;=28,2,AS539&lt;28,3)</f>
        <v>2</v>
      </c>
      <c r="AD539" s="114">
        <f>_xlfn.IFS(AR539&gt;2.3,3,AR539&gt;=1.7,2,AR539&lt;1.7,1)</f>
        <v>1</v>
      </c>
      <c r="AE539" s="114">
        <f t="shared" ref="AE539:AE544" si="129">Y539+AA539+AB539+AC539+AD539</f>
        <v>6</v>
      </c>
      <c r="AF539" s="116" t="s">
        <v>59</v>
      </c>
      <c r="AG539" s="114">
        <f t="shared" ref="AG539:AG568" si="130">AT539/17.1</f>
        <v>1.4327485380117</v>
      </c>
      <c r="AH539" s="114">
        <f t="shared" ref="AH539:AH569" si="131">AU539/88.4</f>
        <v>0.520361990950226</v>
      </c>
      <c r="AI539" s="114">
        <f t="shared" ref="AI539:AI560" si="132">AR539</f>
        <v>1.11</v>
      </c>
      <c r="AJ539" s="159">
        <f t="shared" ref="AJ539:AJ554" si="133">LN(IF(AG539&gt;=1,AG539,1))*3.8+LN(IF(AH539&gt;=1,AH539,1))*9.6+11.2*LN(IF(AI539&gt;=1,AI539,1))+6.4*AN539</f>
        <v>2.53529185699137</v>
      </c>
      <c r="AK539" s="160">
        <f>IF(AND(AG539&gt;0,AH539&gt;0,AI539&gt;0),AJ539,"")</f>
        <v>2.53529185699137</v>
      </c>
      <c r="AL539" s="160">
        <f t="shared" ref="AL539:AL554" si="134">AK539+1.59*(135-AM539)</f>
        <v>2.53529185699137</v>
      </c>
      <c r="AM539" s="160">
        <f t="shared" ref="AM539:AM558" si="135">IF(AV539&gt;135,135,IF(AV539&lt;120,120,AV539))</f>
        <v>135</v>
      </c>
      <c r="AN539" s="114">
        <v>0</v>
      </c>
      <c r="AO539" s="114">
        <v>1</v>
      </c>
      <c r="AP539" s="114">
        <v>2.26</v>
      </c>
      <c r="AQ539" s="114">
        <v>77</v>
      </c>
      <c r="AR539" s="114">
        <v>1.11</v>
      </c>
      <c r="AS539" s="160">
        <v>35</v>
      </c>
      <c r="AT539" s="161">
        <v>24.5</v>
      </c>
      <c r="AU539" s="114">
        <v>46</v>
      </c>
      <c r="AV539" s="114">
        <v>141</v>
      </c>
      <c r="AZ539" s="119" t="s">
        <v>1526</v>
      </c>
    </row>
    <row r="540" spans="1:52">
      <c r="A540" s="282" t="s">
        <v>1527</v>
      </c>
      <c r="B540" s="113" t="s">
        <v>53</v>
      </c>
      <c r="C540" s="113">
        <v>76</v>
      </c>
      <c r="D540" s="113">
        <v>1.62</v>
      </c>
      <c r="E540" s="113">
        <v>65</v>
      </c>
      <c r="F540" s="136">
        <f>E540/(D540*D540)</f>
        <v>24.7675659198293</v>
      </c>
      <c r="G540" s="113">
        <v>7</v>
      </c>
      <c r="H540" s="281">
        <v>45014</v>
      </c>
      <c r="I540" s="119" t="s">
        <v>1528</v>
      </c>
      <c r="J540" s="119" t="s">
        <v>1529</v>
      </c>
      <c r="L540" s="137">
        <v>1</v>
      </c>
      <c r="M540" s="138">
        <v>9</v>
      </c>
      <c r="N540" s="270" t="s">
        <v>1530</v>
      </c>
      <c r="O540" s="114"/>
      <c r="P540" s="114"/>
      <c r="Q540" s="114"/>
      <c r="R540" s="114"/>
      <c r="S540" s="114">
        <v>1</v>
      </c>
      <c r="T540" s="114">
        <v>1</v>
      </c>
      <c r="U540" s="114">
        <v>0</v>
      </c>
      <c r="V540" s="114">
        <v>1</v>
      </c>
      <c r="W540" s="114">
        <v>0</v>
      </c>
      <c r="X540" s="114">
        <v>1</v>
      </c>
      <c r="Y540" s="114">
        <v>1</v>
      </c>
      <c r="Z540" s="116" t="s">
        <v>321</v>
      </c>
      <c r="AA540" s="114">
        <v>3</v>
      </c>
      <c r="AB540" s="114">
        <f>_xlfn.IFS(AT540&gt;51,3,AT540&gt;=34,2,AT540&lt;34,1)</f>
        <v>1</v>
      </c>
      <c r="AC540" s="114">
        <f>_xlfn.IFS(AS540&gt;35,1,AS540&gt;=28,2,AS540&lt;28,3)</f>
        <v>2</v>
      </c>
      <c r="AD540" s="114">
        <f>_xlfn.IFS(AR540&gt;2.3,3,AR540&gt;=1.7,2,AR540&lt;1.7,1)</f>
        <v>1</v>
      </c>
      <c r="AE540" s="114">
        <f t="shared" si="129"/>
        <v>8</v>
      </c>
      <c r="AF540" s="116" t="s">
        <v>63</v>
      </c>
      <c r="AG540" s="114">
        <f t="shared" si="130"/>
        <v>1.39181286549708</v>
      </c>
      <c r="AH540" s="114">
        <f t="shared" si="131"/>
        <v>0.475113122171946</v>
      </c>
      <c r="AI540" s="114">
        <f t="shared" si="132"/>
        <v>1.46</v>
      </c>
      <c r="AJ540" s="159">
        <f t="shared" si="133"/>
        <v>11.8947951253082</v>
      </c>
      <c r="AK540" s="160">
        <f>IF(AND(AG540&gt;0,AH540&gt;0,AI540&gt;0),AJ540,"")</f>
        <v>11.8947951253082</v>
      </c>
      <c r="AL540" s="160">
        <f t="shared" si="134"/>
        <v>13.4847951253082</v>
      </c>
      <c r="AM540" s="160">
        <f t="shared" si="135"/>
        <v>134</v>
      </c>
      <c r="AN540" s="114">
        <v>1</v>
      </c>
      <c r="AO540" s="114">
        <v>1</v>
      </c>
      <c r="AP540" s="114">
        <v>2.95</v>
      </c>
      <c r="AQ540" s="114">
        <v>58</v>
      </c>
      <c r="AR540" s="114">
        <v>1.46</v>
      </c>
      <c r="AS540" s="160">
        <v>31</v>
      </c>
      <c r="AT540" s="161">
        <v>23.8</v>
      </c>
      <c r="AU540" s="114">
        <v>42</v>
      </c>
      <c r="AV540" s="114">
        <v>134</v>
      </c>
      <c r="AZ540" s="119" t="s">
        <v>1531</v>
      </c>
    </row>
    <row r="541" spans="1:52">
      <c r="A541" s="282" t="s">
        <v>1532</v>
      </c>
      <c r="B541" s="113" t="s">
        <v>53</v>
      </c>
      <c r="C541" s="113">
        <v>63</v>
      </c>
      <c r="D541" s="113">
        <v>1.63</v>
      </c>
      <c r="E541" s="113">
        <v>65</v>
      </c>
      <c r="F541" s="136">
        <f>E541/(D541*D541)</f>
        <v>24.4646016033724</v>
      </c>
      <c r="G541" s="113">
        <v>1</v>
      </c>
      <c r="H541" s="281">
        <v>45015</v>
      </c>
      <c r="I541" s="119" t="s">
        <v>1516</v>
      </c>
      <c r="J541" s="119" t="s">
        <v>1524</v>
      </c>
      <c r="L541" s="137">
        <v>1</v>
      </c>
      <c r="M541" s="138">
        <v>8</v>
      </c>
      <c r="N541" s="270" t="s">
        <v>1533</v>
      </c>
      <c r="O541" s="114"/>
      <c r="P541" s="114"/>
      <c r="Q541" s="114"/>
      <c r="R541" s="114">
        <v>1</v>
      </c>
      <c r="S541" s="114"/>
      <c r="T541" s="114">
        <v>1</v>
      </c>
      <c r="U541" s="114">
        <v>1</v>
      </c>
      <c r="V541" s="114">
        <v>1</v>
      </c>
      <c r="W541" s="114">
        <v>0</v>
      </c>
      <c r="X541" s="114">
        <v>1</v>
      </c>
      <c r="Y541" s="114">
        <v>2</v>
      </c>
      <c r="Z541" s="116" t="s">
        <v>300</v>
      </c>
      <c r="AA541" s="114">
        <v>2</v>
      </c>
      <c r="AB541" s="114">
        <f>_xlfn.IFS(AT541&gt;51,3,AT541&gt;=34,2,AT541&lt;34,1)</f>
        <v>1</v>
      </c>
      <c r="AC541" s="114">
        <f>_xlfn.IFS(AS541&gt;35,1,AS541&gt;=28,2,AS541&lt;28,3)</f>
        <v>1</v>
      </c>
      <c r="AD541" s="114">
        <f>_xlfn.IFS(AR541&gt;2.3,3,AR541&gt;=1.7,2,AR541&lt;1.7,1)</f>
        <v>1</v>
      </c>
      <c r="AE541" s="114">
        <f t="shared" si="129"/>
        <v>7</v>
      </c>
      <c r="AF541" s="116" t="s">
        <v>63</v>
      </c>
      <c r="AG541" s="114">
        <f t="shared" si="130"/>
        <v>0.514619883040936</v>
      </c>
      <c r="AI541" s="114">
        <f t="shared" si="132"/>
        <v>1.14</v>
      </c>
      <c r="AJ541" s="159">
        <f t="shared" si="133"/>
        <v>1.46751653895172</v>
      </c>
      <c r="AK541" s="160" t="str">
        <f>IF(AND(AG541&gt;0,AH541&gt;0,AI541&gt;0),AJ541,"")</f>
        <v/>
      </c>
      <c r="AL541" s="160"/>
      <c r="AM541" s="160">
        <f t="shared" si="135"/>
        <v>120</v>
      </c>
      <c r="AN541" s="114">
        <v>0</v>
      </c>
      <c r="AO541" s="114"/>
      <c r="AP541" s="114">
        <v>2.05</v>
      </c>
      <c r="AQ541" s="114">
        <v>104</v>
      </c>
      <c r="AR541" s="114">
        <v>1.14</v>
      </c>
      <c r="AS541" s="160">
        <v>36</v>
      </c>
      <c r="AT541" s="161">
        <v>8.8</v>
      </c>
      <c r="AU541" s="114"/>
      <c r="AV541" s="114"/>
      <c r="AZ541" s="119" t="s">
        <v>1534</v>
      </c>
    </row>
    <row r="542" spans="1:52">
      <c r="A542" s="282" t="s">
        <v>1535</v>
      </c>
      <c r="B542" s="113" t="s">
        <v>53</v>
      </c>
      <c r="C542" s="113">
        <v>65</v>
      </c>
      <c r="D542" s="113">
        <v>1.65</v>
      </c>
      <c r="E542" s="113">
        <v>87</v>
      </c>
      <c r="F542" s="136">
        <f>E542/(D542*D542)</f>
        <v>31.9559228650138</v>
      </c>
      <c r="G542" s="113">
        <v>0</v>
      </c>
      <c r="H542" s="281">
        <v>45022</v>
      </c>
      <c r="I542" s="119" t="s">
        <v>1536</v>
      </c>
      <c r="J542" s="119" t="s">
        <v>1537</v>
      </c>
      <c r="L542" s="137">
        <v>1</v>
      </c>
      <c r="M542" s="138">
        <v>7</v>
      </c>
      <c r="N542" s="270" t="s">
        <v>1538</v>
      </c>
      <c r="O542" s="114"/>
      <c r="P542" s="114"/>
      <c r="Q542" s="114"/>
      <c r="R542" s="114"/>
      <c r="S542" s="116">
        <v>1</v>
      </c>
      <c r="T542" s="114">
        <v>0</v>
      </c>
      <c r="U542" s="114">
        <v>0</v>
      </c>
      <c r="V542" s="114">
        <v>1</v>
      </c>
      <c r="W542" s="114">
        <v>0</v>
      </c>
      <c r="X542" s="114">
        <v>1</v>
      </c>
      <c r="Y542" s="114">
        <v>1</v>
      </c>
      <c r="Z542" s="116" t="s">
        <v>58</v>
      </c>
      <c r="AA542" s="114">
        <v>1</v>
      </c>
      <c r="AB542" s="114">
        <f>_xlfn.IFS(AT542&gt;51,3,AT542&gt;=34,2,AT542&lt;34,1)</f>
        <v>1</v>
      </c>
      <c r="AC542" s="114">
        <f>_xlfn.IFS(AS542&gt;35,1,AS542&gt;=28,2,AS542&lt;28,3)</f>
        <v>2</v>
      </c>
      <c r="AD542" s="114">
        <f>_xlfn.IFS(AR542&gt;2.3,3,AR542&gt;=1.7,2,AR542&lt;1.7,1)</f>
        <v>1</v>
      </c>
      <c r="AE542" s="114">
        <f t="shared" si="129"/>
        <v>6</v>
      </c>
      <c r="AF542" s="116" t="s">
        <v>59</v>
      </c>
      <c r="AG542" s="114">
        <f t="shared" si="130"/>
        <v>0.666666666666667</v>
      </c>
      <c r="AH542" s="114">
        <f t="shared" si="131"/>
        <v>0.418552036199095</v>
      </c>
      <c r="AI542" s="114">
        <f t="shared" si="132"/>
        <v>1.09</v>
      </c>
      <c r="AJ542" s="159">
        <f t="shared" si="133"/>
        <v>0.965190197899787</v>
      </c>
      <c r="AK542" s="160">
        <f>IF(AND(AG542&gt;0,AH542&gt;0,AI542&gt;0),AJ542,"")</f>
        <v>0.965190197899787</v>
      </c>
      <c r="AL542" s="160">
        <f t="shared" si="134"/>
        <v>0.965190197899787</v>
      </c>
      <c r="AM542" s="160">
        <f t="shared" si="135"/>
        <v>135</v>
      </c>
      <c r="AN542" s="114"/>
      <c r="AO542" s="114"/>
      <c r="AP542" s="114">
        <v>3.54</v>
      </c>
      <c r="AQ542" s="114">
        <v>112</v>
      </c>
      <c r="AR542" s="114">
        <v>1.09</v>
      </c>
      <c r="AS542" s="160">
        <v>30</v>
      </c>
      <c r="AT542" s="161">
        <v>11.4</v>
      </c>
      <c r="AU542" s="114">
        <v>37</v>
      </c>
      <c r="AV542" s="114">
        <v>143</v>
      </c>
      <c r="AZ542" s="119" t="s">
        <v>1539</v>
      </c>
    </row>
    <row r="543" spans="1:52">
      <c r="A543" s="282" t="s">
        <v>1540</v>
      </c>
      <c r="B543" s="113" t="s">
        <v>48</v>
      </c>
      <c r="C543" s="113">
        <v>44</v>
      </c>
      <c r="D543" s="113">
        <v>1.7</v>
      </c>
      <c r="E543" s="113">
        <v>68</v>
      </c>
      <c r="F543" s="136">
        <f>E543/(D543*D543)</f>
        <v>23.5294117647059</v>
      </c>
      <c r="G543" s="113">
        <v>5</v>
      </c>
      <c r="H543" s="281">
        <v>45023</v>
      </c>
      <c r="I543" s="119" t="s">
        <v>1524</v>
      </c>
      <c r="J543" s="119" t="s">
        <v>1541</v>
      </c>
      <c r="L543" s="137">
        <v>1</v>
      </c>
      <c r="M543" s="138">
        <v>11</v>
      </c>
      <c r="N543" s="270" t="s">
        <v>1542</v>
      </c>
      <c r="O543" s="114"/>
      <c r="P543" s="114">
        <v>1</v>
      </c>
      <c r="Q543" s="114"/>
      <c r="R543" s="114"/>
      <c r="S543" s="114"/>
      <c r="T543" s="114">
        <v>1</v>
      </c>
      <c r="U543" s="114">
        <v>0</v>
      </c>
      <c r="V543" s="114">
        <v>0</v>
      </c>
      <c r="W543" s="114">
        <v>1</v>
      </c>
      <c r="X543" s="114">
        <v>1</v>
      </c>
      <c r="Y543" s="114">
        <v>1</v>
      </c>
      <c r="Z543" s="116" t="s">
        <v>321</v>
      </c>
      <c r="AA543" s="114">
        <v>3</v>
      </c>
      <c r="AB543" s="114">
        <f>_xlfn.IFS(AT543&gt;51,3,AT543&gt;=34,2,AT543&lt;34,1)</f>
        <v>1</v>
      </c>
      <c r="AC543" s="114">
        <f>_xlfn.IFS(AS543&gt;35,1,AS543&gt;=28,2,AS543&lt;28,3)</f>
        <v>3</v>
      </c>
      <c r="AD543" s="114">
        <f>_xlfn.IFS(AR543&gt;2.3,3,AR543&gt;=1.7,2,AR543&lt;1.7,1)</f>
        <v>1</v>
      </c>
      <c r="AE543" s="114">
        <f t="shared" si="129"/>
        <v>9</v>
      </c>
      <c r="AF543" s="116" t="s">
        <v>63</v>
      </c>
      <c r="AG543" s="114">
        <f t="shared" si="130"/>
        <v>1.06432748538012</v>
      </c>
      <c r="AH543" s="114">
        <f t="shared" si="131"/>
        <v>0.690045248868778</v>
      </c>
      <c r="AI543" s="114">
        <f t="shared" si="132"/>
        <v>1.15</v>
      </c>
      <c r="AJ543" s="159">
        <f t="shared" si="133"/>
        <v>1.80223765078349</v>
      </c>
      <c r="AK543" s="160">
        <f>IF(AND(AG543&gt;0,AH543&gt;0,AI543&gt;0),AJ543,"")</f>
        <v>1.80223765078349</v>
      </c>
      <c r="AL543" s="160">
        <f t="shared" si="134"/>
        <v>4.98223765078349</v>
      </c>
      <c r="AM543" s="160">
        <f t="shared" si="135"/>
        <v>133</v>
      </c>
      <c r="AN543" s="114">
        <v>0</v>
      </c>
      <c r="AO543" s="114">
        <v>1</v>
      </c>
      <c r="AP543" s="114">
        <v>6.52</v>
      </c>
      <c r="AQ543" s="114">
        <v>118</v>
      </c>
      <c r="AR543" s="114">
        <v>1.15</v>
      </c>
      <c r="AS543" s="160">
        <v>21</v>
      </c>
      <c r="AT543" s="161">
        <v>18.2</v>
      </c>
      <c r="AU543" s="114">
        <v>61</v>
      </c>
      <c r="AV543" s="114">
        <v>133</v>
      </c>
      <c r="AZ543" s="119" t="s">
        <v>1543</v>
      </c>
    </row>
    <row r="544" s="123" customFormat="1" spans="1:52">
      <c r="A544" s="284" t="s">
        <v>910</v>
      </c>
      <c r="B544" s="285" t="s">
        <v>48</v>
      </c>
      <c r="C544" s="285">
        <v>55</v>
      </c>
      <c r="D544" s="285">
        <v>1.71</v>
      </c>
      <c r="E544" s="285">
        <v>78</v>
      </c>
      <c r="F544" s="189">
        <f>E544/(D544*D544)</f>
        <v>26.6748743203037</v>
      </c>
      <c r="G544" s="285">
        <v>6</v>
      </c>
      <c r="H544" s="286">
        <v>45023</v>
      </c>
      <c r="I544" s="177">
        <v>45023</v>
      </c>
      <c r="J544" s="177">
        <v>45030</v>
      </c>
      <c r="L544" s="178">
        <v>6</v>
      </c>
      <c r="M544" s="178">
        <v>7</v>
      </c>
      <c r="N544" s="254" t="s">
        <v>1544</v>
      </c>
      <c r="O544" s="114"/>
      <c r="P544" s="114">
        <v>1</v>
      </c>
      <c r="Q544" s="114"/>
      <c r="R544" s="114"/>
      <c r="S544" s="114"/>
      <c r="T544" s="114">
        <v>0</v>
      </c>
      <c r="U544" s="114">
        <v>1</v>
      </c>
      <c r="V544" s="114">
        <v>1</v>
      </c>
      <c r="W544" s="114">
        <v>0</v>
      </c>
      <c r="X544" s="114">
        <v>1</v>
      </c>
      <c r="Y544" s="114">
        <v>2</v>
      </c>
      <c r="Z544" s="116" t="s">
        <v>58</v>
      </c>
      <c r="AA544" s="114">
        <v>1</v>
      </c>
      <c r="AB544" s="114">
        <f>_xlfn.IFS(AT544&gt;51,3,AT544&gt;=34,2,AT544&lt;34,1)</f>
        <v>3</v>
      </c>
      <c r="AC544" s="114">
        <f>_xlfn.IFS(AS544&gt;35,1,AS544&gt;=28,2,AS544&lt;28,3)</f>
        <v>3</v>
      </c>
      <c r="AD544" s="114">
        <v>2</v>
      </c>
      <c r="AE544" s="114">
        <f t="shared" si="129"/>
        <v>11</v>
      </c>
      <c r="AF544" s="116" t="s">
        <v>50</v>
      </c>
      <c r="AG544" s="114">
        <f t="shared" si="130"/>
        <v>8.28070175438596</v>
      </c>
      <c r="AH544" s="114">
        <f t="shared" si="131"/>
        <v>1.45927601809955</v>
      </c>
      <c r="AI544" s="114">
        <f t="shared" si="132"/>
        <v>1.8</v>
      </c>
      <c r="AJ544" s="159">
        <f t="shared" si="133"/>
        <v>18.2443641476511</v>
      </c>
      <c r="AK544" s="160">
        <f>IF(AND(AG544&gt;0,AH544&gt;0,AI544&gt;0),AJ544,"")</f>
        <v>18.2443641476511</v>
      </c>
      <c r="AL544" s="160">
        <f t="shared" si="134"/>
        <v>24.6043641476511</v>
      </c>
      <c r="AM544" s="160">
        <f t="shared" si="135"/>
        <v>131</v>
      </c>
      <c r="AN544" s="114">
        <v>0</v>
      </c>
      <c r="AO544" s="114">
        <v>3</v>
      </c>
      <c r="AP544" s="114">
        <v>5.05</v>
      </c>
      <c r="AQ544" s="114">
        <v>87</v>
      </c>
      <c r="AR544" s="114">
        <v>1.8</v>
      </c>
      <c r="AS544" s="160">
        <v>26</v>
      </c>
      <c r="AT544" s="161">
        <v>141.6</v>
      </c>
      <c r="AU544" s="114">
        <v>129</v>
      </c>
      <c r="AV544" s="114">
        <v>131</v>
      </c>
      <c r="AZ544" s="132" t="s">
        <v>1545</v>
      </c>
    </row>
    <row r="545" spans="1:52">
      <c r="A545" s="282" t="s">
        <v>1546</v>
      </c>
      <c r="B545" s="113" t="s">
        <v>53</v>
      </c>
      <c r="C545" s="113">
        <v>69</v>
      </c>
      <c r="D545" s="113">
        <v>1.6</v>
      </c>
      <c r="E545" s="113">
        <v>55</v>
      </c>
      <c r="F545" s="136">
        <f>E545/(D545*D545)</f>
        <v>21.484375</v>
      </c>
      <c r="G545" s="113">
        <v>3</v>
      </c>
      <c r="H545" s="281">
        <v>45026</v>
      </c>
      <c r="I545" s="119" t="s">
        <v>1547</v>
      </c>
      <c r="J545" s="119" t="s">
        <v>1548</v>
      </c>
      <c r="L545" s="137">
        <v>2</v>
      </c>
      <c r="M545" s="138">
        <v>14</v>
      </c>
      <c r="N545" s="270" t="s">
        <v>1549</v>
      </c>
      <c r="O545" s="114"/>
      <c r="P545" s="114"/>
      <c r="Q545" s="114"/>
      <c r="R545" s="114"/>
      <c r="S545" s="114">
        <v>1</v>
      </c>
      <c r="T545" s="114">
        <v>1</v>
      </c>
      <c r="U545" s="114">
        <v>0</v>
      </c>
      <c r="V545" s="114">
        <v>1</v>
      </c>
      <c r="W545" s="114">
        <v>0</v>
      </c>
      <c r="X545" s="114">
        <v>1</v>
      </c>
      <c r="Y545" s="114">
        <v>1</v>
      </c>
      <c r="Z545" s="116" t="s">
        <v>307</v>
      </c>
      <c r="AA545" s="114">
        <v>3</v>
      </c>
      <c r="AB545" s="114">
        <f t="shared" ref="AB545:AB558" si="136">_xlfn.IFS(AT545&gt;51,3,AT545&gt;=34,2,AT545&lt;34,1)</f>
        <v>1</v>
      </c>
      <c r="AC545" s="114">
        <f t="shared" ref="AC545:AC558" si="137">_xlfn.IFS(AS545&gt;35,1,AS545&gt;=28,2,AS545&lt;28,3)</f>
        <v>2</v>
      </c>
      <c r="AD545" s="114">
        <f t="shared" ref="AD545:AD558" si="138">_xlfn.IFS(AR545&gt;2.3,3,AR545&gt;=1.7,2,AR545&lt;1.7,1)</f>
        <v>1</v>
      </c>
      <c r="AE545" s="114">
        <f t="shared" ref="AE545:AE559" si="139">Y545+AA545+AB545+AC545+AD545</f>
        <v>8</v>
      </c>
      <c r="AF545" s="116" t="s">
        <v>63</v>
      </c>
      <c r="AG545" s="114">
        <f t="shared" si="130"/>
        <v>1.07602339181287</v>
      </c>
      <c r="AH545" s="114">
        <f t="shared" si="131"/>
        <v>0.542986425339366</v>
      </c>
      <c r="AI545" s="114">
        <f t="shared" si="132"/>
        <v>1.18</v>
      </c>
      <c r="AJ545" s="159">
        <f t="shared" si="133"/>
        <v>8.53219607515286</v>
      </c>
      <c r="AK545" s="160">
        <f>IF(AND(AG545&gt;0,AH545&gt;0,AI545&gt;0),AJ545,"")</f>
        <v>8.53219607515286</v>
      </c>
      <c r="AL545" s="160">
        <f t="shared" si="134"/>
        <v>8.53219607515286</v>
      </c>
      <c r="AM545" s="160">
        <f t="shared" si="135"/>
        <v>135</v>
      </c>
      <c r="AN545" s="114">
        <v>1</v>
      </c>
      <c r="AO545" s="114">
        <v>1</v>
      </c>
      <c r="AP545" s="114">
        <v>1.79</v>
      </c>
      <c r="AQ545" s="114">
        <v>83</v>
      </c>
      <c r="AR545" s="114">
        <v>1.18</v>
      </c>
      <c r="AS545" s="160">
        <v>28</v>
      </c>
      <c r="AT545" s="161">
        <v>18.4</v>
      </c>
      <c r="AU545" s="114">
        <v>48</v>
      </c>
      <c r="AV545" s="114">
        <v>139</v>
      </c>
      <c r="AZ545" s="119" t="s">
        <v>1550</v>
      </c>
    </row>
    <row r="546" spans="1:52">
      <c r="A546" s="282" t="s">
        <v>1551</v>
      </c>
      <c r="B546" s="113" t="s">
        <v>53</v>
      </c>
      <c r="C546" s="113">
        <v>73</v>
      </c>
      <c r="D546" s="113">
        <v>1.58</v>
      </c>
      <c r="E546" s="113">
        <v>55</v>
      </c>
      <c r="F546" s="136">
        <f>E546/(D546*D546)</f>
        <v>22.0317256849864</v>
      </c>
      <c r="G546" s="113">
        <v>0</v>
      </c>
      <c r="H546" s="281">
        <v>45024</v>
      </c>
      <c r="I546" s="158">
        <v>44984</v>
      </c>
      <c r="J546" s="158">
        <v>44992</v>
      </c>
      <c r="L546" s="137">
        <v>1</v>
      </c>
      <c r="M546" s="138">
        <v>8</v>
      </c>
      <c r="N546" s="270" t="s">
        <v>1552</v>
      </c>
      <c r="O546" s="114"/>
      <c r="P546" s="114"/>
      <c r="Q546" s="114"/>
      <c r="R546" s="114">
        <v>1</v>
      </c>
      <c r="S546" s="114"/>
      <c r="T546" s="114">
        <v>0</v>
      </c>
      <c r="U546" s="114">
        <v>0</v>
      </c>
      <c r="V546" s="114">
        <v>1</v>
      </c>
      <c r="W546" s="114">
        <v>0</v>
      </c>
      <c r="X546" s="114">
        <v>1</v>
      </c>
      <c r="Y546" s="114">
        <v>1</v>
      </c>
      <c r="Z546" s="116" t="s">
        <v>58</v>
      </c>
      <c r="AA546" s="114">
        <v>1</v>
      </c>
      <c r="AB546" s="114">
        <f t="shared" si="136"/>
        <v>1</v>
      </c>
      <c r="AC546" s="114">
        <f t="shared" si="137"/>
        <v>2</v>
      </c>
      <c r="AD546" s="114">
        <f t="shared" si="138"/>
        <v>1</v>
      </c>
      <c r="AE546" s="114">
        <f t="shared" si="139"/>
        <v>6</v>
      </c>
      <c r="AF546" s="116" t="s">
        <v>59</v>
      </c>
      <c r="AG546" s="114">
        <f t="shared" si="130"/>
        <v>1.11695906432749</v>
      </c>
      <c r="AH546" s="114">
        <f t="shared" si="131"/>
        <v>0.667420814479638</v>
      </c>
      <c r="AI546" s="114">
        <f t="shared" si="132"/>
        <v>1.13</v>
      </c>
      <c r="AJ546" s="159">
        <f t="shared" si="133"/>
        <v>1.78915499837868</v>
      </c>
      <c r="AK546" s="160">
        <f>IF(AND(AG546&gt;0,AH546&gt;0,AI546&gt;0),AJ546,"")</f>
        <v>1.78915499837868</v>
      </c>
      <c r="AL546" s="160">
        <f t="shared" si="134"/>
        <v>1.78915499837868</v>
      </c>
      <c r="AM546" s="160">
        <f t="shared" si="135"/>
        <v>135</v>
      </c>
      <c r="AN546" s="114">
        <v>0</v>
      </c>
      <c r="AO546" s="114">
        <v>1</v>
      </c>
      <c r="AP546" s="114">
        <v>9.4</v>
      </c>
      <c r="AQ546" s="114">
        <v>83</v>
      </c>
      <c r="AR546" s="114">
        <v>1.13</v>
      </c>
      <c r="AS546" s="160">
        <v>29</v>
      </c>
      <c r="AT546" s="161">
        <v>19.1</v>
      </c>
      <c r="AU546" s="114">
        <v>59</v>
      </c>
      <c r="AV546" s="114">
        <v>144</v>
      </c>
      <c r="AZ546" s="119" t="s">
        <v>1553</v>
      </c>
    </row>
    <row r="547" spans="1:52">
      <c r="A547" s="282" t="s">
        <v>153</v>
      </c>
      <c r="B547" s="113" t="s">
        <v>48</v>
      </c>
      <c r="C547" s="113">
        <v>66</v>
      </c>
      <c r="D547" s="113">
        <v>1.65</v>
      </c>
      <c r="E547" s="113">
        <v>65</v>
      </c>
      <c r="F547" s="136">
        <f>E547/(D547*D547)</f>
        <v>23.8751147842057</v>
      </c>
      <c r="G547" s="113">
        <v>6</v>
      </c>
      <c r="H547" s="281">
        <v>45026</v>
      </c>
      <c r="I547" s="119" t="s">
        <v>1547</v>
      </c>
      <c r="J547" s="119" t="s">
        <v>1554</v>
      </c>
      <c r="L547" s="137">
        <v>7</v>
      </c>
      <c r="M547" s="138">
        <v>5</v>
      </c>
      <c r="N547" s="270" t="s">
        <v>1555</v>
      </c>
      <c r="O547" s="114"/>
      <c r="P547" s="114">
        <v>1</v>
      </c>
      <c r="Q547" s="114"/>
      <c r="R547" s="114"/>
      <c r="S547" s="114"/>
      <c r="T547" s="114">
        <v>0</v>
      </c>
      <c r="U547" s="114">
        <v>0</v>
      </c>
      <c r="V547" s="114">
        <v>1</v>
      </c>
      <c r="W547" s="114">
        <v>0</v>
      </c>
      <c r="X547" s="114">
        <v>1</v>
      </c>
      <c r="Y547" s="114">
        <v>1</v>
      </c>
      <c r="Z547" s="116" t="s">
        <v>58</v>
      </c>
      <c r="AA547" s="114">
        <v>1</v>
      </c>
      <c r="AB547" s="114">
        <f t="shared" si="136"/>
        <v>2</v>
      </c>
      <c r="AC547" s="114">
        <f t="shared" si="137"/>
        <v>3</v>
      </c>
      <c r="AD547" s="114">
        <f t="shared" si="138"/>
        <v>1</v>
      </c>
      <c r="AE547" s="114">
        <f t="shared" si="139"/>
        <v>8</v>
      </c>
      <c r="AF547" s="116" t="s">
        <v>63</v>
      </c>
      <c r="AG547" s="114">
        <f t="shared" si="130"/>
        <v>2.07602339181287</v>
      </c>
      <c r="AH547" s="114">
        <f t="shared" si="131"/>
        <v>0.81447963800905</v>
      </c>
      <c r="AI547" s="114">
        <f t="shared" si="132"/>
        <v>1.54</v>
      </c>
      <c r="AJ547" s="159">
        <f t="shared" si="133"/>
        <v>7.6116891492625</v>
      </c>
      <c r="AK547" s="160">
        <f>IF(AND(AG547&gt;0,AH547&gt;0,AI547&gt;0),AJ547,"")</f>
        <v>7.6116891492625</v>
      </c>
      <c r="AL547" s="160">
        <f t="shared" si="134"/>
        <v>7.6116891492625</v>
      </c>
      <c r="AM547" s="160">
        <f t="shared" si="135"/>
        <v>135</v>
      </c>
      <c r="AN547" s="114">
        <v>0</v>
      </c>
      <c r="AO547" s="114">
        <v>1</v>
      </c>
      <c r="AP547" s="114">
        <v>3.24</v>
      </c>
      <c r="AQ547" s="114">
        <v>74</v>
      </c>
      <c r="AR547" s="114">
        <v>1.54</v>
      </c>
      <c r="AS547" s="160">
        <v>27</v>
      </c>
      <c r="AT547" s="161">
        <v>35.5</v>
      </c>
      <c r="AU547" s="114">
        <v>72</v>
      </c>
      <c r="AV547" s="114">
        <v>147</v>
      </c>
      <c r="AZ547" s="119" t="s">
        <v>1556</v>
      </c>
    </row>
    <row r="548" spans="1:52">
      <c r="A548" s="282" t="s">
        <v>1557</v>
      </c>
      <c r="B548" s="113" t="s">
        <v>48</v>
      </c>
      <c r="C548" s="113">
        <v>49</v>
      </c>
      <c r="D548" s="113">
        <v>1.78</v>
      </c>
      <c r="E548" s="113">
        <v>99</v>
      </c>
      <c r="F548" s="136">
        <f>E548/(D548*D548)</f>
        <v>31.2460547910617</v>
      </c>
      <c r="G548" s="113">
        <v>0</v>
      </c>
      <c r="H548" s="281">
        <v>45028</v>
      </c>
      <c r="I548" s="119" t="s">
        <v>1520</v>
      </c>
      <c r="J548" s="119" t="s">
        <v>1558</v>
      </c>
      <c r="L548" s="137">
        <v>1</v>
      </c>
      <c r="M548" s="138">
        <v>13</v>
      </c>
      <c r="N548" s="270" t="s">
        <v>1559</v>
      </c>
      <c r="O548" s="114">
        <v>1</v>
      </c>
      <c r="P548" s="114"/>
      <c r="Q548" s="114"/>
      <c r="R548" s="114"/>
      <c r="S548" s="114"/>
      <c r="T548" s="114">
        <v>0</v>
      </c>
      <c r="U548" s="114">
        <v>0</v>
      </c>
      <c r="V548" s="114">
        <v>1</v>
      </c>
      <c r="W548" s="114">
        <v>0</v>
      </c>
      <c r="X548" s="114">
        <v>1</v>
      </c>
      <c r="Y548" s="114">
        <v>1</v>
      </c>
      <c r="Z548" s="116" t="s">
        <v>58</v>
      </c>
      <c r="AA548" s="114">
        <v>1</v>
      </c>
      <c r="AB548" s="114">
        <f t="shared" si="136"/>
        <v>1</v>
      </c>
      <c r="AC548" s="114">
        <f t="shared" si="137"/>
        <v>2</v>
      </c>
      <c r="AD548" s="114">
        <f t="shared" si="138"/>
        <v>1</v>
      </c>
      <c r="AE548" s="114">
        <f t="shared" si="139"/>
        <v>6</v>
      </c>
      <c r="AF548" s="116" t="s">
        <v>59</v>
      </c>
      <c r="AG548" s="114">
        <f t="shared" si="130"/>
        <v>0.818713450292398</v>
      </c>
      <c r="AH548" s="114">
        <f t="shared" si="131"/>
        <v>0.633484162895928</v>
      </c>
      <c r="AI548" s="114">
        <f t="shared" si="132"/>
        <v>1.36</v>
      </c>
      <c r="AJ548" s="159">
        <f t="shared" si="133"/>
        <v>3.44382863717716</v>
      </c>
      <c r="AK548" s="160">
        <f>IF(AND(AG548&gt;0,AH548&gt;0,AI548&gt;0),AJ548,"")</f>
        <v>3.44382863717716</v>
      </c>
      <c r="AL548" s="160">
        <f t="shared" si="134"/>
        <v>3.44382863717716</v>
      </c>
      <c r="AM548" s="160">
        <f t="shared" si="135"/>
        <v>135</v>
      </c>
      <c r="AN548" s="114"/>
      <c r="AO548" s="114"/>
      <c r="AP548" s="114">
        <v>2.13</v>
      </c>
      <c r="AQ548" s="114">
        <v>100</v>
      </c>
      <c r="AR548" s="114">
        <v>1.36</v>
      </c>
      <c r="AS548" s="160">
        <v>29</v>
      </c>
      <c r="AT548" s="161">
        <v>14</v>
      </c>
      <c r="AU548" s="116">
        <v>56</v>
      </c>
      <c r="AV548" s="114">
        <v>140</v>
      </c>
      <c r="AZ548" s="119" t="s">
        <v>1560</v>
      </c>
    </row>
    <row r="549" s="123" customFormat="1" spans="1:52">
      <c r="A549" s="284" t="s">
        <v>1561</v>
      </c>
      <c r="B549" s="285" t="s">
        <v>53</v>
      </c>
      <c r="C549" s="285">
        <v>74</v>
      </c>
      <c r="D549" s="285">
        <v>1.63</v>
      </c>
      <c r="E549" s="285">
        <v>59</v>
      </c>
      <c r="F549" s="189">
        <f>E549/(D549*D549)</f>
        <v>22.206330686138</v>
      </c>
      <c r="G549" s="285">
        <v>0</v>
      </c>
      <c r="H549" s="286">
        <v>45029</v>
      </c>
      <c r="I549" s="177">
        <v>45011</v>
      </c>
      <c r="J549" s="177">
        <v>45020</v>
      </c>
      <c r="K549" s="123"/>
      <c r="L549" s="178">
        <v>1</v>
      </c>
      <c r="M549" s="178">
        <v>9</v>
      </c>
      <c r="N549" s="254" t="s">
        <v>1562</v>
      </c>
      <c r="O549" s="123"/>
      <c r="P549" s="123"/>
      <c r="Q549" s="123"/>
      <c r="R549" s="123">
        <v>1</v>
      </c>
      <c r="S549" s="123"/>
      <c r="T549" s="123">
        <v>0</v>
      </c>
      <c r="U549" s="123">
        <v>0</v>
      </c>
      <c r="V549" s="123">
        <v>1</v>
      </c>
      <c r="W549" s="123">
        <v>0</v>
      </c>
      <c r="X549" s="123">
        <v>1</v>
      </c>
      <c r="Y549" s="123">
        <v>1</v>
      </c>
      <c r="Z549" s="132" t="s">
        <v>58</v>
      </c>
      <c r="AA549" s="123">
        <v>1</v>
      </c>
      <c r="AB549" s="123">
        <f t="shared" si="136"/>
        <v>3</v>
      </c>
      <c r="AC549" s="123">
        <f t="shared" si="137"/>
        <v>2</v>
      </c>
      <c r="AD549" s="123">
        <f t="shared" si="138"/>
        <v>1</v>
      </c>
      <c r="AE549" s="123">
        <f t="shared" si="139"/>
        <v>8</v>
      </c>
      <c r="AF549" s="132" t="s">
        <v>63</v>
      </c>
      <c r="AG549" s="123">
        <f t="shared" si="130"/>
        <v>8.68421052631579</v>
      </c>
      <c r="AH549" s="123">
        <f t="shared" si="131"/>
        <v>0.486425339366516</v>
      </c>
      <c r="AI549" s="123">
        <f t="shared" si="132"/>
        <v>1.15</v>
      </c>
      <c r="AJ549" s="266">
        <f t="shared" si="133"/>
        <v>9.77905843459151</v>
      </c>
      <c r="AK549" s="267">
        <f>IF(AND(AG549&gt;0,AH549&gt;0,AI549&gt;0),AJ549,"")</f>
        <v>9.77905843459151</v>
      </c>
      <c r="AL549" s="267">
        <f t="shared" si="134"/>
        <v>9.77905843459151</v>
      </c>
      <c r="AM549" s="267">
        <f t="shared" si="135"/>
        <v>135</v>
      </c>
      <c r="AN549" s="123">
        <v>0</v>
      </c>
      <c r="AO549" s="123">
        <v>1</v>
      </c>
      <c r="AP549" s="123">
        <v>2.81</v>
      </c>
      <c r="AQ549" s="123">
        <v>89</v>
      </c>
      <c r="AR549" s="123">
        <v>1.15</v>
      </c>
      <c r="AS549" s="267">
        <v>28</v>
      </c>
      <c r="AT549" s="268">
        <v>148.5</v>
      </c>
      <c r="AU549" s="123">
        <v>43</v>
      </c>
      <c r="AV549" s="123">
        <v>139</v>
      </c>
      <c r="AW549" s="123"/>
      <c r="AX549" s="123"/>
      <c r="AY549" s="123"/>
      <c r="AZ549" s="132" t="s">
        <v>1563</v>
      </c>
    </row>
    <row r="550" spans="1:52">
      <c r="A550" s="282" t="s">
        <v>61</v>
      </c>
      <c r="B550" s="113" t="s">
        <v>53</v>
      </c>
      <c r="C550" s="113">
        <v>71</v>
      </c>
      <c r="D550" s="113">
        <v>1.65</v>
      </c>
      <c r="E550" s="113">
        <v>87</v>
      </c>
      <c r="F550" s="136">
        <f>E550/(D550*D550)</f>
        <v>31.9559228650138</v>
      </c>
      <c r="G550" s="113">
        <v>7</v>
      </c>
      <c r="H550" s="281">
        <v>45029</v>
      </c>
      <c r="I550" s="158">
        <v>45029</v>
      </c>
      <c r="J550" s="158">
        <v>45056</v>
      </c>
      <c r="L550" s="137">
        <v>4</v>
      </c>
      <c r="M550" s="138">
        <v>27</v>
      </c>
      <c r="N550" s="270" t="s">
        <v>1564</v>
      </c>
      <c r="O550" s="114"/>
      <c r="P550" s="114"/>
      <c r="Q550" s="114">
        <v>1</v>
      </c>
      <c r="R550" s="114"/>
      <c r="S550" s="114"/>
      <c r="T550" s="114">
        <v>1</v>
      </c>
      <c r="U550" s="114">
        <v>0</v>
      </c>
      <c r="V550" s="114">
        <v>0</v>
      </c>
      <c r="W550" s="114">
        <v>1</v>
      </c>
      <c r="X550" s="114">
        <v>0</v>
      </c>
      <c r="Y550" s="114">
        <v>1</v>
      </c>
      <c r="Z550" s="116" t="s">
        <v>307</v>
      </c>
      <c r="AA550" s="114">
        <v>3</v>
      </c>
      <c r="AB550" s="114">
        <f t="shared" si="136"/>
        <v>1</v>
      </c>
      <c r="AC550" s="114">
        <f t="shared" si="137"/>
        <v>3</v>
      </c>
      <c r="AD550" s="114">
        <f t="shared" si="138"/>
        <v>1</v>
      </c>
      <c r="AE550" s="114">
        <f t="shared" si="139"/>
        <v>9</v>
      </c>
      <c r="AF550" s="116" t="s">
        <v>63</v>
      </c>
      <c r="AG550" s="114">
        <f t="shared" si="130"/>
        <v>0.56140350877193</v>
      </c>
      <c r="AH550" s="114">
        <f t="shared" si="131"/>
        <v>5.05656108597285</v>
      </c>
      <c r="AI550" s="114">
        <f t="shared" si="132"/>
        <v>1.04</v>
      </c>
      <c r="AJ550" s="159">
        <f t="shared" si="133"/>
        <v>22.3978635870285</v>
      </c>
      <c r="AK550" s="160">
        <f>IF(AND(AG550&gt;0,AH550&gt;0,AI550&gt;0),AJ550,"")</f>
        <v>22.3978635870285</v>
      </c>
      <c r="AL550" s="160">
        <f t="shared" si="134"/>
        <v>22.3978635870285</v>
      </c>
      <c r="AM550" s="160">
        <f t="shared" si="135"/>
        <v>135</v>
      </c>
      <c r="AN550" s="114">
        <v>1</v>
      </c>
      <c r="AO550" s="114">
        <v>3</v>
      </c>
      <c r="AP550" s="114">
        <v>5.51</v>
      </c>
      <c r="AQ550" s="114">
        <v>85</v>
      </c>
      <c r="AR550" s="114">
        <v>1.04</v>
      </c>
      <c r="AS550" s="160">
        <v>23</v>
      </c>
      <c r="AT550" s="161">
        <v>9.6</v>
      </c>
      <c r="AU550" s="114">
        <v>447</v>
      </c>
      <c r="AV550" s="114">
        <v>139</v>
      </c>
      <c r="AZ550" s="119" t="s">
        <v>1565</v>
      </c>
    </row>
    <row r="551" s="125" customFormat="1" spans="1:52">
      <c r="A551" s="295" t="s">
        <v>507</v>
      </c>
      <c r="B551" s="272" t="s">
        <v>53</v>
      </c>
      <c r="C551" s="272">
        <v>85</v>
      </c>
      <c r="D551" s="272">
        <v>1.53</v>
      </c>
      <c r="E551" s="272">
        <v>68</v>
      </c>
      <c r="F551" s="216">
        <f>E551/(D551*D551)</f>
        <v>29.0486564996369</v>
      </c>
      <c r="G551" s="272">
        <v>1</v>
      </c>
      <c r="H551" s="296">
        <v>45033</v>
      </c>
      <c r="I551" s="186">
        <v>45033</v>
      </c>
      <c r="J551" s="186">
        <v>45047</v>
      </c>
      <c r="L551" s="187">
        <v>2</v>
      </c>
      <c r="M551" s="187">
        <v>14</v>
      </c>
      <c r="N551" s="248" t="s">
        <v>1566</v>
      </c>
      <c r="O551" s="114"/>
      <c r="P551" s="114"/>
      <c r="Q551" s="114"/>
      <c r="R551" s="114"/>
      <c r="S551" s="114">
        <v>1</v>
      </c>
      <c r="T551" s="114">
        <v>1</v>
      </c>
      <c r="U551" s="114">
        <v>0</v>
      </c>
      <c r="V551" s="114">
        <v>0</v>
      </c>
      <c r="W551" s="114">
        <v>1</v>
      </c>
      <c r="X551" s="114">
        <v>0</v>
      </c>
      <c r="Y551" s="114">
        <v>1</v>
      </c>
      <c r="Z551" s="116" t="s">
        <v>300</v>
      </c>
      <c r="AA551" s="114">
        <v>2</v>
      </c>
      <c r="AB551" s="114">
        <f t="shared" si="136"/>
        <v>2</v>
      </c>
      <c r="AC551" s="114">
        <f t="shared" si="137"/>
        <v>2</v>
      </c>
      <c r="AD551" s="114">
        <f t="shared" si="138"/>
        <v>1</v>
      </c>
      <c r="AE551" s="114">
        <f t="shared" si="139"/>
        <v>8</v>
      </c>
      <c r="AF551" s="116" t="s">
        <v>63</v>
      </c>
      <c r="AG551" s="114">
        <f t="shared" si="130"/>
        <v>2.21052631578947</v>
      </c>
      <c r="AH551" s="114">
        <f t="shared" si="131"/>
        <v>0.588235294117647</v>
      </c>
      <c r="AI551" s="114">
        <f t="shared" si="132"/>
        <v>1.33</v>
      </c>
      <c r="AJ551" s="159">
        <f t="shared" si="133"/>
        <v>12.6082805816613</v>
      </c>
      <c r="AK551" s="160">
        <f>IF(AND(AG551&gt;0,AH551&gt;0,AI551&gt;0),AJ551,"")</f>
        <v>12.6082805816613</v>
      </c>
      <c r="AL551" s="160">
        <f t="shared" si="134"/>
        <v>12.6082805816613</v>
      </c>
      <c r="AM551" s="160">
        <f t="shared" si="135"/>
        <v>135</v>
      </c>
      <c r="AN551" s="114">
        <v>1</v>
      </c>
      <c r="AO551" s="114">
        <v>1</v>
      </c>
      <c r="AP551" s="114">
        <v>3.17</v>
      </c>
      <c r="AQ551" s="114">
        <v>94</v>
      </c>
      <c r="AR551" s="114">
        <v>1.33</v>
      </c>
      <c r="AS551" s="160">
        <v>28</v>
      </c>
      <c r="AT551" s="161">
        <v>37.8</v>
      </c>
      <c r="AU551" s="114">
        <v>52</v>
      </c>
      <c r="AV551" s="114">
        <v>142</v>
      </c>
      <c r="AZ551" s="131" t="s">
        <v>1567</v>
      </c>
    </row>
    <row r="552" s="123" customFormat="1" spans="1:52">
      <c r="A552" s="284" t="s">
        <v>1568</v>
      </c>
      <c r="B552" s="285" t="s">
        <v>48</v>
      </c>
      <c r="C552" s="285">
        <v>67</v>
      </c>
      <c r="D552" s="285">
        <v>1.7</v>
      </c>
      <c r="E552" s="285">
        <v>75</v>
      </c>
      <c r="F552" s="189">
        <f>E552/(D552*D552)</f>
        <v>25.9515570934256</v>
      </c>
      <c r="G552" s="285">
        <v>6</v>
      </c>
      <c r="H552" s="286">
        <v>45034</v>
      </c>
      <c r="I552" s="177">
        <v>45034</v>
      </c>
      <c r="J552" s="177">
        <v>45040</v>
      </c>
      <c r="L552" s="178">
        <v>2</v>
      </c>
      <c r="M552" s="178">
        <v>6</v>
      </c>
      <c r="N552" s="254" t="s">
        <v>1569</v>
      </c>
      <c r="P552" s="123">
        <v>1</v>
      </c>
      <c r="T552" s="123">
        <v>0</v>
      </c>
      <c r="U552" s="123">
        <v>0</v>
      </c>
      <c r="V552" s="123">
        <v>1</v>
      </c>
      <c r="W552" s="123">
        <v>0</v>
      </c>
      <c r="X552" s="123">
        <v>1</v>
      </c>
      <c r="Y552" s="123">
        <v>1</v>
      </c>
      <c r="Z552" s="132" t="s">
        <v>58</v>
      </c>
      <c r="AA552" s="123">
        <v>1</v>
      </c>
      <c r="AB552" s="123">
        <f t="shared" si="136"/>
        <v>1</v>
      </c>
      <c r="AC552" s="123">
        <f t="shared" si="137"/>
        <v>1</v>
      </c>
      <c r="AD552" s="123">
        <f t="shared" si="138"/>
        <v>1</v>
      </c>
      <c r="AE552" s="123">
        <f t="shared" si="139"/>
        <v>5</v>
      </c>
      <c r="AF552" s="132" t="s">
        <v>59</v>
      </c>
      <c r="AG552" s="123">
        <f t="shared" si="130"/>
        <v>0.789473684210526</v>
      </c>
      <c r="AH552" s="123">
        <f t="shared" si="131"/>
        <v>0.633484162895928</v>
      </c>
      <c r="AI552" s="123">
        <f t="shared" si="132"/>
        <v>1.3</v>
      </c>
      <c r="AJ552" s="266">
        <f t="shared" si="133"/>
        <v>2.9384797620359</v>
      </c>
      <c r="AK552" s="267">
        <f>IF(AND(AG552&gt;0,AH552&gt;0,AI552&gt;0),AJ552,"")</f>
        <v>2.9384797620359</v>
      </c>
      <c r="AL552" s="267">
        <f t="shared" si="134"/>
        <v>2.9384797620359</v>
      </c>
      <c r="AM552" s="267">
        <f t="shared" si="135"/>
        <v>135</v>
      </c>
      <c r="AN552" s="123">
        <v>0</v>
      </c>
      <c r="AO552" s="123">
        <v>1</v>
      </c>
      <c r="AP552" s="123">
        <v>2.64</v>
      </c>
      <c r="AQ552" s="123">
        <v>64</v>
      </c>
      <c r="AR552" s="123">
        <v>1.3</v>
      </c>
      <c r="AS552" s="267">
        <v>39</v>
      </c>
      <c r="AT552" s="268">
        <v>13.5</v>
      </c>
      <c r="AU552" s="123">
        <v>56</v>
      </c>
      <c r="AV552" s="123">
        <v>137</v>
      </c>
      <c r="AZ552" s="132" t="s">
        <v>58</v>
      </c>
    </row>
    <row r="553" s="128" customFormat="1" spans="1:52">
      <c r="A553" s="300" t="s">
        <v>1570</v>
      </c>
      <c r="B553" s="301" t="s">
        <v>53</v>
      </c>
      <c r="C553" s="301">
        <v>81</v>
      </c>
      <c r="D553" s="301">
        <v>1.62</v>
      </c>
      <c r="E553" s="301">
        <v>49</v>
      </c>
      <c r="F553" s="205">
        <f>E553/(D553*D553)</f>
        <v>18.6709343087944</v>
      </c>
      <c r="G553" s="301" t="s">
        <v>1571</v>
      </c>
      <c r="H553" s="301" t="s">
        <v>1572</v>
      </c>
      <c r="I553" s="209" t="s">
        <v>1573</v>
      </c>
      <c r="J553" s="209" t="s">
        <v>1574</v>
      </c>
      <c r="L553" s="207">
        <v>1</v>
      </c>
      <c r="M553" s="207">
        <v>6</v>
      </c>
      <c r="N553" s="303" t="s">
        <v>1575</v>
      </c>
      <c r="O553" s="114"/>
      <c r="P553" s="114"/>
      <c r="Q553" s="114"/>
      <c r="R553" s="114"/>
      <c r="S553" s="114">
        <v>1</v>
      </c>
      <c r="T553" s="114">
        <v>0</v>
      </c>
      <c r="U553" s="114">
        <v>0</v>
      </c>
      <c r="V553" s="114">
        <v>1</v>
      </c>
      <c r="W553" s="114">
        <v>0</v>
      </c>
      <c r="X553" s="114">
        <v>1</v>
      </c>
      <c r="Y553" s="114">
        <v>1</v>
      </c>
      <c r="Z553" s="116" t="s">
        <v>58</v>
      </c>
      <c r="AA553" s="114">
        <v>1</v>
      </c>
      <c r="AB553" s="114">
        <f t="shared" si="136"/>
        <v>1</v>
      </c>
      <c r="AC553" s="114">
        <f t="shared" si="137"/>
        <v>2</v>
      </c>
      <c r="AD553" s="114">
        <f t="shared" si="138"/>
        <v>1</v>
      </c>
      <c r="AE553" s="114">
        <f t="shared" si="139"/>
        <v>6</v>
      </c>
      <c r="AF553" s="116" t="s">
        <v>59</v>
      </c>
      <c r="AG553" s="114">
        <f t="shared" si="130"/>
        <v>0.87719298245614</v>
      </c>
      <c r="AH553" s="114">
        <f t="shared" si="131"/>
        <v>0.565610859728507</v>
      </c>
      <c r="AI553" s="114">
        <f t="shared" si="132"/>
        <v>1.07</v>
      </c>
      <c r="AJ553" s="159">
        <f t="shared" si="133"/>
        <v>0.757776862906726</v>
      </c>
      <c r="AK553" s="160">
        <f>IF(AND(AG553&gt;0,AH553&gt;0,AI553&gt;0),AJ553,"")</f>
        <v>0.757776862906726</v>
      </c>
      <c r="AL553" s="160">
        <f t="shared" si="134"/>
        <v>24.6077768629067</v>
      </c>
      <c r="AM553" s="160">
        <f t="shared" si="135"/>
        <v>120</v>
      </c>
      <c r="AN553" s="114"/>
      <c r="AO553" s="114"/>
      <c r="AP553" s="114">
        <v>2.76</v>
      </c>
      <c r="AQ553" s="114">
        <v>100</v>
      </c>
      <c r="AR553" s="114">
        <v>1.07</v>
      </c>
      <c r="AS553" s="160">
        <v>32</v>
      </c>
      <c r="AT553" s="161">
        <v>15</v>
      </c>
      <c r="AU553" s="114">
        <v>50</v>
      </c>
      <c r="AV553" s="114">
        <v>115</v>
      </c>
      <c r="AZ553" s="209" t="s">
        <v>1576</v>
      </c>
    </row>
    <row r="554" spans="1:52">
      <c r="A554" s="282" t="s">
        <v>1577</v>
      </c>
      <c r="B554" s="113" t="s">
        <v>48</v>
      </c>
      <c r="C554" s="113">
        <v>53</v>
      </c>
      <c r="D554" s="113">
        <v>1.75</v>
      </c>
      <c r="E554" s="113">
        <v>75</v>
      </c>
      <c r="F554" s="136">
        <f>E554/(D554*D554)</f>
        <v>24.4897959183673</v>
      </c>
      <c r="G554" s="113">
        <v>6</v>
      </c>
      <c r="H554" s="281">
        <v>45039</v>
      </c>
      <c r="I554" s="158">
        <v>45039</v>
      </c>
      <c r="J554" s="158">
        <v>45055</v>
      </c>
      <c r="L554" s="137">
        <v>1</v>
      </c>
      <c r="M554" s="138">
        <v>16</v>
      </c>
      <c r="N554" s="270" t="s">
        <v>1578</v>
      </c>
      <c r="O554" s="114"/>
      <c r="P554" s="114">
        <v>1</v>
      </c>
      <c r="Q554" s="114"/>
      <c r="R554" s="114"/>
      <c r="S554" s="114"/>
      <c r="T554" s="114">
        <v>0</v>
      </c>
      <c r="U554" s="114">
        <v>0</v>
      </c>
      <c r="V554" s="114">
        <v>0</v>
      </c>
      <c r="W554" s="114">
        <v>0</v>
      </c>
      <c r="X554" s="114">
        <v>0</v>
      </c>
      <c r="Y554" s="114">
        <v>1</v>
      </c>
      <c r="Z554" s="116" t="s">
        <v>58</v>
      </c>
      <c r="AA554" s="114">
        <v>1</v>
      </c>
      <c r="AB554" s="114">
        <f>_xlfn.IFS(AT554&gt;51,3,AT554&gt;=34,2,AT554&lt;34,1)</f>
        <v>1</v>
      </c>
      <c r="AC554" s="114">
        <f>_xlfn.IFS(AS554&gt;35,1,AS554&gt;=28,2,AS554&lt;28,3)</f>
        <v>1</v>
      </c>
      <c r="AD554" s="114">
        <f>_xlfn.IFS(AR554&gt;2.3,3,AR554&gt;=1.7,2,AR554&lt;1.7,1)</f>
        <v>1</v>
      </c>
      <c r="AE554" s="114">
        <f>Y554+AA554+AB554+AC554+AD554</f>
        <v>5</v>
      </c>
      <c r="AF554" s="116" t="s">
        <v>59</v>
      </c>
      <c r="AG554" s="114">
        <f>AT554/17.1</f>
        <v>0.608187134502924</v>
      </c>
      <c r="AH554" s="114">
        <f>AU554/88.4</f>
        <v>0.82579185520362</v>
      </c>
      <c r="AI554" s="114">
        <f>AR554</f>
        <v>0.92</v>
      </c>
      <c r="AJ554" s="159"/>
      <c r="AK554" s="160"/>
      <c r="AL554" s="160"/>
      <c r="AM554" s="160">
        <f>IF(AV554&gt;135,135,IF(AV554&lt;120,120,AV554))</f>
        <v>135</v>
      </c>
      <c r="AN554" s="114">
        <v>0</v>
      </c>
      <c r="AO554" s="114"/>
      <c r="AP554" s="114">
        <v>4.99</v>
      </c>
      <c r="AQ554" s="114">
        <v>122</v>
      </c>
      <c r="AR554" s="114">
        <v>0.92</v>
      </c>
      <c r="AS554" s="160">
        <v>39</v>
      </c>
      <c r="AT554" s="161">
        <v>10.4</v>
      </c>
      <c r="AU554" s="114">
        <v>73</v>
      </c>
      <c r="AV554" s="114">
        <v>143</v>
      </c>
      <c r="AZ554" s="119" t="s">
        <v>1579</v>
      </c>
    </row>
    <row r="555" spans="1:52">
      <c r="A555" s="282" t="s">
        <v>1580</v>
      </c>
      <c r="B555" s="113" t="s">
        <v>48</v>
      </c>
      <c r="C555" s="113">
        <v>43</v>
      </c>
      <c r="D555" s="113">
        <v>1.83</v>
      </c>
      <c r="E555" s="113">
        <v>84</v>
      </c>
      <c r="F555" s="136">
        <f>E555/(D555*D555)</f>
        <v>25.0828630296515</v>
      </c>
      <c r="G555" s="113">
        <v>3</v>
      </c>
      <c r="H555" s="281">
        <v>45039</v>
      </c>
      <c r="I555" s="158">
        <v>45039</v>
      </c>
      <c r="J555" s="158">
        <v>45044</v>
      </c>
      <c r="L555" s="137">
        <v>1</v>
      </c>
      <c r="M555" s="138">
        <v>5</v>
      </c>
      <c r="N555" s="270" t="s">
        <v>1581</v>
      </c>
      <c r="O555" s="114"/>
      <c r="P555" s="114"/>
      <c r="Q555" s="114">
        <v>1</v>
      </c>
      <c r="R555" s="114"/>
      <c r="S555" s="114"/>
      <c r="T555" s="114">
        <v>1</v>
      </c>
      <c r="U555" s="114">
        <v>0</v>
      </c>
      <c r="V555" s="114">
        <v>1</v>
      </c>
      <c r="W555" s="114">
        <v>0</v>
      </c>
      <c r="X555" s="114">
        <v>1</v>
      </c>
      <c r="Y555" s="114">
        <v>1</v>
      </c>
      <c r="Z555" s="116" t="s">
        <v>300</v>
      </c>
      <c r="AA555" s="114">
        <v>2</v>
      </c>
      <c r="AB555" s="114">
        <f>_xlfn.IFS(AT555&gt;51,3,AT555&gt;=34,2,AT555&lt;34,1)</f>
        <v>1</v>
      </c>
      <c r="AC555" s="114">
        <f>_xlfn.IFS(AS555&gt;35,1,AS555&gt;=28,2,AS555&lt;28,3)</f>
        <v>1</v>
      </c>
      <c r="AD555" s="114">
        <f>_xlfn.IFS(AR555&gt;2.3,3,AR555&gt;=1.7,2,AR555&lt;1.7,1)</f>
        <v>1</v>
      </c>
      <c r="AE555" s="114">
        <f>Y555+AA555+AB555+AC555+AD555</f>
        <v>6</v>
      </c>
      <c r="AF555" s="116" t="s">
        <v>59</v>
      </c>
      <c r="AG555" s="114">
        <f>AT555/17.1</f>
        <v>1.14035087719298</v>
      </c>
      <c r="AH555" s="114">
        <f>AU555/88.4</f>
        <v>0.82579185520362</v>
      </c>
      <c r="AI555" s="114">
        <f>AR555</f>
        <v>1.44</v>
      </c>
      <c r="AJ555" s="159">
        <f>LN(IF(AG555&gt;=1,AG555,1))*3.8+LN(IF(AH555&gt;=1,AH555,1))*9.6+11.2*LN(IF(AI555&gt;=1,AI555,1))+6.4*AN555</f>
        <v>10.9830796800167</v>
      </c>
      <c r="AK555" s="160">
        <f>IF(AND(AG555&gt;0,AH555&gt;0,AI555&gt;0),AJ555,"")</f>
        <v>10.9830796800167</v>
      </c>
      <c r="AL555" s="160">
        <f>AK555+1.59*(135-AM555)</f>
        <v>10.9830796800167</v>
      </c>
      <c r="AM555" s="160">
        <f>IF(AV555&gt;135,135,IF(AV555&lt;120,120,AV555))</f>
        <v>135</v>
      </c>
      <c r="AN555" s="114">
        <v>1</v>
      </c>
      <c r="AO555" s="114">
        <v>1</v>
      </c>
      <c r="AP555" s="114">
        <v>2.9</v>
      </c>
      <c r="AQ555" s="114">
        <v>143</v>
      </c>
      <c r="AR555" s="114">
        <v>1.44</v>
      </c>
      <c r="AS555" s="160">
        <v>42</v>
      </c>
      <c r="AT555" s="161">
        <v>19.5</v>
      </c>
      <c r="AU555" s="114">
        <v>73</v>
      </c>
      <c r="AV555" s="114">
        <v>145</v>
      </c>
      <c r="AZ555" s="119" t="s">
        <v>58</v>
      </c>
    </row>
    <row r="556" s="123" customFormat="1" spans="1:52">
      <c r="A556" s="284" t="s">
        <v>1582</v>
      </c>
      <c r="B556" s="285" t="s">
        <v>48</v>
      </c>
      <c r="C556" s="285">
        <v>63</v>
      </c>
      <c r="D556" s="285">
        <v>1.66</v>
      </c>
      <c r="E556" s="285">
        <v>59</v>
      </c>
      <c r="F556" s="189">
        <f>E556/(D556*D556)</f>
        <v>21.4109449847583</v>
      </c>
      <c r="G556" s="285">
        <v>1</v>
      </c>
      <c r="H556" s="286">
        <v>45041</v>
      </c>
      <c r="I556" s="132" t="s">
        <v>1583</v>
      </c>
      <c r="J556" s="132" t="s">
        <v>1584</v>
      </c>
      <c r="L556" s="178">
        <v>2</v>
      </c>
      <c r="M556" s="178">
        <v>4</v>
      </c>
      <c r="N556" s="254" t="s">
        <v>1585</v>
      </c>
      <c r="O556" s="123">
        <v>1</v>
      </c>
      <c r="T556" s="123">
        <v>0</v>
      </c>
      <c r="U556" s="123">
        <v>0</v>
      </c>
      <c r="V556" s="123">
        <v>0</v>
      </c>
      <c r="W556" s="123">
        <v>0</v>
      </c>
      <c r="X556" s="123">
        <v>1</v>
      </c>
      <c r="Y556" s="123">
        <v>1</v>
      </c>
      <c r="Z556" s="132" t="s">
        <v>58</v>
      </c>
      <c r="AA556" s="123">
        <v>1</v>
      </c>
      <c r="AB556" s="123">
        <f>_xlfn.IFS(AT556&gt;51,3,AT556&gt;=34,2,AT556&lt;34,1)</f>
        <v>1</v>
      </c>
      <c r="AC556" s="123">
        <f>_xlfn.IFS(AS556&gt;35,1,AS556&gt;=28,2,AS556&lt;28,3)</f>
        <v>1</v>
      </c>
      <c r="AD556" s="123">
        <f>_xlfn.IFS(AR556&gt;2.3,3,AR556&gt;=1.7,2,AR556&lt;1.7,1)</f>
        <v>1</v>
      </c>
      <c r="AE556" s="123">
        <f>Y556+AA556+AB556+AC556+AD556</f>
        <v>5</v>
      </c>
      <c r="AF556" s="132" t="s">
        <v>59</v>
      </c>
      <c r="AG556" s="123">
        <f>AT556/17.1</f>
        <v>0.801169590643275</v>
      </c>
      <c r="AH556" s="123">
        <f>AU556/88.4</f>
        <v>0.644796380090498</v>
      </c>
      <c r="AI556" s="123">
        <f>AR556</f>
        <v>1.03</v>
      </c>
      <c r="AJ556" s="266">
        <f>LN(IF(AG556&gt;=1,AG556,1))*3.8+LN(IF(AH556&gt;=1,AH556,1))*9.6+11.2*LN(IF(AI556&gt;=1,AI556,1))+6.4*AN556</f>
        <v>0.331058585105298</v>
      </c>
      <c r="AK556" s="267">
        <f>IF(AND(AG556&gt;0,AH556&gt;0,AI556&gt;0),AJ556,"")</f>
        <v>0.331058585105298</v>
      </c>
      <c r="AL556" s="267">
        <f>AK556+1.59*(135-AM556)</f>
        <v>0.331058585105298</v>
      </c>
      <c r="AM556" s="267">
        <f>IF(AV556&gt;135,135,IF(AV556&lt;120,120,AV556))</f>
        <v>135</v>
      </c>
      <c r="AP556" s="123">
        <v>3.87</v>
      </c>
      <c r="AQ556" s="123">
        <v>151</v>
      </c>
      <c r="AR556" s="123">
        <v>1.03</v>
      </c>
      <c r="AS556" s="267">
        <v>39</v>
      </c>
      <c r="AT556" s="268">
        <v>13.7</v>
      </c>
      <c r="AU556" s="123">
        <v>57</v>
      </c>
      <c r="AV556" s="123">
        <v>140</v>
      </c>
      <c r="AZ556" s="132" t="s">
        <v>1586</v>
      </c>
    </row>
    <row r="557" s="123" customFormat="1" spans="1:52">
      <c r="A557" s="284" t="s">
        <v>1587</v>
      </c>
      <c r="B557" s="285" t="s">
        <v>48</v>
      </c>
      <c r="C557" s="285">
        <v>64</v>
      </c>
      <c r="D557" s="285">
        <v>1.6</v>
      </c>
      <c r="E557" s="285">
        <v>55</v>
      </c>
      <c r="F557" s="189">
        <f t="shared" ref="F557:F572" si="140">E557/(D557*D557)</f>
        <v>21.484375</v>
      </c>
      <c r="G557" s="285">
        <v>0</v>
      </c>
      <c r="H557" s="286">
        <v>45043</v>
      </c>
      <c r="I557" s="286">
        <v>45043</v>
      </c>
      <c r="J557" s="177">
        <v>45057</v>
      </c>
      <c r="K557" s="123"/>
      <c r="L557" s="178">
        <v>1</v>
      </c>
      <c r="M557" s="178">
        <v>14</v>
      </c>
      <c r="N557" s="254" t="s">
        <v>1588</v>
      </c>
      <c r="O557" s="123">
        <v>1</v>
      </c>
      <c r="P557" s="123"/>
      <c r="Q557" s="123"/>
      <c r="R557" s="123"/>
      <c r="S557" s="123"/>
      <c r="T557" s="123">
        <v>0</v>
      </c>
      <c r="U557" s="123">
        <v>0</v>
      </c>
      <c r="V557" s="123">
        <v>1</v>
      </c>
      <c r="W557" s="123">
        <v>0</v>
      </c>
      <c r="X557" s="123">
        <v>1</v>
      </c>
      <c r="Y557" s="123">
        <v>1</v>
      </c>
      <c r="Z557" s="132" t="s">
        <v>58</v>
      </c>
      <c r="AA557" s="123">
        <v>1</v>
      </c>
      <c r="AB557" s="123">
        <f t="shared" ref="AB557:AB572" si="141">_xlfn.IFS(AT557&gt;51,3,AT557&gt;=34,2,AT557&lt;34,1)</f>
        <v>1</v>
      </c>
      <c r="AC557" s="123">
        <f t="shared" ref="AC557:AC572" si="142">_xlfn.IFS(AS557&gt;35,1,AS557&gt;=28,2,AS557&lt;28,3)</f>
        <v>2</v>
      </c>
      <c r="AF557" s="132"/>
      <c r="AG557" s="123">
        <f>AT557/17.1</f>
        <v>0.900584795321637</v>
      </c>
      <c r="AH557" s="123">
        <f>AU557/88.4</f>
        <v>0.723981900452489</v>
      </c>
      <c r="AJ557" s="266">
        <f t="shared" ref="AJ557:AJ572" si="143">LN(IF(AG557&gt;=1,AG557,1))*3.8+LN(IF(AH557&gt;=1,AH557,1))*9.6+11.2*LN(IF(AI557&gt;=1,AI557,1))+6.4*AN557</f>
        <v>6.4</v>
      </c>
      <c r="AK557" s="267" t="str">
        <f>IF(AND(AG557&gt;0,AH557&gt;0,AI557&gt;0),AJ557,"")</f>
        <v/>
      </c>
      <c r="AL557" s="267"/>
      <c r="AM557" s="267">
        <f>IF(AV557&gt;135,135,IF(AV557&lt;120,120,AV557))</f>
        <v>135</v>
      </c>
      <c r="AN557" s="123">
        <v>1</v>
      </c>
      <c r="AO557" s="123"/>
      <c r="AP557" s="123">
        <v>1.91</v>
      </c>
      <c r="AQ557" s="123">
        <v>91</v>
      </c>
      <c r="AR557" s="123"/>
      <c r="AS557" s="267">
        <v>30</v>
      </c>
      <c r="AT557" s="268">
        <v>15.4</v>
      </c>
      <c r="AU557" s="123">
        <v>64</v>
      </c>
      <c r="AV557" s="123">
        <v>138</v>
      </c>
      <c r="AW557" s="123"/>
      <c r="AX557" s="123"/>
      <c r="AY557" s="123"/>
      <c r="AZ557" s="132" t="s">
        <v>1589</v>
      </c>
    </row>
    <row r="558" spans="1:52">
      <c r="A558" s="282" t="s">
        <v>1590</v>
      </c>
      <c r="B558" s="113" t="s">
        <v>48</v>
      </c>
      <c r="C558" s="113">
        <v>50</v>
      </c>
      <c r="D558" s="113">
        <v>1.8</v>
      </c>
      <c r="E558" s="113">
        <v>86</v>
      </c>
      <c r="F558" s="136">
        <f t="shared" si="140"/>
        <v>26.5432098765432</v>
      </c>
      <c r="G558" s="113">
        <v>6</v>
      </c>
      <c r="H558" s="281">
        <v>45048</v>
      </c>
      <c r="I558" s="281">
        <v>45048</v>
      </c>
      <c r="J558" s="158">
        <v>45067</v>
      </c>
      <c r="L558" s="137">
        <v>1</v>
      </c>
      <c r="M558" s="138">
        <v>19</v>
      </c>
      <c r="N558" s="270" t="s">
        <v>1591</v>
      </c>
      <c r="O558" s="114"/>
      <c r="P558" s="114">
        <v>1</v>
      </c>
      <c r="Q558" s="114"/>
      <c r="R558" s="114"/>
      <c r="S558" s="114"/>
      <c r="T558" s="114">
        <v>1</v>
      </c>
      <c r="U558" s="114">
        <v>0</v>
      </c>
      <c r="V558" s="114">
        <v>1</v>
      </c>
      <c r="W558" s="114">
        <v>0</v>
      </c>
      <c r="X558" s="114">
        <v>1</v>
      </c>
      <c r="Y558" s="114">
        <v>1</v>
      </c>
      <c r="Z558" s="116" t="s">
        <v>307</v>
      </c>
      <c r="AA558" s="114">
        <v>3</v>
      </c>
      <c r="AB558" s="114">
        <f t="shared" si="141"/>
        <v>3</v>
      </c>
      <c r="AC558" s="114">
        <f t="shared" si="142"/>
        <v>3</v>
      </c>
      <c r="AD558" s="114">
        <f t="shared" ref="AD557:AD569" si="144">_xlfn.IFS(AR558&gt;2.3,3,AR558&gt;=1.7,2,AR558&lt;1.7,1)</f>
        <v>1</v>
      </c>
      <c r="AE558" s="114">
        <f t="shared" ref="AE558:AE572" si="145">Y558+AA558+AB558+AC558+AD558</f>
        <v>11</v>
      </c>
      <c r="AF558" s="116" t="s">
        <v>50</v>
      </c>
      <c r="AG558" s="114">
        <f>AT558/17.1</f>
        <v>7.08187134502924</v>
      </c>
      <c r="AH558" s="114">
        <f>AU558/88.4</f>
        <v>0.656108597285068</v>
      </c>
      <c r="AI558" s="114">
        <f>AR558</f>
        <v>1.64</v>
      </c>
      <c r="AJ558" s="159">
        <f t="shared" si="143"/>
        <v>12.979243019356</v>
      </c>
      <c r="AK558" s="160">
        <f>IF(AND(AG558&gt;0,AH558&gt;0,AI558&gt;0),AJ558,"")</f>
        <v>12.979243019356</v>
      </c>
      <c r="AL558" s="160">
        <f>AK558+1.59*(135-AM558)</f>
        <v>12.979243019356</v>
      </c>
      <c r="AM558" s="160">
        <f>IF(AV558&gt;135,135,IF(AV558&lt;120,120,AV558))</f>
        <v>135</v>
      </c>
      <c r="AN558" s="114">
        <v>0</v>
      </c>
      <c r="AO558" s="114">
        <v>1</v>
      </c>
      <c r="AP558" s="114">
        <v>3.07</v>
      </c>
      <c r="AQ558" s="114">
        <v>131</v>
      </c>
      <c r="AR558" s="114">
        <v>1.64</v>
      </c>
      <c r="AS558" s="160">
        <v>27</v>
      </c>
      <c r="AT558" s="161">
        <v>121.1</v>
      </c>
      <c r="AU558" s="114">
        <v>58</v>
      </c>
      <c r="AV558" s="114">
        <v>141</v>
      </c>
      <c r="AZ558" s="119" t="s">
        <v>1592</v>
      </c>
    </row>
    <row r="559" s="125" customFormat="1" spans="1:52">
      <c r="A559" s="295" t="s">
        <v>1593</v>
      </c>
      <c r="B559" s="272" t="s">
        <v>48</v>
      </c>
      <c r="C559" s="272">
        <v>86</v>
      </c>
      <c r="D559" s="272">
        <v>1.72</v>
      </c>
      <c r="E559" s="272">
        <v>55</v>
      </c>
      <c r="F559" s="216">
        <f t="shared" si="140"/>
        <v>18.5911303407247</v>
      </c>
      <c r="G559" s="272">
        <v>7</v>
      </c>
      <c r="H559" s="296">
        <v>45051</v>
      </c>
      <c r="I559" s="296">
        <v>45051</v>
      </c>
      <c r="J559" s="186">
        <v>45059</v>
      </c>
      <c r="L559" s="187">
        <v>1</v>
      </c>
      <c r="M559" s="187">
        <v>8</v>
      </c>
      <c r="N559" s="248" t="s">
        <v>1594</v>
      </c>
      <c r="P559" s="125">
        <v>1</v>
      </c>
      <c r="T559" s="125">
        <v>1</v>
      </c>
      <c r="U559" s="125">
        <v>0</v>
      </c>
      <c r="V559" s="125">
        <v>1</v>
      </c>
      <c r="W559" s="125">
        <v>0</v>
      </c>
      <c r="X559" s="125">
        <v>1</v>
      </c>
      <c r="Y559" s="125">
        <v>1</v>
      </c>
      <c r="Z559" s="131" t="s">
        <v>321</v>
      </c>
      <c r="AA559" s="125">
        <v>3</v>
      </c>
      <c r="AB559" s="125">
        <f t="shared" si="141"/>
        <v>1</v>
      </c>
      <c r="AC559" s="125">
        <f t="shared" si="142"/>
        <v>2</v>
      </c>
      <c r="AD559" s="125">
        <f t="shared" si="144"/>
        <v>1</v>
      </c>
      <c r="AE559" s="125">
        <f t="shared" si="145"/>
        <v>8</v>
      </c>
      <c r="AF559" s="131" t="s">
        <v>63</v>
      </c>
      <c r="AG559" s="125">
        <f>AT559/17.1</f>
        <v>0.830409356725146</v>
      </c>
      <c r="AH559" s="125">
        <f>AU559/88.4</f>
        <v>0.83710407239819</v>
      </c>
      <c r="AI559" s="125">
        <f>AR559</f>
        <v>1.01</v>
      </c>
      <c r="AJ559" s="240">
        <f t="shared" si="143"/>
        <v>0.111443705555483</v>
      </c>
      <c r="AK559" s="241">
        <f>IF(AND(AG559&gt;0,AH559&gt;0,AI559&gt;0),AJ559,"")</f>
        <v>0.111443705555483</v>
      </c>
      <c r="AL559" s="241">
        <f>AK559+1.59*(135-AM559)</f>
        <v>0.111443705555483</v>
      </c>
      <c r="AM559" s="241">
        <f>IF(AV559&gt;135,135,IF(AV559&lt;120,120,AV559))</f>
        <v>135</v>
      </c>
      <c r="AN559" s="125">
        <v>0</v>
      </c>
      <c r="AO559" s="125">
        <v>1</v>
      </c>
      <c r="AP559" s="125">
        <v>3.83</v>
      </c>
      <c r="AQ559" s="125">
        <v>102</v>
      </c>
      <c r="AR559" s="125">
        <v>1.01</v>
      </c>
      <c r="AS559" s="241">
        <v>34</v>
      </c>
      <c r="AT559" s="242">
        <v>14.2</v>
      </c>
      <c r="AU559" s="125">
        <v>74</v>
      </c>
      <c r="AV559" s="125">
        <v>137</v>
      </c>
      <c r="AZ559" s="131" t="s">
        <v>1595</v>
      </c>
    </row>
    <row r="560" spans="1:52">
      <c r="A560" s="282" t="s">
        <v>706</v>
      </c>
      <c r="B560" s="113" t="s">
        <v>53</v>
      </c>
      <c r="C560" s="113">
        <v>50</v>
      </c>
      <c r="D560" s="113">
        <v>1.61</v>
      </c>
      <c r="E560" s="113">
        <v>70</v>
      </c>
      <c r="F560" s="136">
        <f t="shared" si="140"/>
        <v>27.0051309748852</v>
      </c>
      <c r="G560" s="113">
        <v>0</v>
      </c>
      <c r="H560" s="281">
        <v>45049</v>
      </c>
      <c r="I560" s="281">
        <v>45049</v>
      </c>
      <c r="J560" s="281">
        <v>45056</v>
      </c>
      <c r="L560" s="137">
        <v>2</v>
      </c>
      <c r="M560" s="138">
        <v>7</v>
      </c>
      <c r="N560" s="270" t="s">
        <v>1596</v>
      </c>
      <c r="O560" s="114"/>
      <c r="P560" s="114"/>
      <c r="Q560" s="114"/>
      <c r="R560" s="114">
        <v>1</v>
      </c>
      <c r="S560" s="114"/>
      <c r="T560" s="114">
        <v>1</v>
      </c>
      <c r="U560" s="114">
        <v>0</v>
      </c>
      <c r="V560" s="114">
        <v>1</v>
      </c>
      <c r="W560" s="114">
        <v>0</v>
      </c>
      <c r="X560" s="114">
        <v>1</v>
      </c>
      <c r="Y560" s="114">
        <v>1</v>
      </c>
      <c r="Z560" s="116" t="s">
        <v>300</v>
      </c>
      <c r="AA560" s="114">
        <v>2</v>
      </c>
      <c r="AB560" s="114">
        <f t="shared" si="141"/>
        <v>1</v>
      </c>
      <c r="AC560" s="114">
        <f t="shared" si="142"/>
        <v>2</v>
      </c>
      <c r="AD560" s="114">
        <f t="shared" si="144"/>
        <v>1</v>
      </c>
      <c r="AE560" s="114">
        <f t="shared" si="145"/>
        <v>7</v>
      </c>
      <c r="AF560" s="116" t="s">
        <v>63</v>
      </c>
      <c r="AG560" s="114">
        <f>AT560/17.1</f>
        <v>0.923976608187134</v>
      </c>
      <c r="AH560" s="114">
        <f>AU560/88.4</f>
        <v>0.599547511312217</v>
      </c>
      <c r="AI560" s="114">
        <f>AR560</f>
        <v>1.28</v>
      </c>
      <c r="AJ560" s="159">
        <f t="shared" si="143"/>
        <v>2.76483287283309</v>
      </c>
      <c r="AK560" s="160">
        <f>IF(AND(AG560&gt;0,AH560&gt;0,AI560&gt;0),AJ560,"")</f>
        <v>2.76483287283309</v>
      </c>
      <c r="AL560" s="160">
        <f>AK560+1.59*(135-AM560)</f>
        <v>2.76483287283309</v>
      </c>
      <c r="AM560" s="160">
        <f>IF(AV560&gt;135,135,IF(AV560&lt;120,120,AV560))</f>
        <v>135</v>
      </c>
      <c r="AN560" s="114">
        <v>0</v>
      </c>
      <c r="AO560" s="114">
        <v>1</v>
      </c>
      <c r="AP560" s="114">
        <v>2.85</v>
      </c>
      <c r="AQ560" s="114">
        <v>115</v>
      </c>
      <c r="AR560" s="114">
        <v>1.28</v>
      </c>
      <c r="AS560" s="160">
        <v>35</v>
      </c>
      <c r="AT560" s="161">
        <v>15.8</v>
      </c>
      <c r="AU560" s="114">
        <v>53</v>
      </c>
      <c r="AV560" s="114">
        <v>144</v>
      </c>
      <c r="AZ560" s="119" t="s">
        <v>1597</v>
      </c>
    </row>
    <row r="561" s="128" customFormat="1" spans="1:52">
      <c r="A561" s="300" t="s">
        <v>1598</v>
      </c>
      <c r="B561" s="301" t="s">
        <v>48</v>
      </c>
      <c r="C561" s="301">
        <v>66</v>
      </c>
      <c r="D561" s="301">
        <v>1.78</v>
      </c>
      <c r="E561" s="301">
        <v>90</v>
      </c>
      <c r="F561" s="205">
        <f t="shared" si="140"/>
        <v>28.4055043555107</v>
      </c>
      <c r="G561" s="301">
        <v>6</v>
      </c>
      <c r="H561" s="302">
        <v>45051</v>
      </c>
      <c r="I561" s="206">
        <v>45051</v>
      </c>
      <c r="J561" s="206">
        <v>45060</v>
      </c>
      <c r="L561" s="207">
        <v>2</v>
      </c>
      <c r="M561" s="207">
        <v>9</v>
      </c>
      <c r="N561" s="303" t="s">
        <v>1599</v>
      </c>
      <c r="O561" s="114"/>
      <c r="P561" s="114">
        <v>1</v>
      </c>
      <c r="Q561" s="114"/>
      <c r="R561" s="114"/>
      <c r="S561" s="114"/>
      <c r="T561" s="114">
        <v>1</v>
      </c>
      <c r="U561" s="114">
        <v>1</v>
      </c>
      <c r="V561" s="114">
        <v>1</v>
      </c>
      <c r="W561" s="114">
        <v>0</v>
      </c>
      <c r="X561" s="114">
        <v>1</v>
      </c>
      <c r="Y561" s="114">
        <v>2</v>
      </c>
      <c r="Z561" s="116" t="s">
        <v>321</v>
      </c>
      <c r="AA561" s="114">
        <v>3</v>
      </c>
      <c r="AB561" s="114">
        <f t="shared" si="141"/>
        <v>3</v>
      </c>
      <c r="AC561" s="114">
        <f t="shared" si="142"/>
        <v>3</v>
      </c>
      <c r="AD561" s="114">
        <f t="shared" si="144"/>
        <v>1</v>
      </c>
      <c r="AE561" s="114">
        <f t="shared" si="145"/>
        <v>12</v>
      </c>
      <c r="AF561" s="116" t="s">
        <v>50</v>
      </c>
      <c r="AG561" s="114">
        <f>AT561/17.1</f>
        <v>4.62573099415205</v>
      </c>
      <c r="AH561" s="114">
        <f>AU561/88.4</f>
        <v>0.938914027149321</v>
      </c>
      <c r="AI561" s="114">
        <f>AR561</f>
        <v>1.33</v>
      </c>
      <c r="AJ561" s="159">
        <f t="shared" si="143"/>
        <v>9.014214915824</v>
      </c>
      <c r="AK561" s="160">
        <f>IF(AND(AG561&gt;0,AH561&gt;0,AI561&gt;0),AJ561,"")</f>
        <v>9.014214915824</v>
      </c>
      <c r="AL561" s="160">
        <f>AK561+1.59*(135-AM561)</f>
        <v>9.014214915824</v>
      </c>
      <c r="AM561" s="160">
        <f>IF(AV561&gt;135,135,IF(AV561&lt;120,120,AV561))</f>
        <v>135</v>
      </c>
      <c r="AN561" s="114">
        <v>0</v>
      </c>
      <c r="AO561" s="114">
        <v>1</v>
      </c>
      <c r="AP561" s="114">
        <v>5.57</v>
      </c>
      <c r="AQ561" s="114">
        <v>136</v>
      </c>
      <c r="AR561" s="114">
        <v>1.33</v>
      </c>
      <c r="AS561" s="160">
        <v>24</v>
      </c>
      <c r="AT561" s="161">
        <v>79.1</v>
      </c>
      <c r="AU561" s="114">
        <v>83</v>
      </c>
      <c r="AV561" s="114">
        <v>135</v>
      </c>
      <c r="AZ561" s="209" t="s">
        <v>58</v>
      </c>
    </row>
    <row r="562" ht="14.55" customHeight="1" spans="1:52">
      <c r="A562" s="282" t="s">
        <v>1600</v>
      </c>
      <c r="B562" s="113" t="s">
        <v>53</v>
      </c>
      <c r="C562" s="113">
        <v>65</v>
      </c>
      <c r="D562" s="113">
        <v>1.64</v>
      </c>
      <c r="E562" s="113">
        <v>65</v>
      </c>
      <c r="F562" s="136">
        <f t="shared" si="140"/>
        <v>24.1671624033314</v>
      </c>
      <c r="G562" s="113">
        <v>2</v>
      </c>
      <c r="H562" s="281">
        <v>45049</v>
      </c>
      <c r="I562" s="281">
        <v>45049</v>
      </c>
      <c r="J562" s="158">
        <v>45052</v>
      </c>
      <c r="L562" s="137">
        <v>1</v>
      </c>
      <c r="M562" s="138">
        <v>6</v>
      </c>
      <c r="N562" s="270" t="s">
        <v>1601</v>
      </c>
      <c r="O562" s="114"/>
      <c r="P562" s="114"/>
      <c r="Q562" s="114"/>
      <c r="R562" s="114"/>
      <c r="S562" s="114">
        <v>1</v>
      </c>
      <c r="T562" s="114">
        <v>0</v>
      </c>
      <c r="U562" s="114">
        <v>0</v>
      </c>
      <c r="V562" s="114">
        <v>0</v>
      </c>
      <c r="W562" s="114">
        <v>0</v>
      </c>
      <c r="X562" s="114">
        <v>0</v>
      </c>
      <c r="Y562" s="114">
        <v>1</v>
      </c>
      <c r="Z562" s="116" t="s">
        <v>58</v>
      </c>
      <c r="AA562" s="114">
        <v>1</v>
      </c>
      <c r="AB562" s="114">
        <f t="shared" si="141"/>
        <v>1</v>
      </c>
      <c r="AC562" s="114">
        <f t="shared" si="142"/>
        <v>1</v>
      </c>
      <c r="AD562" s="114">
        <f t="shared" si="144"/>
        <v>1</v>
      </c>
      <c r="AE562" s="114">
        <f t="shared" si="145"/>
        <v>5</v>
      </c>
      <c r="AF562" s="116" t="s">
        <v>59</v>
      </c>
      <c r="AG562" s="114">
        <f>AT562/17.1</f>
        <v>0.771929824561403</v>
      </c>
      <c r="AH562" s="114">
        <f>AU562/88.4</f>
        <v>0.712669683257918</v>
      </c>
      <c r="AI562" s="114">
        <f>AR562</f>
        <v>1.09</v>
      </c>
      <c r="AJ562" s="159">
        <f t="shared" si="143"/>
        <v>7.36519019789979</v>
      </c>
      <c r="AK562" s="160">
        <f>IF(AND(AG562&gt;0,AH562&gt;0,AI562&gt;0),AJ562,"")</f>
        <v>7.36519019789979</v>
      </c>
      <c r="AL562" s="160">
        <f>AK562+1.59*(135-AM562)</f>
        <v>7.36519019789979</v>
      </c>
      <c r="AM562" s="160">
        <f>IF(AV562&gt;135,135,IF(AV562&lt;120,120,AV562))</f>
        <v>135</v>
      </c>
      <c r="AN562" s="114">
        <v>1</v>
      </c>
      <c r="AO562" s="114">
        <v>1</v>
      </c>
      <c r="AP562" s="114">
        <v>5.72</v>
      </c>
      <c r="AQ562" s="114">
        <v>119</v>
      </c>
      <c r="AR562" s="114">
        <v>1.09</v>
      </c>
      <c r="AS562" s="160">
        <v>40</v>
      </c>
      <c r="AT562" s="161">
        <v>13.2</v>
      </c>
      <c r="AU562" s="114">
        <v>63</v>
      </c>
      <c r="AV562" s="114">
        <v>135</v>
      </c>
      <c r="AZ562" s="119" t="s">
        <v>1602</v>
      </c>
    </row>
    <row r="563" spans="1:52">
      <c r="A563" s="282" t="s">
        <v>1603</v>
      </c>
      <c r="B563" s="113" t="s">
        <v>48</v>
      </c>
      <c r="C563" s="113">
        <v>64</v>
      </c>
      <c r="D563" s="113">
        <v>1.7</v>
      </c>
      <c r="E563" s="113">
        <v>55</v>
      </c>
      <c r="F563" s="136">
        <f t="shared" si="140"/>
        <v>19.0311418685121</v>
      </c>
      <c r="G563" s="113">
        <v>1</v>
      </c>
      <c r="H563" s="281">
        <v>45049</v>
      </c>
      <c r="I563" s="158">
        <v>45049</v>
      </c>
      <c r="J563" s="158">
        <v>45056</v>
      </c>
      <c r="L563" s="137">
        <v>1</v>
      </c>
      <c r="M563" s="138">
        <v>7</v>
      </c>
      <c r="N563" s="270" t="s">
        <v>1604</v>
      </c>
      <c r="O563" s="114">
        <v>1</v>
      </c>
      <c r="P563" s="114"/>
      <c r="Q563" s="114"/>
      <c r="R563" s="114"/>
      <c r="S563" s="114"/>
      <c r="T563" s="114">
        <v>0</v>
      </c>
      <c r="U563" s="114">
        <v>0</v>
      </c>
      <c r="V563" s="114">
        <v>0</v>
      </c>
      <c r="W563" s="114">
        <v>0</v>
      </c>
      <c r="X563" s="114">
        <v>1</v>
      </c>
      <c r="Y563" s="114">
        <v>1</v>
      </c>
      <c r="Z563" s="116" t="s">
        <v>58</v>
      </c>
      <c r="AA563" s="114">
        <v>1</v>
      </c>
      <c r="AB563" s="114">
        <f t="shared" si="141"/>
        <v>1</v>
      </c>
      <c r="AC563" s="114">
        <f t="shared" si="142"/>
        <v>3</v>
      </c>
      <c r="AD563" s="114">
        <f t="shared" si="144"/>
        <v>1</v>
      </c>
      <c r="AE563" s="114">
        <f t="shared" si="145"/>
        <v>7</v>
      </c>
      <c r="AF563" s="116" t="s">
        <v>63</v>
      </c>
      <c r="AG563" s="114">
        <f>AT563/17.1</f>
        <v>0.83625730994152</v>
      </c>
      <c r="AH563" s="114">
        <f>AU563/88.4</f>
        <v>2.55656108597285</v>
      </c>
      <c r="AI563" s="114">
        <f>AR563</f>
        <v>1.33</v>
      </c>
      <c r="AJ563" s="159">
        <f t="shared" si="143"/>
        <v>18.6051692374524</v>
      </c>
      <c r="AK563" s="160">
        <f>IF(AND(AG563&gt;0,AH563&gt;0,AI563&gt;0),AJ563,"")</f>
        <v>18.6051692374524</v>
      </c>
      <c r="AL563" s="160">
        <f>AK563+1.59*(135-AM563)</f>
        <v>18.6051692374524</v>
      </c>
      <c r="AM563" s="160">
        <f>IF(AV563&gt;135,135,IF(AV563&lt;120,120,AV563))</f>
        <v>135</v>
      </c>
      <c r="AN563" s="114">
        <v>1</v>
      </c>
      <c r="AO563" s="114">
        <v>3</v>
      </c>
      <c r="AP563" s="114">
        <v>3.4</v>
      </c>
      <c r="AQ563" s="114">
        <v>77</v>
      </c>
      <c r="AR563" s="114">
        <v>1.33</v>
      </c>
      <c r="AS563" s="160">
        <v>25</v>
      </c>
      <c r="AT563" s="161">
        <v>14.3</v>
      </c>
      <c r="AU563" s="114">
        <v>226</v>
      </c>
      <c r="AV563" s="114">
        <v>137</v>
      </c>
      <c r="AZ563" s="119" t="s">
        <v>1605</v>
      </c>
    </row>
    <row r="564" s="125" customFormat="1" spans="1:52">
      <c r="A564" s="295" t="s">
        <v>1001</v>
      </c>
      <c r="B564" s="272" t="s">
        <v>48</v>
      </c>
      <c r="C564" s="272">
        <v>59</v>
      </c>
      <c r="D564" s="272">
        <v>1.77</v>
      </c>
      <c r="E564" s="272">
        <v>85</v>
      </c>
      <c r="F564" s="216">
        <f t="shared" si="140"/>
        <v>27.1314117909924</v>
      </c>
      <c r="G564" s="272">
        <v>6</v>
      </c>
      <c r="H564" s="296">
        <v>45057</v>
      </c>
      <c r="I564" s="186">
        <v>45057</v>
      </c>
      <c r="J564" s="186">
        <v>45076</v>
      </c>
      <c r="L564" s="187">
        <v>4</v>
      </c>
      <c r="M564" s="187">
        <v>19</v>
      </c>
      <c r="N564" s="248" t="s">
        <v>1606</v>
      </c>
      <c r="O564" s="114"/>
      <c r="P564" s="114">
        <v>1</v>
      </c>
      <c r="Q564" s="114"/>
      <c r="R564" s="114"/>
      <c r="S564" s="114"/>
      <c r="T564" s="114">
        <v>1</v>
      </c>
      <c r="U564" s="114">
        <v>0</v>
      </c>
      <c r="V564" s="114">
        <v>1</v>
      </c>
      <c r="W564" s="114">
        <v>1</v>
      </c>
      <c r="X564" s="114">
        <v>1</v>
      </c>
      <c r="Y564" s="114">
        <v>1</v>
      </c>
      <c r="Z564" s="116" t="s">
        <v>321</v>
      </c>
      <c r="AA564" s="114">
        <v>3</v>
      </c>
      <c r="AB564" s="114">
        <f t="shared" si="141"/>
        <v>1</v>
      </c>
      <c r="AC564" s="114">
        <f t="shared" si="142"/>
        <v>2</v>
      </c>
      <c r="AD564" s="114">
        <f t="shared" si="144"/>
        <v>1</v>
      </c>
      <c r="AE564" s="114">
        <f t="shared" si="145"/>
        <v>8</v>
      </c>
      <c r="AF564" s="116" t="s">
        <v>63</v>
      </c>
      <c r="AG564" s="114">
        <f>AT564/17.1</f>
        <v>1.80701754385965</v>
      </c>
      <c r="AH564" s="114">
        <f>AU564/88.4</f>
        <v>0.82579185520362</v>
      </c>
      <c r="AI564" s="114">
        <f>AR564</f>
        <v>1.45</v>
      </c>
      <c r="AJ564" s="159">
        <f t="shared" si="143"/>
        <v>6.40988716954513</v>
      </c>
      <c r="AK564" s="160">
        <f>IF(AND(AG564&gt;0,AH564&gt;0,AI564&gt;0),AJ564,"")</f>
        <v>6.40988716954513</v>
      </c>
      <c r="AL564" s="160">
        <f>AK564+1.59*(135-AM564)</f>
        <v>6.40988716954513</v>
      </c>
      <c r="AM564" s="160">
        <f>IF(AV564&gt;135,135,IF(AV564&lt;120,120,AV564))</f>
        <v>135</v>
      </c>
      <c r="AN564" s="114">
        <v>0</v>
      </c>
      <c r="AO564" s="114">
        <v>1</v>
      </c>
      <c r="AP564" s="114">
        <v>6.51</v>
      </c>
      <c r="AQ564" s="114">
        <v>96</v>
      </c>
      <c r="AR564" s="114">
        <v>1.45</v>
      </c>
      <c r="AS564" s="160">
        <v>28</v>
      </c>
      <c r="AT564" s="161">
        <v>30.9</v>
      </c>
      <c r="AU564" s="114">
        <v>73</v>
      </c>
      <c r="AV564" s="114">
        <v>140</v>
      </c>
      <c r="AZ564" s="131" t="s">
        <v>1607</v>
      </c>
    </row>
    <row r="565" s="125" customFormat="1" spans="1:52">
      <c r="A565" s="295" t="s">
        <v>1312</v>
      </c>
      <c r="B565" s="272" t="s">
        <v>53</v>
      </c>
      <c r="C565" s="272">
        <v>72</v>
      </c>
      <c r="D565" s="272">
        <v>1.55</v>
      </c>
      <c r="E565" s="272">
        <v>62</v>
      </c>
      <c r="F565" s="216">
        <f t="shared" si="140"/>
        <v>25.8064516129032</v>
      </c>
      <c r="G565" s="272">
        <v>1</v>
      </c>
      <c r="H565" s="296">
        <v>45059</v>
      </c>
      <c r="I565" s="186">
        <v>45059</v>
      </c>
      <c r="J565" s="186">
        <v>45068</v>
      </c>
      <c r="K565" s="125"/>
      <c r="L565" s="187">
        <v>2</v>
      </c>
      <c r="M565" s="187">
        <v>9</v>
      </c>
      <c r="N565" s="248" t="s">
        <v>1608</v>
      </c>
      <c r="O565" s="125"/>
      <c r="P565" s="125"/>
      <c r="Q565" s="125">
        <v>1</v>
      </c>
      <c r="R565" s="125"/>
      <c r="S565" s="125"/>
      <c r="T565" s="125">
        <v>1</v>
      </c>
      <c r="U565" s="125">
        <v>1</v>
      </c>
      <c r="V565" s="125">
        <v>0</v>
      </c>
      <c r="W565" s="125">
        <v>0</v>
      </c>
      <c r="X565" s="125">
        <v>1</v>
      </c>
      <c r="Y565" s="125">
        <v>2</v>
      </c>
      <c r="Z565" s="131" t="s">
        <v>300</v>
      </c>
      <c r="AA565" s="125">
        <v>2</v>
      </c>
      <c r="AB565" s="125">
        <f t="shared" si="141"/>
        <v>2</v>
      </c>
      <c r="AC565" s="125">
        <f t="shared" si="142"/>
        <v>3</v>
      </c>
      <c r="AD565" s="125">
        <f t="shared" si="144"/>
        <v>1</v>
      </c>
      <c r="AE565" s="125">
        <f t="shared" si="145"/>
        <v>10</v>
      </c>
      <c r="AF565" s="131" t="s">
        <v>50</v>
      </c>
      <c r="AG565" s="125">
        <f>AT565/17.1</f>
        <v>2.9766081871345</v>
      </c>
      <c r="AH565" s="125">
        <f>AU565/88.4</f>
        <v>0.509049773755656</v>
      </c>
      <c r="AI565" s="125">
        <f>AR565</f>
        <v>1.67</v>
      </c>
      <c r="AJ565" s="240">
        <f t="shared" si="143"/>
        <v>16.2886055641829</v>
      </c>
      <c r="AK565" s="241">
        <f>IF(AND(AG565&gt;0,AH565&gt;0,AI565&gt;0),AJ565,"")</f>
        <v>16.2886055641829</v>
      </c>
      <c r="AL565" s="241">
        <f>AK565+1.59*(135-AM565)</f>
        <v>17.8786055641829</v>
      </c>
      <c r="AM565" s="241">
        <f>IF(AV565&gt;135,135,IF(AV565&lt;120,120,AV565))</f>
        <v>134</v>
      </c>
      <c r="AN565" s="125">
        <v>1</v>
      </c>
      <c r="AO565" s="125">
        <v>2</v>
      </c>
      <c r="AP565" s="125">
        <v>2.88</v>
      </c>
      <c r="AQ565" s="125">
        <v>104</v>
      </c>
      <c r="AR565" s="125">
        <v>1.67</v>
      </c>
      <c r="AS565" s="241">
        <v>23</v>
      </c>
      <c r="AT565" s="242">
        <v>50.9</v>
      </c>
      <c r="AU565" s="125">
        <v>45</v>
      </c>
      <c r="AV565" s="125">
        <v>134</v>
      </c>
      <c r="AW565" s="125"/>
      <c r="AX565" s="125"/>
      <c r="AY565" s="125"/>
      <c r="AZ565" s="131" t="s">
        <v>1609</v>
      </c>
    </row>
    <row r="566" spans="1:52">
      <c r="A566" s="282" t="s">
        <v>786</v>
      </c>
      <c r="B566" s="113" t="s">
        <v>48</v>
      </c>
      <c r="C566" s="113">
        <v>71</v>
      </c>
      <c r="D566" s="113">
        <v>1.73</v>
      </c>
      <c r="E566" s="113">
        <v>96</v>
      </c>
      <c r="F566" s="136">
        <f t="shared" si="140"/>
        <v>32.075912994086</v>
      </c>
      <c r="G566" s="113">
        <v>0</v>
      </c>
      <c r="H566" s="281">
        <v>45061</v>
      </c>
      <c r="I566" s="158">
        <v>45061</v>
      </c>
      <c r="J566" s="158">
        <v>45068</v>
      </c>
      <c r="L566" s="137">
        <v>6</v>
      </c>
      <c r="M566" s="138">
        <v>7</v>
      </c>
      <c r="N566" s="270" t="s">
        <v>1610</v>
      </c>
      <c r="O566" s="114"/>
      <c r="P566" s="114"/>
      <c r="Q566" s="114"/>
      <c r="R566" s="114"/>
      <c r="S566" s="114">
        <v>1</v>
      </c>
      <c r="T566" s="114">
        <v>0</v>
      </c>
      <c r="U566" s="114">
        <v>0</v>
      </c>
      <c r="V566" s="114">
        <v>1</v>
      </c>
      <c r="W566" s="114">
        <v>0</v>
      </c>
      <c r="X566" s="114">
        <v>1</v>
      </c>
      <c r="Y566" s="114">
        <v>1</v>
      </c>
      <c r="Z566" s="116" t="s">
        <v>58</v>
      </c>
      <c r="AA566" s="114">
        <v>1</v>
      </c>
      <c r="AB566" s="114">
        <f t="shared" si="141"/>
        <v>1</v>
      </c>
      <c r="AC566" s="114">
        <f t="shared" si="142"/>
        <v>2</v>
      </c>
      <c r="AD566" s="114">
        <f t="shared" si="144"/>
        <v>1</v>
      </c>
      <c r="AE566" s="114">
        <f t="shared" si="145"/>
        <v>6</v>
      </c>
      <c r="AF566" s="116" t="s">
        <v>59</v>
      </c>
      <c r="AG566" s="114">
        <f>AT566/17.1</f>
        <v>0.678362573099415</v>
      </c>
      <c r="AH566" s="114">
        <f>AU566/88.4</f>
        <v>0.633484162895928</v>
      </c>
      <c r="AI566" s="114">
        <f>AR566</f>
        <v>1.24</v>
      </c>
      <c r="AJ566" s="159">
        <f t="shared" si="143"/>
        <v>8.80924745170979</v>
      </c>
      <c r="AK566" s="160">
        <f>IF(AND(AG566&gt;0,AH566&gt;0,AI566&gt;0),AJ566,"")</f>
        <v>8.80924745170979</v>
      </c>
      <c r="AL566" s="160">
        <f>AK566+1.59*(135-AM566)</f>
        <v>8.80924745170979</v>
      </c>
      <c r="AM566" s="160">
        <f>IF(AV566&gt;135,135,IF(AV566&lt;120,120,AV566))</f>
        <v>135</v>
      </c>
      <c r="AN566" s="114">
        <v>1</v>
      </c>
      <c r="AO566" s="114">
        <v>1</v>
      </c>
      <c r="AP566" s="114">
        <v>1.73</v>
      </c>
      <c r="AQ566" s="114">
        <v>69</v>
      </c>
      <c r="AR566" s="114">
        <v>1.24</v>
      </c>
      <c r="AS566" s="160">
        <v>34</v>
      </c>
      <c r="AT566" s="161">
        <v>11.6</v>
      </c>
      <c r="AU566" s="114">
        <v>56</v>
      </c>
      <c r="AV566" s="114">
        <v>143</v>
      </c>
      <c r="AZ566" s="119" t="s">
        <v>1611</v>
      </c>
    </row>
    <row r="567" spans="1:52">
      <c r="A567" s="282" t="s">
        <v>1612</v>
      </c>
      <c r="B567" s="113" t="s">
        <v>53</v>
      </c>
      <c r="C567" s="113">
        <v>75</v>
      </c>
      <c r="D567" s="113">
        <v>1.55</v>
      </c>
      <c r="E567" s="113">
        <v>80</v>
      </c>
      <c r="F567" s="136">
        <f t="shared" si="140"/>
        <v>33.2986472424558</v>
      </c>
      <c r="G567" s="113">
        <v>3</v>
      </c>
      <c r="H567" s="281">
        <v>45062</v>
      </c>
      <c r="I567" s="158">
        <v>45062</v>
      </c>
      <c r="J567" s="158">
        <v>45075</v>
      </c>
      <c r="L567" s="137">
        <v>2</v>
      </c>
      <c r="M567" s="138">
        <v>13</v>
      </c>
      <c r="N567" s="270" t="s">
        <v>1613</v>
      </c>
      <c r="O567" s="114"/>
      <c r="P567" s="114"/>
      <c r="Q567" s="114"/>
      <c r="R567" s="114">
        <v>1</v>
      </c>
      <c r="S567" s="114"/>
      <c r="T567" s="114">
        <v>1</v>
      </c>
      <c r="U567" s="114">
        <v>0</v>
      </c>
      <c r="V567" s="114">
        <v>0</v>
      </c>
      <c r="W567" s="114">
        <v>0</v>
      </c>
      <c r="X567" s="114">
        <v>0</v>
      </c>
      <c r="Y567" s="114">
        <v>1</v>
      </c>
      <c r="Z567" s="116" t="s">
        <v>300</v>
      </c>
      <c r="AA567" s="114">
        <v>2</v>
      </c>
      <c r="AB567" s="114">
        <f t="shared" si="141"/>
        <v>3</v>
      </c>
      <c r="AC567" s="114">
        <f t="shared" si="142"/>
        <v>3</v>
      </c>
      <c r="AD567" s="114">
        <f t="shared" si="144"/>
        <v>1</v>
      </c>
      <c r="AE567" s="114">
        <f t="shared" si="145"/>
        <v>10</v>
      </c>
      <c r="AF567" s="116" t="s">
        <v>50</v>
      </c>
      <c r="AG567" s="114">
        <f>AT567/17.1</f>
        <v>4.76023391812866</v>
      </c>
      <c r="AH567" s="114">
        <f>AU567/88.4</f>
        <v>0.916289592760181</v>
      </c>
      <c r="AI567" s="114">
        <f>AR567</f>
        <v>1.66</v>
      </c>
      <c r="AJ567" s="159">
        <f t="shared" si="143"/>
        <v>11.6054850226262</v>
      </c>
      <c r="AK567" s="160">
        <f>IF(AND(AG567&gt;0,AH567&gt;0,AI567&gt;0),AJ567,"")</f>
        <v>11.6054850226262</v>
      </c>
      <c r="AL567" s="160">
        <f>AK567+1.59*(135-AM567)</f>
        <v>11.6054850226262</v>
      </c>
      <c r="AM567" s="160">
        <f>IF(AV567&gt;135,135,IF(AV567&lt;120,120,AV567))</f>
        <v>135</v>
      </c>
      <c r="AN567" s="114">
        <v>0</v>
      </c>
      <c r="AO567" s="114">
        <v>1</v>
      </c>
      <c r="AP567" s="114">
        <v>3.67</v>
      </c>
      <c r="AQ567" s="114">
        <v>106</v>
      </c>
      <c r="AR567" s="114">
        <v>1.66</v>
      </c>
      <c r="AS567" s="160">
        <v>24</v>
      </c>
      <c r="AT567" s="161">
        <v>81.4</v>
      </c>
      <c r="AU567" s="114">
        <v>81</v>
      </c>
      <c r="AV567" s="114">
        <v>139</v>
      </c>
      <c r="AZ567" s="119" t="s">
        <v>1614</v>
      </c>
    </row>
    <row r="568" s="123" customFormat="1" spans="1:52">
      <c r="A568" s="284" t="s">
        <v>1615</v>
      </c>
      <c r="B568" s="285" t="s">
        <v>48</v>
      </c>
      <c r="C568" s="285">
        <v>67</v>
      </c>
      <c r="D568" s="285">
        <v>1.72</v>
      </c>
      <c r="E568" s="285">
        <v>65</v>
      </c>
      <c r="F568" s="189">
        <f t="shared" si="140"/>
        <v>21.9713358572201</v>
      </c>
      <c r="G568" s="285">
        <v>0</v>
      </c>
      <c r="H568" s="286">
        <v>45063</v>
      </c>
      <c r="I568" s="177">
        <v>45063</v>
      </c>
      <c r="J568" s="177">
        <v>45075</v>
      </c>
      <c r="L568" s="178">
        <v>9</v>
      </c>
      <c r="M568" s="178">
        <v>12</v>
      </c>
      <c r="N568" s="254" t="s">
        <v>1616</v>
      </c>
      <c r="Q568" s="132"/>
      <c r="S568" s="123">
        <v>1</v>
      </c>
      <c r="T568" s="123">
        <v>0</v>
      </c>
      <c r="U568" s="123">
        <v>0</v>
      </c>
      <c r="V568" s="123">
        <v>1</v>
      </c>
      <c r="W568" s="123">
        <v>0</v>
      </c>
      <c r="X568" s="123">
        <v>1</v>
      </c>
      <c r="Y568" s="123">
        <v>1</v>
      </c>
      <c r="Z568" s="132" t="s">
        <v>58</v>
      </c>
      <c r="AA568" s="123">
        <v>1</v>
      </c>
      <c r="AB568" s="123">
        <f t="shared" si="141"/>
        <v>1</v>
      </c>
      <c r="AC568" s="123">
        <f t="shared" si="142"/>
        <v>2</v>
      </c>
      <c r="AD568" s="123">
        <f t="shared" si="144"/>
        <v>1</v>
      </c>
      <c r="AE568" s="123">
        <f t="shared" si="145"/>
        <v>6</v>
      </c>
      <c r="AF568" s="132" t="s">
        <v>59</v>
      </c>
      <c r="AG568" s="123">
        <f>AT568/17.1</f>
        <v>1.67251461988304</v>
      </c>
      <c r="AH568" s="123">
        <f>AU568/88.4</f>
        <v>0.576923076923077</v>
      </c>
      <c r="AI568" s="123">
        <f>AR568</f>
        <v>1.31</v>
      </c>
      <c r="AJ568" s="266">
        <f t="shared" si="143"/>
        <v>11.3787513031916</v>
      </c>
      <c r="AK568" s="267">
        <f>IF(AND(AG568&gt;0,AH568&gt;0,AI568&gt;0),AJ568,"")</f>
        <v>11.3787513031916</v>
      </c>
      <c r="AL568" s="267">
        <f>AK568+1.59*(135-AM568)</f>
        <v>11.3787513031916</v>
      </c>
      <c r="AM568" s="267">
        <f>IF(AV568&gt;135,135,IF(AV568&lt;120,120,AV568))</f>
        <v>135</v>
      </c>
      <c r="AN568" s="123">
        <v>1</v>
      </c>
      <c r="AO568" s="123">
        <v>1</v>
      </c>
      <c r="AP568" s="123">
        <v>5.82</v>
      </c>
      <c r="AQ568" s="123">
        <v>128</v>
      </c>
      <c r="AR568" s="123">
        <v>1.31</v>
      </c>
      <c r="AS568" s="267">
        <v>32</v>
      </c>
      <c r="AT568" s="268">
        <v>28.6</v>
      </c>
      <c r="AU568" s="123">
        <v>51</v>
      </c>
      <c r="AV568" s="123">
        <v>143</v>
      </c>
      <c r="AZ568" s="132" t="s">
        <v>1617</v>
      </c>
    </row>
    <row r="569" s="125" customFormat="1" spans="1:52">
      <c r="A569" s="295" t="s">
        <v>1618</v>
      </c>
      <c r="B569" s="272" t="s">
        <v>53</v>
      </c>
      <c r="C569" s="272">
        <v>71</v>
      </c>
      <c r="D569" s="272">
        <v>1.63</v>
      </c>
      <c r="E569" s="272">
        <v>70</v>
      </c>
      <c r="F569" s="216">
        <f t="shared" si="140"/>
        <v>26.346494034401</v>
      </c>
      <c r="G569" s="272">
        <v>3</v>
      </c>
      <c r="H569" s="296">
        <v>45072</v>
      </c>
      <c r="I569" s="186">
        <v>45096</v>
      </c>
      <c r="J569" s="186">
        <v>45111</v>
      </c>
      <c r="L569" s="187">
        <v>2</v>
      </c>
      <c r="M569" s="187">
        <v>14</v>
      </c>
      <c r="N569" s="248" t="s">
        <v>1619</v>
      </c>
      <c r="O569" s="114"/>
      <c r="P569" s="114"/>
      <c r="Q569" s="114">
        <v>1</v>
      </c>
      <c r="R569" s="114"/>
      <c r="S569" s="114"/>
      <c r="T569" s="114">
        <v>1</v>
      </c>
      <c r="U569" s="114">
        <v>0</v>
      </c>
      <c r="V569" s="114">
        <v>1</v>
      </c>
      <c r="W569" s="114">
        <v>0</v>
      </c>
      <c r="X569" s="114">
        <v>1</v>
      </c>
      <c r="Y569" s="114">
        <v>1</v>
      </c>
      <c r="Z569" s="116" t="s">
        <v>307</v>
      </c>
      <c r="AA569" s="114">
        <v>3</v>
      </c>
      <c r="AB569" s="114">
        <f t="shared" si="141"/>
        <v>1</v>
      </c>
      <c r="AC569" s="114">
        <f t="shared" si="142"/>
        <v>2</v>
      </c>
      <c r="AD569" s="114">
        <v>2</v>
      </c>
      <c r="AE569" s="114">
        <f t="shared" si="145"/>
        <v>9</v>
      </c>
      <c r="AF569" s="116" t="s">
        <v>63</v>
      </c>
      <c r="AG569" s="114">
        <f>AT569/17.1</f>
        <v>1.66666666666667</v>
      </c>
      <c r="AH569" s="114">
        <f>AU569/88.4</f>
        <v>0.497737556561086</v>
      </c>
      <c r="AI569" s="114">
        <f>AR569</f>
        <v>1.85</v>
      </c>
      <c r="AJ569" s="159">
        <f t="shared" si="143"/>
        <v>15.2312165281214</v>
      </c>
      <c r="AK569" s="160">
        <f>IF(AND(AG569&gt;0,AH569&gt;0,AI569&gt;0),AJ569,"")</f>
        <v>15.2312165281214</v>
      </c>
      <c r="AL569" s="160">
        <f>AK569+1.59*(135-AM569)</f>
        <v>15.2312165281214</v>
      </c>
      <c r="AM569" s="160">
        <f>IF(AV569&gt;135,135,IF(AV569&lt;120,120,AV569))</f>
        <v>135</v>
      </c>
      <c r="AN569" s="114">
        <v>1</v>
      </c>
      <c r="AO569" s="114">
        <v>2</v>
      </c>
      <c r="AP569" s="114">
        <v>3.79</v>
      </c>
      <c r="AQ569" s="114">
        <v>101</v>
      </c>
      <c r="AR569" s="114">
        <v>1.85</v>
      </c>
      <c r="AS569" s="160">
        <v>30</v>
      </c>
      <c r="AT569" s="161">
        <v>28.5</v>
      </c>
      <c r="AU569" s="114">
        <v>44</v>
      </c>
      <c r="AV569" s="114">
        <v>136</v>
      </c>
      <c r="AZ569" s="131" t="s">
        <v>1620</v>
      </c>
    </row>
    <row r="570" spans="1:52">
      <c r="A570" s="282" t="s">
        <v>1621</v>
      </c>
      <c r="B570" s="113" t="s">
        <v>48</v>
      </c>
      <c r="C570" s="113">
        <v>73</v>
      </c>
      <c r="D570" s="113">
        <v>1.69</v>
      </c>
      <c r="E570" s="113">
        <v>65</v>
      </c>
      <c r="F570" s="136">
        <f t="shared" si="140"/>
        <v>22.7583067819754</v>
      </c>
      <c r="G570" s="113">
        <v>7</v>
      </c>
      <c r="H570" s="281">
        <v>45075</v>
      </c>
      <c r="I570" s="158">
        <v>45075</v>
      </c>
      <c r="J570" s="158">
        <v>45082</v>
      </c>
      <c r="L570" s="137">
        <v>1</v>
      </c>
      <c r="M570" s="138">
        <v>7</v>
      </c>
      <c r="N570" s="270" t="s">
        <v>1622</v>
      </c>
      <c r="O570" s="114"/>
      <c r="P570" s="114"/>
      <c r="Q570" s="114">
        <v>1</v>
      </c>
      <c r="R570" s="114"/>
      <c r="S570" s="114"/>
      <c r="T570" s="114">
        <v>1</v>
      </c>
      <c r="U570" s="114">
        <v>0</v>
      </c>
      <c r="V570" s="114">
        <v>1</v>
      </c>
      <c r="W570" s="114">
        <v>1</v>
      </c>
      <c r="X570" s="114">
        <v>1</v>
      </c>
      <c r="Y570" s="114">
        <v>1</v>
      </c>
      <c r="Z570" s="116" t="s">
        <v>307</v>
      </c>
      <c r="AA570" s="114">
        <v>3</v>
      </c>
      <c r="AB570" s="114">
        <f t="shared" si="141"/>
        <v>2</v>
      </c>
      <c r="AC570" s="114">
        <f t="shared" si="142"/>
        <v>3</v>
      </c>
      <c r="AD570" s="114">
        <f>_xlfn.IFS(AR570&gt;2.3,3,AR570&gt;=1.7,2,AR570&lt;1.7,1)</f>
        <v>1</v>
      </c>
      <c r="AE570" s="114">
        <f t="shared" si="145"/>
        <v>10</v>
      </c>
      <c r="AF570" s="116" t="s">
        <v>50</v>
      </c>
      <c r="AG570" s="114">
        <f>AT570/17.1</f>
        <v>2.77777777777778</v>
      </c>
      <c r="AH570" s="114">
        <f>AU570/88.4</f>
        <v>0.83710407239819</v>
      </c>
      <c r="AI570" s="114">
        <f>AR570</f>
        <v>1.23</v>
      </c>
      <c r="AJ570" s="159">
        <f t="shared" si="143"/>
        <v>12.600833437726</v>
      </c>
      <c r="AK570" s="160">
        <f>IF(AND(AG570&gt;0,AH570&gt;0,AI570&gt;0),AJ570,"")</f>
        <v>12.600833437726</v>
      </c>
      <c r="AL570" s="160">
        <f>AK570+1.59*(135-AM570)</f>
        <v>12.600833437726</v>
      </c>
      <c r="AM570" s="160">
        <f>IF(AV570&gt;135,135,IF(AV570&lt;120,120,AV570))</f>
        <v>135</v>
      </c>
      <c r="AN570" s="114">
        <v>1</v>
      </c>
      <c r="AO570" s="114">
        <v>1</v>
      </c>
      <c r="AP570" s="114">
        <v>6.81</v>
      </c>
      <c r="AQ570" s="114">
        <v>92</v>
      </c>
      <c r="AR570" s="114">
        <v>1.23</v>
      </c>
      <c r="AS570" s="160">
        <v>25</v>
      </c>
      <c r="AT570" s="161">
        <v>47.5</v>
      </c>
      <c r="AU570" s="114">
        <v>74</v>
      </c>
      <c r="AV570" s="114">
        <v>136</v>
      </c>
      <c r="AZ570" s="119" t="s">
        <v>1623</v>
      </c>
    </row>
    <row r="571" spans="1:52">
      <c r="A571" s="282" t="s">
        <v>1303</v>
      </c>
      <c r="B571" s="113" t="s">
        <v>48</v>
      </c>
      <c r="C571" s="113">
        <v>61</v>
      </c>
      <c r="D571" s="113">
        <v>1.75</v>
      </c>
      <c r="E571" s="113">
        <v>70</v>
      </c>
      <c r="F571" s="136">
        <f t="shared" si="140"/>
        <v>22.8571428571429</v>
      </c>
      <c r="G571" s="113">
        <v>0</v>
      </c>
      <c r="H571" s="281">
        <v>45076</v>
      </c>
      <c r="I571" s="158">
        <v>45076</v>
      </c>
      <c r="J571" s="158">
        <v>45082</v>
      </c>
      <c r="L571" s="137">
        <v>2</v>
      </c>
      <c r="M571" s="138">
        <v>6</v>
      </c>
      <c r="N571" s="270" t="s">
        <v>1624</v>
      </c>
      <c r="O571" s="114">
        <v>1</v>
      </c>
      <c r="P571" s="114"/>
      <c r="Q571" s="114"/>
      <c r="R571" s="114"/>
      <c r="S571" s="114"/>
      <c r="T571" s="114">
        <v>0</v>
      </c>
      <c r="U571" s="114">
        <v>0</v>
      </c>
      <c r="V571" s="114">
        <v>1</v>
      </c>
      <c r="W571" s="114">
        <v>0</v>
      </c>
      <c r="X571" s="114">
        <v>1</v>
      </c>
      <c r="Y571" s="114">
        <v>1</v>
      </c>
      <c r="Z571" s="116" t="s">
        <v>58</v>
      </c>
      <c r="AA571" s="114">
        <v>1</v>
      </c>
      <c r="AB571" s="114">
        <f t="shared" si="141"/>
        <v>1</v>
      </c>
      <c r="AC571" s="114">
        <f t="shared" si="142"/>
        <v>2</v>
      </c>
      <c r="AD571" s="114">
        <f>_xlfn.IFS(AR571&gt;2.3,3,AR571&gt;=1.7,2,AR571&lt;1.7,1)</f>
        <v>1</v>
      </c>
      <c r="AE571" s="114">
        <f t="shared" si="145"/>
        <v>6</v>
      </c>
      <c r="AF571" s="116" t="s">
        <v>59</v>
      </c>
      <c r="AG571" s="114">
        <f>AT571/17.1</f>
        <v>0.701754385964912</v>
      </c>
      <c r="AH571" s="114">
        <f>AU571/88.4</f>
        <v>1.11990950226244</v>
      </c>
      <c r="AI571" s="114">
        <f>AR571</f>
        <v>1.29</v>
      </c>
      <c r="AJ571" s="159">
        <f t="shared" si="143"/>
        <v>10.3391724984976</v>
      </c>
      <c r="AK571" s="160">
        <f>IF(AND(AG571&gt;0,AH571&gt;0,AI571&gt;0),AJ571,"")</f>
        <v>10.3391724984976</v>
      </c>
      <c r="AL571" s="160">
        <f>AK571+1.59*(135-AM571)</f>
        <v>10.3391724984976</v>
      </c>
      <c r="AM571" s="160">
        <f>IF(AV571&gt;135,135,IF(AV571&lt;120,120,AV571))</f>
        <v>135</v>
      </c>
      <c r="AN571" s="114">
        <v>1</v>
      </c>
      <c r="AO571" s="114">
        <v>1</v>
      </c>
      <c r="AP571" s="114">
        <v>7.65</v>
      </c>
      <c r="AQ571" s="114">
        <v>69</v>
      </c>
      <c r="AR571" s="114">
        <v>1.29</v>
      </c>
      <c r="AS571" s="160">
        <v>34</v>
      </c>
      <c r="AT571" s="161">
        <v>12</v>
      </c>
      <c r="AU571" s="114">
        <v>99</v>
      </c>
      <c r="AV571" s="114">
        <v>140</v>
      </c>
      <c r="AZ571" s="119" t="s">
        <v>1625</v>
      </c>
    </row>
    <row r="572" spans="1:52">
      <c r="A572" s="282" t="s">
        <v>1626</v>
      </c>
      <c r="B572" s="113" t="s">
        <v>48</v>
      </c>
      <c r="C572" s="113">
        <v>77</v>
      </c>
      <c r="D572" s="113">
        <v>1.7</v>
      </c>
      <c r="E572" s="113">
        <v>83</v>
      </c>
      <c r="F572" s="136">
        <f t="shared" si="140"/>
        <v>28.719723183391</v>
      </c>
      <c r="G572" s="113">
        <v>1</v>
      </c>
      <c r="H572" s="281">
        <v>45079</v>
      </c>
      <c r="I572" s="158">
        <v>45079</v>
      </c>
      <c r="J572" s="158">
        <v>45087</v>
      </c>
      <c r="L572" s="137">
        <v>2</v>
      </c>
      <c r="M572" s="138">
        <v>8</v>
      </c>
      <c r="N572" s="270" t="s">
        <v>1627</v>
      </c>
      <c r="O572" s="114">
        <v>1</v>
      </c>
      <c r="P572" s="114"/>
      <c r="Q572" s="114"/>
      <c r="R572" s="114"/>
      <c r="S572" s="114"/>
      <c r="T572" s="114">
        <v>0</v>
      </c>
      <c r="U572" s="114">
        <v>0</v>
      </c>
      <c r="V572" s="114">
        <v>1</v>
      </c>
      <c r="W572" s="114">
        <v>0</v>
      </c>
      <c r="X572" s="114">
        <v>1</v>
      </c>
      <c r="Y572" s="114">
        <v>1</v>
      </c>
      <c r="Z572" s="116" t="s">
        <v>58</v>
      </c>
      <c r="AA572" s="114">
        <v>1</v>
      </c>
      <c r="AB572" s="114">
        <f t="shared" si="141"/>
        <v>1</v>
      </c>
      <c r="AC572" s="114">
        <f t="shared" si="142"/>
        <v>2</v>
      </c>
      <c r="AD572" s="114">
        <f>_xlfn.IFS(AR572&gt;2.3,3,AR572&gt;=1.7,2,AR572&lt;1.7,1)</f>
        <v>1</v>
      </c>
      <c r="AE572" s="114">
        <f t="shared" si="145"/>
        <v>6</v>
      </c>
      <c r="AF572" s="116" t="s">
        <v>59</v>
      </c>
      <c r="AG572" s="114">
        <f>AT572/17.1</f>
        <v>0.766081871345029</v>
      </c>
      <c r="AH572" s="114">
        <f>AU572/88.4</f>
        <v>0.938914027149321</v>
      </c>
      <c r="AI572" s="114">
        <f>AR572</f>
        <v>1.05</v>
      </c>
      <c r="AJ572" s="159">
        <f t="shared" si="143"/>
        <v>6.94644983869764</v>
      </c>
      <c r="AK572" s="160">
        <f>IF(AND(AG572&gt;0,AH572&gt;0,AI572&gt;0),AJ572,"")</f>
        <v>6.94644983869764</v>
      </c>
      <c r="AL572" s="160">
        <f>AK572+1.59*(135-AM572)</f>
        <v>6.94644983869764</v>
      </c>
      <c r="AM572" s="160">
        <f>IF(AV572&gt;135,135,IF(AV572&lt;120,120,AV572))</f>
        <v>135</v>
      </c>
      <c r="AN572" s="114">
        <v>1</v>
      </c>
      <c r="AO572" s="114">
        <v>1</v>
      </c>
      <c r="AP572" s="114">
        <v>2.42</v>
      </c>
      <c r="AQ572" s="114">
        <v>90</v>
      </c>
      <c r="AR572" s="114">
        <v>1.05</v>
      </c>
      <c r="AS572" s="160">
        <v>34</v>
      </c>
      <c r="AT572" s="161">
        <v>13.1</v>
      </c>
      <c r="AU572" s="114">
        <v>83</v>
      </c>
      <c r="AV572" s="114">
        <v>138</v>
      </c>
      <c r="AZ572" s="119" t="s">
        <v>1628</v>
      </c>
    </row>
    <row r="573" s="123" customFormat="1" spans="1:52">
      <c r="A573" s="284" t="s">
        <v>1629</v>
      </c>
      <c r="B573" s="285" t="s">
        <v>53</v>
      </c>
      <c r="C573" s="285">
        <v>69</v>
      </c>
      <c r="D573" s="285">
        <v>1.62</v>
      </c>
      <c r="E573" s="285">
        <v>60</v>
      </c>
      <c r="F573" s="189">
        <f t="shared" ref="F573:F594" si="146">E573/(D573*D573)</f>
        <v>22.8623685413809</v>
      </c>
      <c r="G573" s="285">
        <v>0</v>
      </c>
      <c r="H573" s="286">
        <v>45089</v>
      </c>
      <c r="I573" s="286">
        <v>45089</v>
      </c>
      <c r="J573" s="286" t="s">
        <v>1630</v>
      </c>
      <c r="K573" s="123"/>
      <c r="L573" s="178">
        <v>1</v>
      </c>
      <c r="M573" s="178">
        <v>4</v>
      </c>
      <c r="N573" s="254" t="s">
        <v>1631</v>
      </c>
      <c r="O573" s="123"/>
      <c r="P573" s="123"/>
      <c r="Q573" s="123"/>
      <c r="R573" s="123"/>
      <c r="S573" s="123"/>
      <c r="T573" s="123">
        <v>1</v>
      </c>
      <c r="U573" s="123">
        <v>0</v>
      </c>
      <c r="V573" s="123">
        <v>0</v>
      </c>
      <c r="W573" s="123">
        <v>0</v>
      </c>
      <c r="X573" s="123">
        <v>1</v>
      </c>
      <c r="Y573" s="123">
        <v>1</v>
      </c>
      <c r="Z573" s="132" t="s">
        <v>307</v>
      </c>
      <c r="AA573" s="123">
        <v>3</v>
      </c>
      <c r="AB573" s="123">
        <f t="shared" ref="AB573:AB594" si="147">_xlfn.IFS(AT573&gt;51,3,AT573&gt;=34,2,AT573&lt;34,1)</f>
        <v>1</v>
      </c>
      <c r="AC573" s="123">
        <f t="shared" ref="AC573:AC594" si="148">_xlfn.IFS(AS573&gt;35,1,AS573&gt;=28,2,AS573&lt;28,3)</f>
        <v>2</v>
      </c>
      <c r="AD573" s="123">
        <f t="shared" ref="AD573:AD594" si="149">_xlfn.IFS(AR573&gt;2.3,3,AR573&gt;=1.7,2,AR573&lt;1.7,1)</f>
        <v>1</v>
      </c>
      <c r="AE573" s="123">
        <f t="shared" ref="AE573:AE594" si="150">Y573+AA573+AB573+AC573+AD573</f>
        <v>8</v>
      </c>
      <c r="AF573" s="132" t="s">
        <v>63</v>
      </c>
      <c r="AG573" s="123">
        <f t="shared" ref="AG573:AG594" si="151">AT573/17.1</f>
        <v>0.60233918128655</v>
      </c>
      <c r="AH573" s="123">
        <f t="shared" ref="AH573:AH594" si="152">AU573/88.4</f>
        <v>0.542986425339366</v>
      </c>
      <c r="AI573" s="123">
        <f t="shared" ref="AI573:AI594" si="153">AR573</f>
        <v>1.13</v>
      </c>
      <c r="AJ573" s="266">
        <f t="shared" ref="AJ573:AJ594" si="154">LN(IF(AG573&gt;=1,AG573,1))*3.8+LN(IF(AH573&gt;=1,AH573,1))*9.6+11.2*LN(IF(AI573&gt;=1,AI573,1))+6.4*AN573</f>
        <v>7.76883748651159</v>
      </c>
      <c r="AK573" s="267">
        <f t="shared" ref="AK573:AK594" si="155">IF(AND(AG573&gt;0,AH573&gt;0,AI573&gt;0),AJ573,"")</f>
        <v>7.76883748651159</v>
      </c>
      <c r="AL573" s="267">
        <f t="shared" ref="AL573:AL594" si="156">AK573+1.59*(135-AM573)</f>
        <v>7.76883748651159</v>
      </c>
      <c r="AM573" s="267">
        <f t="shared" ref="AM573:AM594" si="157">IF(AV573&gt;135,135,IF(AV573&lt;120,120,AV573))</f>
        <v>135</v>
      </c>
      <c r="AN573" s="123">
        <v>1</v>
      </c>
      <c r="AO573" s="123">
        <v>1</v>
      </c>
      <c r="AP573" s="123">
        <v>1.66</v>
      </c>
      <c r="AQ573" s="123">
        <v>85</v>
      </c>
      <c r="AR573" s="123">
        <v>1.13</v>
      </c>
      <c r="AS573" s="267">
        <v>34</v>
      </c>
      <c r="AT573" s="268">
        <v>10.3</v>
      </c>
      <c r="AU573" s="123">
        <v>48</v>
      </c>
      <c r="AV573" s="123">
        <v>137</v>
      </c>
      <c r="AW573" s="123"/>
      <c r="AX573" s="123"/>
      <c r="AY573" s="123"/>
      <c r="AZ573" s="132" t="s">
        <v>1632</v>
      </c>
    </row>
    <row r="574" spans="1:52">
      <c r="A574" s="282" t="s">
        <v>1633</v>
      </c>
      <c r="B574" s="113" t="s">
        <v>53</v>
      </c>
      <c r="C574" s="113">
        <v>50</v>
      </c>
      <c r="D574" s="113">
        <v>1.6</v>
      </c>
      <c r="E574" s="113">
        <v>65</v>
      </c>
      <c r="F574" s="136">
        <f t="shared" si="146"/>
        <v>25.390625</v>
      </c>
      <c r="G574" s="113">
        <v>7</v>
      </c>
      <c r="H574" s="281">
        <v>45089</v>
      </c>
      <c r="I574" s="281">
        <v>45089</v>
      </c>
      <c r="J574" s="281" t="s">
        <v>1634</v>
      </c>
      <c r="L574" s="137">
        <v>1</v>
      </c>
      <c r="M574" s="138">
        <v>13</v>
      </c>
      <c r="N574" s="270" t="s">
        <v>1635</v>
      </c>
      <c r="O574" s="114">
        <v>1</v>
      </c>
      <c r="P574" s="114"/>
      <c r="Q574" s="114"/>
      <c r="R574" s="114"/>
      <c r="S574" s="114"/>
      <c r="T574" s="114">
        <v>1</v>
      </c>
      <c r="U574" s="114">
        <v>0</v>
      </c>
      <c r="V574" s="114">
        <v>0</v>
      </c>
      <c r="W574" s="114">
        <v>0</v>
      </c>
      <c r="X574" s="114">
        <v>1</v>
      </c>
      <c r="Y574" s="114">
        <v>1</v>
      </c>
      <c r="Z574" s="116" t="s">
        <v>321</v>
      </c>
      <c r="AA574" s="114">
        <v>3</v>
      </c>
      <c r="AB574" s="114">
        <f t="shared" si="147"/>
        <v>1</v>
      </c>
      <c r="AC574" s="114">
        <f t="shared" si="148"/>
        <v>3</v>
      </c>
      <c r="AD574" s="114">
        <v>2</v>
      </c>
      <c r="AE574" s="114">
        <f t="shared" si="150"/>
        <v>10</v>
      </c>
      <c r="AF574" s="116" t="s">
        <v>50</v>
      </c>
      <c r="AG574" s="114">
        <f t="shared" si="151"/>
        <v>1.5906432748538</v>
      </c>
      <c r="AH574" s="114">
        <f t="shared" si="152"/>
        <v>0.565610859728507</v>
      </c>
      <c r="AI574" s="114">
        <f t="shared" si="153"/>
        <v>2.13</v>
      </c>
      <c r="AJ574" s="159">
        <f t="shared" si="154"/>
        <v>16.6322925100936</v>
      </c>
      <c r="AK574" s="160">
        <f t="shared" si="155"/>
        <v>16.6322925100936</v>
      </c>
      <c r="AL574" s="160">
        <f t="shared" si="156"/>
        <v>18.2222925100936</v>
      </c>
      <c r="AM574" s="160">
        <f t="shared" si="157"/>
        <v>134</v>
      </c>
      <c r="AN574" s="114">
        <v>1</v>
      </c>
      <c r="AO574" s="114">
        <v>2</v>
      </c>
      <c r="AP574" s="114">
        <v>1.35</v>
      </c>
      <c r="AQ574" s="114">
        <v>39</v>
      </c>
      <c r="AR574" s="114">
        <v>2.13</v>
      </c>
      <c r="AS574" s="160">
        <v>25</v>
      </c>
      <c r="AT574" s="161">
        <v>27.2</v>
      </c>
      <c r="AU574" s="114">
        <v>50</v>
      </c>
      <c r="AV574" s="114">
        <v>134</v>
      </c>
      <c r="AZ574" s="119" t="s">
        <v>1636</v>
      </c>
    </row>
    <row r="575" spans="1:52">
      <c r="A575" s="282" t="s">
        <v>1637</v>
      </c>
      <c r="B575" s="113" t="s">
        <v>53</v>
      </c>
      <c r="C575" s="113">
        <v>37</v>
      </c>
      <c r="D575" s="113">
        <v>1.7</v>
      </c>
      <c r="E575" s="113">
        <v>61</v>
      </c>
      <c r="F575" s="136">
        <f t="shared" si="146"/>
        <v>21.1072664359862</v>
      </c>
      <c r="G575" s="113">
        <v>0</v>
      </c>
      <c r="H575" s="281">
        <v>45093</v>
      </c>
      <c r="I575" s="281">
        <v>45093</v>
      </c>
      <c r="J575" s="281" t="s">
        <v>1638</v>
      </c>
      <c r="L575" s="137">
        <v>2</v>
      </c>
      <c r="M575" s="138">
        <v>6</v>
      </c>
      <c r="N575" s="270" t="s">
        <v>1639</v>
      </c>
      <c r="O575" s="114"/>
      <c r="P575" s="114"/>
      <c r="Q575" s="114"/>
      <c r="R575" s="114"/>
      <c r="S575" s="114"/>
      <c r="T575" s="114">
        <v>1</v>
      </c>
      <c r="U575" s="114">
        <v>0</v>
      </c>
      <c r="V575" s="114">
        <v>1</v>
      </c>
      <c r="W575" s="114">
        <v>0</v>
      </c>
      <c r="X575" s="114">
        <v>1</v>
      </c>
      <c r="Y575" s="114">
        <v>1</v>
      </c>
      <c r="Z575" s="116" t="s">
        <v>307</v>
      </c>
      <c r="AA575" s="114">
        <v>3</v>
      </c>
      <c r="AB575" s="114">
        <f t="shared" si="147"/>
        <v>1</v>
      </c>
      <c r="AC575" s="114">
        <f t="shared" si="148"/>
        <v>1</v>
      </c>
      <c r="AD575" s="114">
        <f t="shared" si="149"/>
        <v>1</v>
      </c>
      <c r="AE575" s="114">
        <f t="shared" si="150"/>
        <v>7</v>
      </c>
      <c r="AF575" s="116" t="s">
        <v>63</v>
      </c>
      <c r="AG575" s="114">
        <f t="shared" si="151"/>
        <v>0.964912280701754</v>
      </c>
      <c r="AH575" s="114">
        <f t="shared" si="152"/>
        <v>0.486425339366516</v>
      </c>
      <c r="AI575" s="114">
        <f t="shared" si="153"/>
        <v>1.13</v>
      </c>
      <c r="AJ575" s="159">
        <f t="shared" si="154"/>
        <v>7.76883748651159</v>
      </c>
      <c r="AK575" s="160">
        <f t="shared" si="155"/>
        <v>7.76883748651159</v>
      </c>
      <c r="AL575" s="160">
        <f t="shared" si="156"/>
        <v>7.76883748651159</v>
      </c>
      <c r="AM575" s="160">
        <f t="shared" si="157"/>
        <v>135</v>
      </c>
      <c r="AN575" s="114">
        <v>1</v>
      </c>
      <c r="AO575" s="116">
        <v>1</v>
      </c>
      <c r="AP575" s="114">
        <v>2.26</v>
      </c>
      <c r="AQ575" s="114">
        <v>85</v>
      </c>
      <c r="AR575" s="114">
        <v>1.13</v>
      </c>
      <c r="AS575" s="160">
        <v>38</v>
      </c>
      <c r="AT575" s="161">
        <v>16.5</v>
      </c>
      <c r="AU575" s="114">
        <v>43</v>
      </c>
      <c r="AV575" s="114">
        <v>143</v>
      </c>
      <c r="AZ575" s="119" t="s">
        <v>1640</v>
      </c>
    </row>
    <row r="576" s="114" customFormat="1" spans="1:52">
      <c r="A576" s="297" t="s">
        <v>1641</v>
      </c>
      <c r="B576" s="298" t="s">
        <v>53</v>
      </c>
      <c r="C576" s="298">
        <v>41</v>
      </c>
      <c r="D576" s="298">
        <v>1.6</v>
      </c>
      <c r="E576" s="298">
        <v>48</v>
      </c>
      <c r="F576" s="136">
        <f t="shared" si="146"/>
        <v>18.75</v>
      </c>
      <c r="G576" s="298">
        <v>3</v>
      </c>
      <c r="H576" s="299">
        <v>45093</v>
      </c>
      <c r="I576" s="299">
        <v>45093</v>
      </c>
      <c r="J576" s="299" t="s">
        <v>1642</v>
      </c>
      <c r="L576" s="138">
        <v>3</v>
      </c>
      <c r="M576" s="138">
        <v>21</v>
      </c>
      <c r="N576" s="265" t="s">
        <v>1643</v>
      </c>
      <c r="T576" s="114">
        <v>1</v>
      </c>
      <c r="U576" s="114">
        <v>0</v>
      </c>
      <c r="V576" s="114">
        <v>1</v>
      </c>
      <c r="W576" s="114">
        <v>0</v>
      </c>
      <c r="X576" s="114">
        <v>1</v>
      </c>
      <c r="Y576" s="114">
        <v>1</v>
      </c>
      <c r="Z576" s="116" t="s">
        <v>300</v>
      </c>
      <c r="AA576" s="114">
        <v>2</v>
      </c>
      <c r="AB576" s="114">
        <f t="shared" si="147"/>
        <v>1</v>
      </c>
      <c r="AC576" s="114">
        <f t="shared" si="148"/>
        <v>1</v>
      </c>
      <c r="AD576" s="114">
        <f t="shared" si="149"/>
        <v>1</v>
      </c>
      <c r="AE576" s="114">
        <f t="shared" si="150"/>
        <v>6</v>
      </c>
      <c r="AF576" s="116" t="s">
        <v>59</v>
      </c>
      <c r="AG576" s="114">
        <f t="shared" si="151"/>
        <v>0.415204678362573</v>
      </c>
      <c r="AH576" s="114">
        <f t="shared" si="152"/>
        <v>0.599547511312217</v>
      </c>
      <c r="AI576" s="114">
        <f t="shared" si="153"/>
        <v>1.26</v>
      </c>
      <c r="AJ576" s="159">
        <f t="shared" si="154"/>
        <v>8.98845127478993</v>
      </c>
      <c r="AK576" s="160">
        <f t="shared" si="155"/>
        <v>8.98845127478993</v>
      </c>
      <c r="AL576" s="160">
        <f t="shared" si="156"/>
        <v>8.98845127478993</v>
      </c>
      <c r="AM576" s="160">
        <f t="shared" si="157"/>
        <v>135</v>
      </c>
      <c r="AN576" s="114">
        <v>1</v>
      </c>
      <c r="AO576" s="114">
        <v>1</v>
      </c>
      <c r="AP576" s="114">
        <v>2.17</v>
      </c>
      <c r="AQ576" s="114">
        <v>70</v>
      </c>
      <c r="AR576" s="114">
        <v>1.26</v>
      </c>
      <c r="AS576" s="160">
        <v>36</v>
      </c>
      <c r="AT576" s="161">
        <v>7.1</v>
      </c>
      <c r="AU576" s="114">
        <v>53</v>
      </c>
      <c r="AV576" s="114">
        <v>139</v>
      </c>
      <c r="AZ576" s="116" t="s">
        <v>1644</v>
      </c>
    </row>
    <row r="577" spans="1:52">
      <c r="A577" s="282" t="s">
        <v>1645</v>
      </c>
      <c r="B577" s="113" t="s">
        <v>48</v>
      </c>
      <c r="C577" s="113">
        <v>63</v>
      </c>
      <c r="D577" s="113">
        <v>1.72</v>
      </c>
      <c r="E577" s="113">
        <v>63</v>
      </c>
      <c r="F577" s="136">
        <f t="shared" si="146"/>
        <v>21.295294753921</v>
      </c>
      <c r="G577" s="113">
        <v>1</v>
      </c>
      <c r="H577" s="281">
        <v>45096</v>
      </c>
      <c r="I577" s="281">
        <v>45096</v>
      </c>
      <c r="J577" s="281" t="s">
        <v>1646</v>
      </c>
      <c r="L577" s="137">
        <v>1</v>
      </c>
      <c r="M577" s="138">
        <v>7</v>
      </c>
      <c r="N577" s="270" t="s">
        <v>1647</v>
      </c>
      <c r="O577" s="114"/>
      <c r="P577" s="114">
        <v>1</v>
      </c>
      <c r="Q577" s="114"/>
      <c r="R577" s="114"/>
      <c r="S577" s="114"/>
      <c r="T577" s="114">
        <v>0</v>
      </c>
      <c r="U577" s="114">
        <v>0</v>
      </c>
      <c r="V577" s="114">
        <v>1</v>
      </c>
      <c r="W577" s="114">
        <v>0</v>
      </c>
      <c r="X577" s="114">
        <v>1</v>
      </c>
      <c r="Y577" s="114">
        <v>1</v>
      </c>
      <c r="Z577" s="116" t="s">
        <v>58</v>
      </c>
      <c r="AA577" s="114">
        <v>1</v>
      </c>
      <c r="AB577" s="114">
        <f t="shared" si="147"/>
        <v>1</v>
      </c>
      <c r="AC577" s="114">
        <f t="shared" si="148"/>
        <v>2</v>
      </c>
      <c r="AD577" s="114">
        <f t="shared" si="149"/>
        <v>1</v>
      </c>
      <c r="AE577" s="114">
        <f t="shared" si="150"/>
        <v>6</v>
      </c>
      <c r="AF577" s="116" t="s">
        <v>59</v>
      </c>
      <c r="AG577" s="114">
        <f t="shared" si="151"/>
        <v>0.52046783625731</v>
      </c>
      <c r="AH577" s="114">
        <f t="shared" si="152"/>
        <v>1.30090497737557</v>
      </c>
      <c r="AI577" s="114">
        <f t="shared" si="153"/>
        <v>1.15</v>
      </c>
      <c r="AJ577" s="159">
        <f t="shared" si="154"/>
        <v>4.09071127831044</v>
      </c>
      <c r="AK577" s="160">
        <f t="shared" si="155"/>
        <v>4.09071127831044</v>
      </c>
      <c r="AL577" s="160">
        <f t="shared" si="156"/>
        <v>4.09071127831044</v>
      </c>
      <c r="AM577" s="160">
        <f t="shared" si="157"/>
        <v>135</v>
      </c>
      <c r="AN577" s="114">
        <v>0</v>
      </c>
      <c r="AO577" s="114">
        <v>1</v>
      </c>
      <c r="AP577" s="114">
        <v>3.34</v>
      </c>
      <c r="AQ577" s="114">
        <v>70</v>
      </c>
      <c r="AR577" s="114">
        <v>1.15</v>
      </c>
      <c r="AS577" s="160">
        <v>34</v>
      </c>
      <c r="AT577" s="161">
        <v>8.9</v>
      </c>
      <c r="AU577" s="114">
        <v>115</v>
      </c>
      <c r="AV577" s="114">
        <v>138</v>
      </c>
      <c r="AZ577" s="119" t="s">
        <v>1648</v>
      </c>
    </row>
    <row r="578" s="123" customFormat="1" spans="1:52">
      <c r="A578" s="284" t="s">
        <v>1446</v>
      </c>
      <c r="B578" s="285" t="s">
        <v>48</v>
      </c>
      <c r="C578" s="285">
        <v>63</v>
      </c>
      <c r="D578" s="285">
        <v>1.6</v>
      </c>
      <c r="E578" s="285">
        <v>50</v>
      </c>
      <c r="F578" s="189">
        <f t="shared" si="146"/>
        <v>19.53125</v>
      </c>
      <c r="G578" s="285">
        <v>0</v>
      </c>
      <c r="H578" s="286">
        <v>45101</v>
      </c>
      <c r="I578" s="286">
        <v>45101</v>
      </c>
      <c r="J578" s="286" t="s">
        <v>1642</v>
      </c>
      <c r="K578" s="123"/>
      <c r="L578" s="178">
        <v>3</v>
      </c>
      <c r="M578" s="178">
        <v>13</v>
      </c>
      <c r="N578" s="254" t="s">
        <v>1649</v>
      </c>
      <c r="O578" s="123"/>
      <c r="P578" s="123">
        <v>1</v>
      </c>
      <c r="Q578" s="123"/>
      <c r="R578" s="123"/>
      <c r="S578" s="123"/>
      <c r="T578" s="123">
        <v>0</v>
      </c>
      <c r="U578" s="123">
        <v>0</v>
      </c>
      <c r="V578" s="123">
        <v>0</v>
      </c>
      <c r="W578" s="123">
        <v>0</v>
      </c>
      <c r="X578" s="123">
        <v>1</v>
      </c>
      <c r="Y578" s="123">
        <v>1</v>
      </c>
      <c r="Z578" s="132" t="s">
        <v>58</v>
      </c>
      <c r="AA578" s="123">
        <v>1</v>
      </c>
      <c r="AB578" s="123">
        <f t="shared" si="147"/>
        <v>1</v>
      </c>
      <c r="AC578" s="123">
        <f t="shared" si="148"/>
        <v>2</v>
      </c>
      <c r="AD578" s="123">
        <f t="shared" si="149"/>
        <v>1</v>
      </c>
      <c r="AE578" s="123">
        <f t="shared" si="150"/>
        <v>6</v>
      </c>
      <c r="AF578" s="132" t="s">
        <v>59</v>
      </c>
      <c r="AG578" s="123">
        <f t="shared" si="151"/>
        <v>0.497076023391813</v>
      </c>
      <c r="AH578" s="123">
        <f t="shared" si="152"/>
        <v>0.678733031674208</v>
      </c>
      <c r="AI578" s="123">
        <f t="shared" si="153"/>
        <v>1.17</v>
      </c>
      <c r="AJ578" s="266">
        <f t="shared" si="154"/>
        <v>1.75844198666824</v>
      </c>
      <c r="AK578" s="267">
        <f t="shared" si="155"/>
        <v>1.75844198666824</v>
      </c>
      <c r="AL578" s="267">
        <f t="shared" si="156"/>
        <v>1.75844198666824</v>
      </c>
      <c r="AM578" s="267">
        <f t="shared" si="157"/>
        <v>135</v>
      </c>
      <c r="AN578" s="123">
        <v>0</v>
      </c>
      <c r="AO578" s="123">
        <v>1</v>
      </c>
      <c r="AP578" s="123">
        <v>2.97</v>
      </c>
      <c r="AQ578" s="123">
        <v>71</v>
      </c>
      <c r="AR578" s="123">
        <v>1.17</v>
      </c>
      <c r="AS578" s="267">
        <v>29</v>
      </c>
      <c r="AT578" s="268">
        <v>8.5</v>
      </c>
      <c r="AU578" s="123">
        <v>60</v>
      </c>
      <c r="AV578" s="123">
        <v>136</v>
      </c>
      <c r="AW578" s="123"/>
      <c r="AX578" s="123"/>
      <c r="AY578" s="123"/>
      <c r="AZ578" s="132" t="s">
        <v>1650</v>
      </c>
    </row>
    <row r="579" spans="1:52">
      <c r="A579" s="282" t="s">
        <v>1186</v>
      </c>
      <c r="B579" s="113" t="s">
        <v>48</v>
      </c>
      <c r="C579" s="113">
        <v>55</v>
      </c>
      <c r="D579" s="113">
        <v>1.7</v>
      </c>
      <c r="E579" s="113">
        <v>85</v>
      </c>
      <c r="F579" s="136">
        <f t="shared" si="146"/>
        <v>29.4117647058824</v>
      </c>
      <c r="G579" s="113">
        <v>5</v>
      </c>
      <c r="H579" s="281">
        <v>45101</v>
      </c>
      <c r="I579" s="281">
        <v>45101</v>
      </c>
      <c r="J579" s="281" t="s">
        <v>1651</v>
      </c>
      <c r="L579" s="137">
        <v>3</v>
      </c>
      <c r="M579" s="138">
        <v>9</v>
      </c>
      <c r="N579" s="270" t="s">
        <v>1652</v>
      </c>
      <c r="O579" s="114"/>
      <c r="P579" s="114">
        <v>1</v>
      </c>
      <c r="Q579" s="114"/>
      <c r="R579" s="114"/>
      <c r="S579" s="114"/>
      <c r="T579" s="114">
        <v>1</v>
      </c>
      <c r="U579" s="114">
        <v>0</v>
      </c>
      <c r="V579" s="114">
        <v>0</v>
      </c>
      <c r="W579" s="114">
        <v>0</v>
      </c>
      <c r="X579" s="114">
        <v>1</v>
      </c>
      <c r="Y579" s="114">
        <v>1</v>
      </c>
      <c r="Z579" s="116" t="s">
        <v>321</v>
      </c>
      <c r="AA579" s="114">
        <v>3</v>
      </c>
      <c r="AB579" s="114">
        <f t="shared" si="147"/>
        <v>1</v>
      </c>
      <c r="AC579" s="114">
        <f t="shared" si="148"/>
        <v>2</v>
      </c>
      <c r="AD579" s="114">
        <f t="shared" si="149"/>
        <v>1</v>
      </c>
      <c r="AE579" s="114">
        <f t="shared" si="150"/>
        <v>8</v>
      </c>
      <c r="AF579" s="116" t="s">
        <v>63</v>
      </c>
      <c r="AG579" s="114">
        <f t="shared" si="151"/>
        <v>0.883040935672515</v>
      </c>
      <c r="AH579" s="114">
        <f t="shared" si="152"/>
        <v>0.735294117647059</v>
      </c>
      <c r="AI579" s="114">
        <f t="shared" si="153"/>
        <v>1.48</v>
      </c>
      <c r="AJ579" s="159">
        <f t="shared" si="154"/>
        <v>4.39087138309146</v>
      </c>
      <c r="AK579" s="160">
        <f t="shared" si="155"/>
        <v>4.39087138309146</v>
      </c>
      <c r="AL579" s="160">
        <f t="shared" si="156"/>
        <v>4.39087138309146</v>
      </c>
      <c r="AM579" s="160">
        <f t="shared" si="157"/>
        <v>135</v>
      </c>
      <c r="AN579" s="114">
        <v>0</v>
      </c>
      <c r="AO579" s="114">
        <v>1</v>
      </c>
      <c r="AP579" s="114">
        <v>2.23</v>
      </c>
      <c r="AQ579" s="114">
        <v>128</v>
      </c>
      <c r="AR579" s="114">
        <v>1.48</v>
      </c>
      <c r="AS579" s="160">
        <v>31</v>
      </c>
      <c r="AT579" s="161">
        <v>15.1</v>
      </c>
      <c r="AU579" s="114">
        <v>65</v>
      </c>
      <c r="AV579" s="114">
        <v>141</v>
      </c>
      <c r="AZ579" s="119" t="s">
        <v>1653</v>
      </c>
    </row>
    <row r="580" spans="1:52">
      <c r="A580" s="282" t="s">
        <v>1654</v>
      </c>
      <c r="B580" s="113" t="s">
        <v>53</v>
      </c>
      <c r="C580" s="113">
        <v>65</v>
      </c>
      <c r="D580" s="113">
        <v>1.56</v>
      </c>
      <c r="E580" s="113">
        <v>53</v>
      </c>
      <c r="F580" s="136">
        <f t="shared" si="146"/>
        <v>21.7784352399737</v>
      </c>
      <c r="G580" s="113">
        <v>0</v>
      </c>
      <c r="H580" s="281">
        <v>45103</v>
      </c>
      <c r="I580" s="281">
        <v>45103</v>
      </c>
      <c r="J580" s="281" t="s">
        <v>1642</v>
      </c>
      <c r="L580" s="137">
        <v>1</v>
      </c>
      <c r="M580" s="138">
        <v>11</v>
      </c>
      <c r="N580" s="270" t="s">
        <v>1655</v>
      </c>
      <c r="O580" s="114"/>
      <c r="P580" s="114"/>
      <c r="Q580" s="114">
        <v>1</v>
      </c>
      <c r="R580" s="114"/>
      <c r="S580" s="114"/>
      <c r="T580" s="114">
        <v>0</v>
      </c>
      <c r="U580" s="114">
        <v>0</v>
      </c>
      <c r="V580" s="114">
        <v>1</v>
      </c>
      <c r="W580" s="114">
        <v>0</v>
      </c>
      <c r="X580" s="114">
        <v>1</v>
      </c>
      <c r="Y580" s="114">
        <v>1</v>
      </c>
      <c r="Z580" s="116" t="s">
        <v>58</v>
      </c>
      <c r="AA580" s="114">
        <v>1</v>
      </c>
      <c r="AB580" s="114">
        <f t="shared" si="147"/>
        <v>1</v>
      </c>
      <c r="AC580" s="114">
        <f t="shared" si="148"/>
        <v>2</v>
      </c>
      <c r="AD580" s="114">
        <f t="shared" si="149"/>
        <v>1</v>
      </c>
      <c r="AE580" s="114">
        <f t="shared" si="150"/>
        <v>6</v>
      </c>
      <c r="AF580" s="116" t="s">
        <v>59</v>
      </c>
      <c r="AG580" s="114">
        <f t="shared" si="151"/>
        <v>0.719298245614035</v>
      </c>
      <c r="AH580" s="114">
        <f t="shared" si="152"/>
        <v>0.588235294117647</v>
      </c>
      <c r="AI580" s="114">
        <f t="shared" si="153"/>
        <v>1.16</v>
      </c>
      <c r="AJ580" s="159">
        <f t="shared" si="154"/>
        <v>8.06230405732466</v>
      </c>
      <c r="AK580" s="160">
        <f t="shared" si="155"/>
        <v>8.06230405732466</v>
      </c>
      <c r="AL580" s="160">
        <f t="shared" si="156"/>
        <v>8.06230405732466</v>
      </c>
      <c r="AM580" s="160">
        <f t="shared" si="157"/>
        <v>135</v>
      </c>
      <c r="AN580" s="114">
        <v>1</v>
      </c>
      <c r="AO580" s="114">
        <v>1</v>
      </c>
      <c r="AP580" s="114">
        <v>1.84</v>
      </c>
      <c r="AQ580" s="114">
        <v>69</v>
      </c>
      <c r="AR580" s="114">
        <v>1.16</v>
      </c>
      <c r="AS580" s="160">
        <v>31</v>
      </c>
      <c r="AT580" s="161">
        <v>12.3</v>
      </c>
      <c r="AU580" s="114">
        <v>52</v>
      </c>
      <c r="AV580" s="114">
        <v>141</v>
      </c>
      <c r="AZ580" s="119" t="s">
        <v>1656</v>
      </c>
    </row>
    <row r="581" spans="1:52">
      <c r="A581" s="282" t="s">
        <v>1657</v>
      </c>
      <c r="B581" s="113" t="s">
        <v>48</v>
      </c>
      <c r="C581" s="113">
        <v>55</v>
      </c>
      <c r="D581" s="113">
        <v>1.78</v>
      </c>
      <c r="E581" s="113">
        <v>58</v>
      </c>
      <c r="F581" s="136">
        <f t="shared" si="146"/>
        <v>18.3057694735513</v>
      </c>
      <c r="G581" s="113">
        <v>7</v>
      </c>
      <c r="H581" s="281">
        <v>45107</v>
      </c>
      <c r="I581" s="281">
        <v>45107</v>
      </c>
      <c r="J581" s="281" t="s">
        <v>1658</v>
      </c>
      <c r="L581" s="137">
        <v>2</v>
      </c>
      <c r="M581" s="138">
        <v>5</v>
      </c>
      <c r="N581" s="270" t="s">
        <v>1659</v>
      </c>
      <c r="O581" s="114"/>
      <c r="P581" s="114"/>
      <c r="Q581" s="114"/>
      <c r="R581" s="114"/>
      <c r="S581" s="114"/>
      <c r="T581" s="114">
        <v>1</v>
      </c>
      <c r="U581" s="114">
        <v>0</v>
      </c>
      <c r="V581" s="114">
        <v>1</v>
      </c>
      <c r="W581" s="114">
        <v>0</v>
      </c>
      <c r="X581" s="114">
        <v>1</v>
      </c>
      <c r="Y581" s="114">
        <v>1</v>
      </c>
      <c r="Z581" s="116" t="s">
        <v>300</v>
      </c>
      <c r="AA581" s="114">
        <v>2</v>
      </c>
      <c r="AB581" s="114">
        <f t="shared" si="147"/>
        <v>1</v>
      </c>
      <c r="AC581" s="114">
        <f t="shared" si="148"/>
        <v>3</v>
      </c>
      <c r="AD581" s="114">
        <f t="shared" si="149"/>
        <v>1</v>
      </c>
      <c r="AE581" s="114">
        <f t="shared" si="150"/>
        <v>8</v>
      </c>
      <c r="AF581" s="116" t="s">
        <v>63</v>
      </c>
      <c r="AG581" s="114">
        <f t="shared" si="151"/>
        <v>1.31578947368421</v>
      </c>
      <c r="AH581" s="114">
        <f t="shared" si="152"/>
        <v>0.791855203619909</v>
      </c>
      <c r="AI581" s="114">
        <f t="shared" si="153"/>
        <v>1.48</v>
      </c>
      <c r="AJ581" s="159">
        <f t="shared" si="154"/>
        <v>11.8337313967582</v>
      </c>
      <c r="AK581" s="160">
        <f t="shared" si="155"/>
        <v>11.8337313967582</v>
      </c>
      <c r="AL581" s="160">
        <f t="shared" si="156"/>
        <v>18.1937313967582</v>
      </c>
      <c r="AM581" s="160">
        <f t="shared" si="157"/>
        <v>131</v>
      </c>
      <c r="AN581" s="114">
        <v>1</v>
      </c>
      <c r="AO581" s="114">
        <v>1</v>
      </c>
      <c r="AP581" s="114">
        <v>2.95</v>
      </c>
      <c r="AQ581" s="114">
        <v>80</v>
      </c>
      <c r="AR581" s="114">
        <v>1.48</v>
      </c>
      <c r="AS581" s="160">
        <v>22</v>
      </c>
      <c r="AT581" s="161">
        <v>22.5</v>
      </c>
      <c r="AU581" s="114">
        <v>70</v>
      </c>
      <c r="AV581" s="114">
        <v>131</v>
      </c>
      <c r="AZ581" s="119" t="s">
        <v>1660</v>
      </c>
    </row>
    <row r="582" spans="1:52">
      <c r="A582" s="113" t="s">
        <v>1661</v>
      </c>
      <c r="B582" s="119" t="s">
        <v>48</v>
      </c>
      <c r="C582" s="117">
        <v>55</v>
      </c>
      <c r="D582" s="135">
        <v>1.7</v>
      </c>
      <c r="E582" s="117">
        <v>75</v>
      </c>
      <c r="F582" s="136">
        <f t="shared" si="146"/>
        <v>25.9515570934256</v>
      </c>
      <c r="G582" s="308">
        <v>0</v>
      </c>
      <c r="H582" s="281">
        <v>45107</v>
      </c>
      <c r="I582" s="158">
        <v>45107</v>
      </c>
      <c r="J582" s="158">
        <v>45119</v>
      </c>
      <c r="L582" s="137">
        <v>2</v>
      </c>
      <c r="M582" s="138">
        <v>12</v>
      </c>
      <c r="N582" s="270" t="s">
        <v>1662</v>
      </c>
      <c r="O582" s="114"/>
      <c r="P582" s="114"/>
      <c r="Q582" s="114">
        <v>1</v>
      </c>
      <c r="R582" s="114">
        <v>1</v>
      </c>
      <c r="S582" s="114"/>
      <c r="T582" s="114">
        <v>0</v>
      </c>
      <c r="U582" s="114">
        <v>0</v>
      </c>
      <c r="V582" s="114">
        <v>1</v>
      </c>
      <c r="W582" s="114">
        <v>0</v>
      </c>
      <c r="X582" s="114">
        <v>1</v>
      </c>
      <c r="Y582" s="114">
        <v>1</v>
      </c>
      <c r="Z582" s="116" t="s">
        <v>58</v>
      </c>
      <c r="AA582" s="114">
        <v>1</v>
      </c>
      <c r="AB582" s="114">
        <f t="shared" si="147"/>
        <v>1</v>
      </c>
      <c r="AC582" s="114">
        <f t="shared" si="148"/>
        <v>3</v>
      </c>
      <c r="AD582" s="114">
        <f t="shared" si="149"/>
        <v>1</v>
      </c>
      <c r="AE582" s="114">
        <f t="shared" si="150"/>
        <v>7</v>
      </c>
      <c r="AF582" s="116" t="s">
        <v>63</v>
      </c>
      <c r="AG582" s="114">
        <f t="shared" si="151"/>
        <v>1.47368421052632</v>
      </c>
      <c r="AH582" s="114">
        <f t="shared" si="152"/>
        <v>0.599547511312217</v>
      </c>
      <c r="AI582" s="114">
        <f t="shared" si="153"/>
        <v>1.22</v>
      </c>
      <c r="AJ582" s="159">
        <f t="shared" si="154"/>
        <v>3.70063863577915</v>
      </c>
      <c r="AK582" s="160">
        <f t="shared" si="155"/>
        <v>3.70063863577915</v>
      </c>
      <c r="AL582" s="160">
        <f t="shared" si="156"/>
        <v>3.70063863577915</v>
      </c>
      <c r="AM582" s="160">
        <f t="shared" si="157"/>
        <v>135</v>
      </c>
      <c r="AN582" s="114">
        <v>0</v>
      </c>
      <c r="AO582" s="114">
        <v>1</v>
      </c>
      <c r="AP582" s="114">
        <v>2.85</v>
      </c>
      <c r="AQ582" s="114">
        <v>91</v>
      </c>
      <c r="AR582" s="114">
        <v>1.22</v>
      </c>
      <c r="AS582" s="160">
        <v>26</v>
      </c>
      <c r="AT582" s="161">
        <v>25.2</v>
      </c>
      <c r="AU582" s="114">
        <v>53</v>
      </c>
      <c r="AV582" s="114">
        <v>140</v>
      </c>
      <c r="AZ582" s="119" t="s">
        <v>1663</v>
      </c>
    </row>
    <row r="583" spans="1:52">
      <c r="A583" s="113" t="s">
        <v>1664</v>
      </c>
      <c r="B583" s="119" t="s">
        <v>48</v>
      </c>
      <c r="C583" s="117">
        <v>49</v>
      </c>
      <c r="D583" s="135">
        <v>1.73</v>
      </c>
      <c r="E583" s="117">
        <v>80</v>
      </c>
      <c r="F583" s="136">
        <f t="shared" si="146"/>
        <v>26.7299274950717</v>
      </c>
      <c r="G583" s="308">
        <v>5</v>
      </c>
      <c r="H583" s="281">
        <v>45110</v>
      </c>
      <c r="I583" s="277">
        <v>45110</v>
      </c>
      <c r="J583" s="158">
        <v>45131</v>
      </c>
      <c r="L583" s="137">
        <v>2</v>
      </c>
      <c r="M583" s="138">
        <v>21</v>
      </c>
      <c r="N583" s="270" t="s">
        <v>1665</v>
      </c>
      <c r="O583" s="114"/>
      <c r="P583" s="114"/>
      <c r="Q583" s="114"/>
      <c r="R583" s="114"/>
      <c r="S583" s="114">
        <v>1</v>
      </c>
      <c r="T583" s="114">
        <v>1</v>
      </c>
      <c r="U583" s="114">
        <v>0</v>
      </c>
      <c r="V583" s="114">
        <v>0</v>
      </c>
      <c r="W583" s="114">
        <v>1</v>
      </c>
      <c r="X583" s="114">
        <v>0</v>
      </c>
      <c r="Y583" s="114">
        <v>1</v>
      </c>
      <c r="Z583" s="116" t="s">
        <v>307</v>
      </c>
      <c r="AA583" s="114">
        <v>3</v>
      </c>
      <c r="AB583" s="114">
        <f t="shared" si="147"/>
        <v>3</v>
      </c>
      <c r="AC583" s="114">
        <f t="shared" si="148"/>
        <v>3</v>
      </c>
      <c r="AD583" s="114">
        <f t="shared" si="149"/>
        <v>1</v>
      </c>
      <c r="AE583" s="114">
        <f t="shared" si="150"/>
        <v>11</v>
      </c>
      <c r="AF583" s="116" t="s">
        <v>50</v>
      </c>
      <c r="AG583" s="114">
        <f t="shared" si="151"/>
        <v>9.98245614035087</v>
      </c>
      <c r="AH583" s="114">
        <f t="shared" si="152"/>
        <v>0.576923076923077</v>
      </c>
      <c r="AI583" s="114">
        <f t="shared" si="153"/>
        <v>1.42</v>
      </c>
      <c r="AJ583" s="159">
        <f t="shared" si="154"/>
        <v>19.0705077939763</v>
      </c>
      <c r="AK583" s="160">
        <f t="shared" si="155"/>
        <v>19.0705077939763</v>
      </c>
      <c r="AL583" s="160">
        <f t="shared" si="156"/>
        <v>19.0705077939763</v>
      </c>
      <c r="AM583" s="160">
        <f t="shared" si="157"/>
        <v>135</v>
      </c>
      <c r="AN583" s="114">
        <v>1</v>
      </c>
      <c r="AO583" s="114">
        <v>3</v>
      </c>
      <c r="AP583" s="114">
        <v>10.27</v>
      </c>
      <c r="AQ583" s="114">
        <v>84</v>
      </c>
      <c r="AR583" s="114">
        <v>1.42</v>
      </c>
      <c r="AS583" s="160">
        <v>23</v>
      </c>
      <c r="AT583" s="161">
        <v>170.7</v>
      </c>
      <c r="AU583" s="114">
        <v>51</v>
      </c>
      <c r="AV583" s="114">
        <v>141</v>
      </c>
      <c r="AZ583" s="119" t="s">
        <v>1666</v>
      </c>
    </row>
    <row r="584" spans="1:52">
      <c r="A584" s="113" t="s">
        <v>1667</v>
      </c>
      <c r="B584" s="119" t="s">
        <v>53</v>
      </c>
      <c r="C584" s="117">
        <v>61</v>
      </c>
      <c r="D584" s="135">
        <v>1.6</v>
      </c>
      <c r="E584" s="117">
        <v>64</v>
      </c>
      <c r="F584" s="136">
        <f t="shared" si="146"/>
        <v>25</v>
      </c>
      <c r="G584" s="308">
        <v>0</v>
      </c>
      <c r="H584" s="281">
        <v>45110</v>
      </c>
      <c r="I584" s="119" t="s">
        <v>1668</v>
      </c>
      <c r="J584" s="119" t="s">
        <v>1669</v>
      </c>
      <c r="L584" s="137">
        <v>1</v>
      </c>
      <c r="M584" s="138">
        <v>7</v>
      </c>
      <c r="N584" s="270" t="s">
        <v>1670</v>
      </c>
      <c r="O584" s="114"/>
      <c r="P584" s="114"/>
      <c r="Q584" s="114"/>
      <c r="R584" s="114">
        <v>1</v>
      </c>
      <c r="S584" s="114"/>
      <c r="T584" s="114">
        <v>0</v>
      </c>
      <c r="U584" s="114">
        <v>0</v>
      </c>
      <c r="V584" s="114">
        <v>1</v>
      </c>
      <c r="W584" s="114">
        <v>0</v>
      </c>
      <c r="X584" s="114">
        <v>1</v>
      </c>
      <c r="Y584" s="114">
        <v>1</v>
      </c>
      <c r="Z584" s="116" t="s">
        <v>58</v>
      </c>
      <c r="AA584" s="114">
        <v>1</v>
      </c>
      <c r="AB584" s="114">
        <f t="shared" si="147"/>
        <v>1</v>
      </c>
      <c r="AC584" s="114">
        <f t="shared" si="148"/>
        <v>3</v>
      </c>
      <c r="AD584" s="114">
        <f t="shared" si="149"/>
        <v>1</v>
      </c>
      <c r="AE584" s="114">
        <f t="shared" si="150"/>
        <v>7</v>
      </c>
      <c r="AF584" s="116" t="s">
        <v>63</v>
      </c>
      <c r="AG584" s="114">
        <f t="shared" si="151"/>
        <v>0.590643274853801</v>
      </c>
      <c r="AH584" s="114">
        <f t="shared" si="152"/>
        <v>0.678733031674208</v>
      </c>
      <c r="AI584" s="114">
        <f t="shared" si="153"/>
        <v>1.02</v>
      </c>
      <c r="AJ584" s="159">
        <f t="shared" si="154"/>
        <v>0.221789425717213</v>
      </c>
      <c r="AK584" s="160">
        <f t="shared" si="155"/>
        <v>0.221789425717213</v>
      </c>
      <c r="AL584" s="160">
        <f t="shared" si="156"/>
        <v>0.221789425717213</v>
      </c>
      <c r="AM584" s="160">
        <f t="shared" si="157"/>
        <v>135</v>
      </c>
      <c r="AN584" s="114">
        <v>0</v>
      </c>
      <c r="AO584" s="114">
        <v>1</v>
      </c>
      <c r="AP584" s="116">
        <v>0.79</v>
      </c>
      <c r="AQ584" s="114">
        <v>51</v>
      </c>
      <c r="AR584" s="114">
        <v>1.02</v>
      </c>
      <c r="AS584" s="160">
        <v>27</v>
      </c>
      <c r="AT584" s="161">
        <v>10.1</v>
      </c>
      <c r="AU584" s="114">
        <v>60</v>
      </c>
      <c r="AV584" s="114">
        <v>143</v>
      </c>
      <c r="AZ584" s="119" t="s">
        <v>1671</v>
      </c>
    </row>
    <row r="585" spans="1:52">
      <c r="A585" s="113" t="s">
        <v>987</v>
      </c>
      <c r="B585" s="119" t="s">
        <v>53</v>
      </c>
      <c r="C585" s="117">
        <v>64</v>
      </c>
      <c r="D585" s="113">
        <v>1.62</v>
      </c>
      <c r="E585" s="113">
        <v>70</v>
      </c>
      <c r="F585" s="136">
        <f t="shared" si="146"/>
        <v>26.6727632982777</v>
      </c>
      <c r="G585" s="308">
        <v>0</v>
      </c>
      <c r="H585" s="281">
        <v>45111</v>
      </c>
      <c r="I585" s="119" t="s">
        <v>1672</v>
      </c>
      <c r="J585" s="119" t="s">
        <v>1673</v>
      </c>
      <c r="L585" s="137">
        <v>2</v>
      </c>
      <c r="M585" s="138">
        <v>7</v>
      </c>
      <c r="N585" s="270" t="s">
        <v>1674</v>
      </c>
      <c r="O585" s="114">
        <v>1</v>
      </c>
      <c r="P585" s="114"/>
      <c r="Q585" s="114"/>
      <c r="R585" s="114"/>
      <c r="S585" s="114"/>
      <c r="T585" s="114">
        <v>0</v>
      </c>
      <c r="U585" s="114">
        <v>0</v>
      </c>
      <c r="V585" s="114">
        <v>1</v>
      </c>
      <c r="W585" s="114">
        <v>0</v>
      </c>
      <c r="X585" s="114">
        <v>1</v>
      </c>
      <c r="Y585" s="114">
        <v>1</v>
      </c>
      <c r="Z585" s="116" t="s">
        <v>58</v>
      </c>
      <c r="AA585" s="114">
        <v>1</v>
      </c>
      <c r="AB585" s="114">
        <f t="shared" si="147"/>
        <v>2</v>
      </c>
      <c r="AC585" s="114">
        <f t="shared" si="148"/>
        <v>3</v>
      </c>
      <c r="AD585" s="114">
        <f t="shared" si="149"/>
        <v>1</v>
      </c>
      <c r="AE585" s="114">
        <f t="shared" si="150"/>
        <v>8</v>
      </c>
      <c r="AF585" s="116" t="s">
        <v>63</v>
      </c>
      <c r="AG585" s="114">
        <f t="shared" si="151"/>
        <v>2.40350877192982</v>
      </c>
      <c r="AH585" s="114">
        <f t="shared" si="152"/>
        <v>0.656108597285068</v>
      </c>
      <c r="AI585" s="114">
        <f t="shared" si="153"/>
        <v>1.3</v>
      </c>
      <c r="AJ585" s="159">
        <f t="shared" si="154"/>
        <v>12.6708124624115</v>
      </c>
      <c r="AK585" s="160">
        <f t="shared" si="155"/>
        <v>12.6708124624115</v>
      </c>
      <c r="AL585" s="160">
        <f t="shared" si="156"/>
        <v>12.6708124624115</v>
      </c>
      <c r="AM585" s="160">
        <f t="shared" si="157"/>
        <v>135</v>
      </c>
      <c r="AN585" s="114">
        <v>1</v>
      </c>
      <c r="AO585" s="114">
        <v>1</v>
      </c>
      <c r="AP585" s="116">
        <v>1.58</v>
      </c>
      <c r="AQ585" s="114">
        <v>98</v>
      </c>
      <c r="AR585" s="114">
        <v>1.3</v>
      </c>
      <c r="AS585" s="160">
        <v>25</v>
      </c>
      <c r="AT585" s="161">
        <v>41.1</v>
      </c>
      <c r="AU585" s="114">
        <v>58</v>
      </c>
      <c r="AV585" s="114">
        <v>142</v>
      </c>
      <c r="AZ585" s="119" t="s">
        <v>1675</v>
      </c>
    </row>
    <row r="586" spans="1:52">
      <c r="A586" s="113" t="s">
        <v>1676</v>
      </c>
      <c r="B586" s="119" t="s">
        <v>53</v>
      </c>
      <c r="C586" s="117">
        <v>66</v>
      </c>
      <c r="D586" s="275">
        <v>1.5</v>
      </c>
      <c r="E586" s="117">
        <v>48</v>
      </c>
      <c r="F586" s="136">
        <f t="shared" si="146"/>
        <v>21.3333333333333</v>
      </c>
      <c r="G586" s="308">
        <v>3</v>
      </c>
      <c r="H586" s="281">
        <v>45117</v>
      </c>
      <c r="I586" s="119" t="s">
        <v>1669</v>
      </c>
      <c r="J586" s="119" t="s">
        <v>1677</v>
      </c>
      <c r="L586" s="137">
        <v>2</v>
      </c>
      <c r="M586" s="138">
        <v>7</v>
      </c>
      <c r="N586" s="270" t="s">
        <v>1678</v>
      </c>
      <c r="O586" s="114"/>
      <c r="P586" s="114"/>
      <c r="Q586" s="114"/>
      <c r="R586" s="114"/>
      <c r="S586" s="114">
        <v>1</v>
      </c>
      <c r="T586" s="114">
        <v>0</v>
      </c>
      <c r="U586" s="114">
        <v>0</v>
      </c>
      <c r="V586" s="114">
        <v>1</v>
      </c>
      <c r="W586" s="114">
        <v>0</v>
      </c>
      <c r="X586" s="114">
        <v>1</v>
      </c>
      <c r="Y586" s="114">
        <v>1</v>
      </c>
      <c r="Z586" s="116" t="s">
        <v>58</v>
      </c>
      <c r="AA586" s="114">
        <v>1</v>
      </c>
      <c r="AB586" s="114">
        <f t="shared" si="147"/>
        <v>1</v>
      </c>
      <c r="AC586" s="114">
        <f t="shared" si="148"/>
        <v>3</v>
      </c>
      <c r="AD586" s="114">
        <f t="shared" si="149"/>
        <v>1</v>
      </c>
      <c r="AE586" s="114">
        <f t="shared" si="150"/>
        <v>7</v>
      </c>
      <c r="AF586" s="116" t="s">
        <v>63</v>
      </c>
      <c r="AG586" s="114">
        <f t="shared" si="151"/>
        <v>0.60233918128655</v>
      </c>
      <c r="AH586" s="114">
        <f t="shared" si="152"/>
        <v>0.644796380090498</v>
      </c>
      <c r="AI586" s="114">
        <f t="shared" si="153"/>
        <v>1.22</v>
      </c>
      <c r="AJ586" s="159">
        <f t="shared" si="154"/>
        <v>8.62712961794585</v>
      </c>
      <c r="AK586" s="160">
        <f t="shared" si="155"/>
        <v>8.62712961794585</v>
      </c>
      <c r="AL586" s="160">
        <f t="shared" si="156"/>
        <v>8.62712961794585</v>
      </c>
      <c r="AM586" s="160">
        <f t="shared" si="157"/>
        <v>135</v>
      </c>
      <c r="AN586" s="114">
        <v>1</v>
      </c>
      <c r="AO586" s="114">
        <v>1</v>
      </c>
      <c r="AP586" s="114">
        <v>3.26</v>
      </c>
      <c r="AQ586" s="114">
        <v>23</v>
      </c>
      <c r="AR586" s="114">
        <v>1.22</v>
      </c>
      <c r="AS586" s="160">
        <v>27</v>
      </c>
      <c r="AT586" s="161">
        <v>10.3</v>
      </c>
      <c r="AU586" s="114">
        <v>57</v>
      </c>
      <c r="AV586" s="114">
        <v>137</v>
      </c>
      <c r="AZ586" s="119" t="s">
        <v>1679</v>
      </c>
    </row>
    <row r="587" spans="1:52">
      <c r="A587" s="113" t="s">
        <v>1680</v>
      </c>
      <c r="B587" s="119" t="s">
        <v>48</v>
      </c>
      <c r="C587" s="117">
        <v>58</v>
      </c>
      <c r="D587" s="135">
        <v>1.65</v>
      </c>
      <c r="E587" s="117">
        <v>80</v>
      </c>
      <c r="F587" s="136">
        <f>E587/(D587*D587)</f>
        <v>29.3847566574839</v>
      </c>
      <c r="G587" s="308">
        <v>5</v>
      </c>
      <c r="H587" s="281">
        <v>45124</v>
      </c>
      <c r="I587" s="119" t="s">
        <v>1677</v>
      </c>
      <c r="J587" s="119" t="s">
        <v>1681</v>
      </c>
      <c r="L587" s="137">
        <v>1</v>
      </c>
      <c r="M587" s="138">
        <v>7</v>
      </c>
      <c r="N587" s="270" t="s">
        <v>1682</v>
      </c>
      <c r="O587" s="114">
        <v>1</v>
      </c>
      <c r="P587" s="114"/>
      <c r="Q587" s="114"/>
      <c r="R587" s="114"/>
      <c r="S587" s="114"/>
      <c r="T587" s="114">
        <v>1</v>
      </c>
      <c r="U587" s="114">
        <v>0</v>
      </c>
      <c r="V587" s="114">
        <v>0</v>
      </c>
      <c r="W587" s="114">
        <v>0</v>
      </c>
      <c r="X587" s="114">
        <v>0</v>
      </c>
      <c r="Y587" s="114">
        <v>1</v>
      </c>
      <c r="Z587" s="116" t="s">
        <v>300</v>
      </c>
      <c r="AA587" s="114">
        <v>2</v>
      </c>
      <c r="AB587" s="114">
        <f>_xlfn.IFS(AT587&gt;51,3,AT587&gt;=34,2,AT587&lt;34,1)</f>
        <v>2</v>
      </c>
      <c r="AC587" s="114">
        <f>_xlfn.IFS(AS587&gt;35,1,AS587&gt;=28,2,AS587&lt;28,3)</f>
        <v>2</v>
      </c>
      <c r="AD587" s="114">
        <f>_xlfn.IFS(AR587&gt;2.3,3,AR587&gt;=1.7,2,AR587&lt;1.7,1)</f>
        <v>1</v>
      </c>
      <c r="AE587" s="114">
        <f>Y587+AA587+AB587+AC587+AD587</f>
        <v>8</v>
      </c>
      <c r="AF587" s="116" t="s">
        <v>63</v>
      </c>
      <c r="AG587" s="114">
        <f>AT587/17.1</f>
        <v>2.66666666666667</v>
      </c>
      <c r="AH587" s="114">
        <f>AU587/88.4</f>
        <v>0.542986425339366</v>
      </c>
      <c r="AI587" s="114">
        <f>AR587</f>
        <v>1.43</v>
      </c>
      <c r="AJ587" s="159">
        <f>LN(IF(AG587&gt;=1,AG587,1))*3.8+LN(IF(AH587&gt;=1,AH587,1))*9.6+11.2*LN(IF(AI587&gt;=1,AI587,1))+6.4*AN587</f>
        <v>14.1331049372889</v>
      </c>
      <c r="AK587" s="160">
        <f>IF(AND(AG587&gt;0,AH587&gt;0,AI587&gt;0),AJ587,"")</f>
        <v>14.1331049372889</v>
      </c>
      <c r="AL587" s="160">
        <f>AK587+1.59*(135-AM587)</f>
        <v>14.1331049372889</v>
      </c>
      <c r="AM587" s="160">
        <f>IF(AV587&gt;135,135,IF(AV587&lt;120,120,AV587))</f>
        <v>135</v>
      </c>
      <c r="AN587" s="114">
        <v>1</v>
      </c>
      <c r="AO587" s="114">
        <v>2</v>
      </c>
      <c r="AP587" s="114">
        <v>1.36</v>
      </c>
      <c r="AQ587" s="114">
        <v>47</v>
      </c>
      <c r="AR587" s="114">
        <v>1.43</v>
      </c>
      <c r="AS587" s="160">
        <v>34</v>
      </c>
      <c r="AT587" s="161">
        <v>45.6</v>
      </c>
      <c r="AU587" s="114">
        <v>48</v>
      </c>
      <c r="AV587" s="114">
        <v>139</v>
      </c>
      <c r="AZ587" s="119" t="s">
        <v>1683</v>
      </c>
    </row>
    <row r="588" s="123" customFormat="1" spans="1:52">
      <c r="A588" s="285" t="s">
        <v>1684</v>
      </c>
      <c r="B588" s="132" t="s">
        <v>48</v>
      </c>
      <c r="C588" s="123">
        <v>36</v>
      </c>
      <c r="D588" s="176">
        <v>1.78</v>
      </c>
      <c r="E588" s="123">
        <v>100</v>
      </c>
      <c r="F588" s="189">
        <f>E588/(D588*D588)</f>
        <v>31.561671506123</v>
      </c>
      <c r="G588" s="309">
        <v>5</v>
      </c>
      <c r="H588" s="286">
        <v>45126</v>
      </c>
      <c r="I588" s="132" t="s">
        <v>1685</v>
      </c>
      <c r="J588" s="132" t="s">
        <v>1686</v>
      </c>
      <c r="L588" s="178">
        <v>1</v>
      </c>
      <c r="M588" s="178">
        <v>15</v>
      </c>
      <c r="N588" s="254" t="s">
        <v>1687</v>
      </c>
      <c r="P588" s="123">
        <v>1</v>
      </c>
      <c r="Q588" s="123">
        <v>1</v>
      </c>
      <c r="T588" s="123">
        <v>0</v>
      </c>
      <c r="U588" s="123">
        <v>0</v>
      </c>
      <c r="V588" s="123">
        <v>1</v>
      </c>
      <c r="W588" s="123">
        <v>0</v>
      </c>
      <c r="X588" s="123">
        <v>1</v>
      </c>
      <c r="Y588" s="123">
        <v>1</v>
      </c>
      <c r="Z588" s="132" t="s">
        <v>58</v>
      </c>
      <c r="AA588" s="123">
        <v>1</v>
      </c>
      <c r="AB588" s="123">
        <f>_xlfn.IFS(AT588&gt;51,3,AT588&gt;=34,2,AT588&lt;34,1)</f>
        <v>1</v>
      </c>
      <c r="AC588" s="123">
        <f>_xlfn.IFS(AS588&gt;35,1,AS588&gt;=28,2,AS588&lt;28,3)</f>
        <v>2</v>
      </c>
      <c r="AD588" s="123">
        <f>_xlfn.IFS(AR588&gt;2.3,3,AR588&gt;=1.7,2,AR588&lt;1.7,1)</f>
        <v>1</v>
      </c>
      <c r="AE588" s="123">
        <f>Y588+AA588+AB588+AC588+AD588</f>
        <v>6</v>
      </c>
      <c r="AF588" s="132" t="s">
        <v>59</v>
      </c>
      <c r="AG588" s="123">
        <f>AT588/17.1</f>
        <v>0.953216374269006</v>
      </c>
      <c r="AH588" s="123">
        <f>AU588/88.4</f>
        <v>0.678733031674208</v>
      </c>
      <c r="AI588" s="123">
        <f>AR588</f>
        <v>1.36</v>
      </c>
      <c r="AJ588" s="266">
        <f>LN(IF(AG588&gt;=1,AG588,1))*3.8+LN(IF(AH588&gt;=1,AH588,1))*9.6+11.2*LN(IF(AI588&gt;=1,AI588,1))+6.4*AN588</f>
        <v>3.44382863717716</v>
      </c>
      <c r="AK588" s="267">
        <f>IF(AND(AG588&gt;0,AH588&gt;0,AI588&gt;0),AJ588,"")</f>
        <v>3.44382863717716</v>
      </c>
      <c r="AL588" s="267">
        <f>AK588+1.59*(135-AM588)</f>
        <v>16.1638286371772</v>
      </c>
      <c r="AM588" s="267">
        <f>IF(AV588&gt;135,135,IF(AV588&lt;120,120,AV588))</f>
        <v>127</v>
      </c>
      <c r="AN588" s="123">
        <v>0</v>
      </c>
      <c r="AO588" s="123">
        <v>1</v>
      </c>
      <c r="AP588" s="132">
        <v>2.6</v>
      </c>
      <c r="AQ588" s="123">
        <v>59</v>
      </c>
      <c r="AR588" s="123">
        <v>1.36</v>
      </c>
      <c r="AS588" s="267">
        <v>28</v>
      </c>
      <c r="AT588" s="268">
        <v>16.3</v>
      </c>
      <c r="AU588" s="123">
        <v>60</v>
      </c>
      <c r="AV588" s="123">
        <v>127</v>
      </c>
      <c r="AZ588" s="132" t="s">
        <v>1688</v>
      </c>
    </row>
    <row r="589" s="125" customFormat="1" spans="1:52">
      <c r="A589" s="272" t="s">
        <v>1689</v>
      </c>
      <c r="B589" s="131" t="s">
        <v>53</v>
      </c>
      <c r="C589" s="125">
        <v>74</v>
      </c>
      <c r="D589" s="185">
        <v>1.7</v>
      </c>
      <c r="E589" s="125">
        <v>70</v>
      </c>
      <c r="F589" s="216">
        <f>E589/(D589*D589)</f>
        <v>24.2214532871972</v>
      </c>
      <c r="G589" s="310">
        <v>6</v>
      </c>
      <c r="H589" s="296">
        <v>45128</v>
      </c>
      <c r="I589" s="131" t="s">
        <v>1690</v>
      </c>
      <c r="J589" s="131" t="s">
        <v>1691</v>
      </c>
      <c r="L589" s="187">
        <v>1</v>
      </c>
      <c r="M589" s="187">
        <v>7</v>
      </c>
      <c r="N589" s="248" t="s">
        <v>1692</v>
      </c>
      <c r="O589" s="114"/>
      <c r="P589" s="114"/>
      <c r="Q589" s="114"/>
      <c r="R589" s="114"/>
      <c r="S589" s="114">
        <v>1</v>
      </c>
      <c r="T589" s="114">
        <v>0</v>
      </c>
      <c r="U589" s="114">
        <v>1</v>
      </c>
      <c r="V589" s="114">
        <v>0</v>
      </c>
      <c r="W589" s="114">
        <v>0</v>
      </c>
      <c r="X589" s="114">
        <v>0</v>
      </c>
      <c r="Y589" s="114">
        <v>2</v>
      </c>
      <c r="Z589" s="116" t="s">
        <v>58</v>
      </c>
      <c r="AA589" s="114">
        <v>1</v>
      </c>
      <c r="AB589" s="114">
        <f>_xlfn.IFS(AT589&gt;51,3,AT589&gt;=34,2,AT589&lt;34,1)</f>
        <v>3</v>
      </c>
      <c r="AC589" s="114">
        <f>_xlfn.IFS(AS589&gt;35,1,AS589&gt;=28,2,AS589&lt;28,3)</f>
        <v>1</v>
      </c>
      <c r="AD589" s="114">
        <f>_xlfn.IFS(AR589&gt;2.3,3,AR589&gt;=1.7,2,AR589&lt;1.7,1)</f>
        <v>1</v>
      </c>
      <c r="AE589" s="114">
        <f>Y589+AA589+AB589+AC589+AD589</f>
        <v>8</v>
      </c>
      <c r="AF589" s="116" t="s">
        <v>63</v>
      </c>
      <c r="AG589" s="114">
        <f>AT589/17.1</f>
        <v>6.99415204678362</v>
      </c>
      <c r="AH589" s="114">
        <f>AU589/88.4</f>
        <v>2.57918552036199</v>
      </c>
      <c r="AI589" s="114">
        <f>AR589</f>
        <v>1.43</v>
      </c>
      <c r="AJ589" s="159">
        <f>LN(IF(AG589&gt;=1,AG589,1))*3.8+LN(IF(AH589&gt;=1,AH589,1))*9.6+11.2*LN(IF(AI589&gt;=1,AI589,1))+6.4*AN589</f>
        <v>26.8929835416585</v>
      </c>
      <c r="AK589" s="160">
        <f>IF(AND(AG589&gt;0,AH589&gt;0,AI589&gt;0),AJ589,"")</f>
        <v>26.8929835416585</v>
      </c>
      <c r="AL589" s="160">
        <f>AK589+1.59*(135-AM589)</f>
        <v>26.8929835416585</v>
      </c>
      <c r="AM589" s="160">
        <f>IF(AV589&gt;135,135,IF(AV589&lt;120,120,AV589))</f>
        <v>135</v>
      </c>
      <c r="AN589" s="114">
        <v>1</v>
      </c>
      <c r="AO589" s="114">
        <v>3</v>
      </c>
      <c r="AP589" s="116">
        <v>3.79</v>
      </c>
      <c r="AQ589" s="114">
        <v>89</v>
      </c>
      <c r="AR589" s="114">
        <v>1.43</v>
      </c>
      <c r="AS589" s="160">
        <v>40</v>
      </c>
      <c r="AT589" s="161">
        <v>119.6</v>
      </c>
      <c r="AU589" s="114">
        <v>228</v>
      </c>
      <c r="AV589" s="114">
        <v>135</v>
      </c>
      <c r="AZ589" s="131" t="s">
        <v>1693</v>
      </c>
    </row>
    <row r="590" spans="1:52">
      <c r="A590" s="113" t="s">
        <v>1694</v>
      </c>
      <c r="B590" s="119" t="s">
        <v>53</v>
      </c>
      <c r="C590" s="117">
        <v>72</v>
      </c>
      <c r="D590" s="135">
        <v>1.5</v>
      </c>
      <c r="E590" s="117">
        <v>45</v>
      </c>
      <c r="F590" s="136">
        <f>E590/(D590*D590)</f>
        <v>20</v>
      </c>
      <c r="G590" s="308">
        <v>3</v>
      </c>
      <c r="H590" s="281">
        <v>45129</v>
      </c>
      <c r="I590" s="119" t="s">
        <v>1695</v>
      </c>
      <c r="J590" s="119" t="s">
        <v>1696</v>
      </c>
      <c r="L590" s="137">
        <v>1</v>
      </c>
      <c r="M590" s="138">
        <v>9</v>
      </c>
      <c r="N590" s="270" t="s">
        <v>1697</v>
      </c>
      <c r="O590" s="114"/>
      <c r="P590" s="114"/>
      <c r="Q590" s="114"/>
      <c r="R590" s="114"/>
      <c r="S590" s="114">
        <v>1</v>
      </c>
      <c r="T590" s="114">
        <v>1</v>
      </c>
      <c r="U590" s="114">
        <v>0</v>
      </c>
      <c r="V590" s="114">
        <v>1</v>
      </c>
      <c r="W590" s="114">
        <v>0</v>
      </c>
      <c r="X590" s="114">
        <v>1</v>
      </c>
      <c r="Y590" s="114">
        <v>1</v>
      </c>
      <c r="Z590" s="116" t="s">
        <v>300</v>
      </c>
      <c r="AA590" s="114">
        <v>2</v>
      </c>
      <c r="AB590" s="114">
        <f>_xlfn.IFS(AT590&gt;51,3,AT590&gt;=34,2,AT590&lt;34,1)</f>
        <v>1</v>
      </c>
      <c r="AC590" s="114">
        <f>_xlfn.IFS(AS590&gt;35,1,AS590&gt;=28,2,AS590&lt;28,3)</f>
        <v>1</v>
      </c>
      <c r="AD590" s="114">
        <f>_xlfn.IFS(AR590&gt;2.3,3,AR590&gt;=1.7,2,AR590&lt;1.7,1)</f>
        <v>1</v>
      </c>
      <c r="AE590" s="114">
        <f>Y590+AA590+AB590+AC590+AD590</f>
        <v>6</v>
      </c>
      <c r="AF590" s="116" t="s">
        <v>59</v>
      </c>
      <c r="AG590" s="114">
        <f>AT590/17.1</f>
        <v>1.81286549707602</v>
      </c>
      <c r="AH590" s="114">
        <f>AU590/88.4</f>
        <v>0.588235294117647</v>
      </c>
      <c r="AI590" s="114">
        <f>AR590</f>
        <v>0.98</v>
      </c>
      <c r="AJ590" s="159">
        <f>LN(IF(AG590&gt;=1,AG590,1))*3.8+LN(IF(AH590&gt;=1,AH590,1))*9.6+11.2*LN(IF(AI590&gt;=1,AI590,1))+6.4*AN590</f>
        <v>8.66065321571082</v>
      </c>
      <c r="AK590" s="160">
        <f>IF(AND(AG590&gt;0,AH590&gt;0,AI590&gt;0),AJ590,"")</f>
        <v>8.66065321571082</v>
      </c>
      <c r="AL590" s="160">
        <f>AK590+1.59*(135-AM590)</f>
        <v>8.66065321571082</v>
      </c>
      <c r="AM590" s="160">
        <f>IF(AV590&gt;135,135,IF(AV590&lt;120,120,AV590))</f>
        <v>135</v>
      </c>
      <c r="AN590" s="114">
        <v>1</v>
      </c>
      <c r="AO590" s="114">
        <v>1</v>
      </c>
      <c r="AP590" s="114">
        <v>3.82</v>
      </c>
      <c r="AQ590" s="114">
        <v>118</v>
      </c>
      <c r="AR590" s="114">
        <v>0.98</v>
      </c>
      <c r="AS590" s="160">
        <v>36</v>
      </c>
      <c r="AT590" s="161">
        <v>31</v>
      </c>
      <c r="AU590" s="114">
        <v>52</v>
      </c>
      <c r="AV590" s="114">
        <v>140</v>
      </c>
      <c r="AZ590" s="119" t="s">
        <v>1698</v>
      </c>
    </row>
    <row r="591" spans="1:52">
      <c r="A591" s="113" t="s">
        <v>1699</v>
      </c>
      <c r="B591" s="119" t="s">
        <v>48</v>
      </c>
      <c r="C591" s="117">
        <v>63</v>
      </c>
      <c r="D591" s="135">
        <v>1.67</v>
      </c>
      <c r="E591" s="117">
        <v>60</v>
      </c>
      <c r="F591" s="136">
        <f>E591/(D591*D591)</f>
        <v>21.5138585105239</v>
      </c>
      <c r="G591" s="308">
        <v>1</v>
      </c>
      <c r="H591" s="281">
        <v>45130</v>
      </c>
      <c r="I591" s="119" t="s">
        <v>1700</v>
      </c>
      <c r="J591" s="119" t="s">
        <v>1686</v>
      </c>
      <c r="L591" s="137">
        <v>1</v>
      </c>
      <c r="M591" s="138">
        <v>11</v>
      </c>
      <c r="N591" s="270" t="s">
        <v>1701</v>
      </c>
      <c r="O591" s="114"/>
      <c r="P591" s="114">
        <v>1</v>
      </c>
      <c r="Q591" s="114"/>
      <c r="R591" s="114"/>
      <c r="S591" s="114"/>
      <c r="T591" s="114">
        <v>0</v>
      </c>
      <c r="U591" s="114">
        <v>0</v>
      </c>
      <c r="V591" s="114">
        <v>1</v>
      </c>
      <c r="W591" s="114">
        <v>0</v>
      </c>
      <c r="X591" s="114">
        <v>1</v>
      </c>
      <c r="Y591" s="114">
        <v>1</v>
      </c>
      <c r="Z591" s="116" t="s">
        <v>58</v>
      </c>
      <c r="AA591" s="114">
        <v>1</v>
      </c>
      <c r="AB591" s="114">
        <f>_xlfn.IFS(AT591&gt;51,3,AT591&gt;=34,2,AT591&lt;34,1)</f>
        <v>1</v>
      </c>
      <c r="AC591" s="114">
        <f>_xlfn.IFS(AS591&gt;35,1,AS591&gt;=28,2,AS591&lt;28,3)</f>
        <v>2</v>
      </c>
      <c r="AD591" s="114">
        <f>_xlfn.IFS(AR591&gt;2.3,3,AR591&gt;=1.7,2,AR591&lt;1.7,1)</f>
        <v>1</v>
      </c>
      <c r="AE591" s="114">
        <f>Y591+AA591+AB591+AC591+AD591</f>
        <v>6</v>
      </c>
      <c r="AF591" s="116" t="s">
        <v>59</v>
      </c>
      <c r="AG591" s="114">
        <f>AT591/17.1</f>
        <v>1.57894736842105</v>
      </c>
      <c r="AH591" s="114">
        <f>AU591/88.4</f>
        <v>0.735294117647059</v>
      </c>
      <c r="AI591" s="114">
        <f>AR591</f>
        <v>1.18</v>
      </c>
      <c r="AJ591" s="159">
        <f>LN(IF(AG591&gt;=1,AG591,1))*3.8+LN(IF(AH591&gt;=1,AH591,1))*9.6+11.2*LN(IF(AI591&gt;=1,AI591,1))+6.4*AN591</f>
        <v>3.58944364043254</v>
      </c>
      <c r="AK591" s="160">
        <f>IF(AND(AG591&gt;0,AH591&gt;0,AI591&gt;0),AJ591,"")</f>
        <v>3.58944364043254</v>
      </c>
      <c r="AL591" s="160">
        <f>AK591+1.59*(135-AM591)</f>
        <v>3.58944364043254</v>
      </c>
      <c r="AM591" s="160">
        <f>IF(AV591&gt;135,135,IF(AV591&lt;120,120,AV591))</f>
        <v>135</v>
      </c>
      <c r="AN591" s="114">
        <v>0</v>
      </c>
      <c r="AO591" s="114">
        <v>1</v>
      </c>
      <c r="AP591" s="114">
        <v>4.23</v>
      </c>
      <c r="AQ591" s="114">
        <v>61</v>
      </c>
      <c r="AR591" s="116">
        <v>1.18</v>
      </c>
      <c r="AS591" s="160">
        <v>30</v>
      </c>
      <c r="AT591" s="161">
        <v>27</v>
      </c>
      <c r="AU591" s="114">
        <v>65</v>
      </c>
      <c r="AV591" s="114">
        <v>140</v>
      </c>
      <c r="AZ591" s="119" t="s">
        <v>1702</v>
      </c>
    </row>
    <row r="592" spans="1:52">
      <c r="A592" s="113" t="s">
        <v>1676</v>
      </c>
      <c r="B592" s="119" t="s">
        <v>53</v>
      </c>
      <c r="C592" s="117">
        <v>66</v>
      </c>
      <c r="D592" s="135">
        <v>1.5</v>
      </c>
      <c r="E592" s="117">
        <v>48</v>
      </c>
      <c r="F592" s="136">
        <f>E592/(D592*D592)</f>
        <v>21.3333333333333</v>
      </c>
      <c r="G592" s="308">
        <v>5</v>
      </c>
      <c r="H592" s="281">
        <v>45132</v>
      </c>
      <c r="I592" s="119" t="s">
        <v>1703</v>
      </c>
      <c r="J592" s="119" t="s">
        <v>1704</v>
      </c>
      <c r="L592" s="137">
        <v>2</v>
      </c>
      <c r="M592" s="138">
        <v>13</v>
      </c>
      <c r="N592" s="270" t="s">
        <v>1705</v>
      </c>
      <c r="O592" s="114"/>
      <c r="P592" s="114"/>
      <c r="Q592" s="116" t="s">
        <v>1083</v>
      </c>
      <c r="R592" s="114"/>
      <c r="S592" s="114"/>
      <c r="T592" s="114">
        <v>1</v>
      </c>
      <c r="U592" s="114">
        <v>0</v>
      </c>
      <c r="V592" s="114">
        <v>1</v>
      </c>
      <c r="W592" s="114">
        <v>0</v>
      </c>
      <c r="X592" s="114">
        <v>1</v>
      </c>
      <c r="Y592" s="114">
        <v>1</v>
      </c>
      <c r="Z592" s="116" t="s">
        <v>321</v>
      </c>
      <c r="AA592" s="114">
        <v>3</v>
      </c>
      <c r="AB592" s="114">
        <f>_xlfn.IFS(AT592&gt;51,3,AT592&gt;=34,2,AT592&lt;34,1)</f>
        <v>1</v>
      </c>
      <c r="AC592" s="114">
        <f>_xlfn.IFS(AS592&gt;35,1,AS592&gt;=28,2,AS592&lt;28,3)</f>
        <v>2</v>
      </c>
      <c r="AD592" s="114">
        <f>_xlfn.IFS(AR592&gt;2.3,3,AR592&gt;=1.7,2,AR592&lt;1.7,1)</f>
        <v>1</v>
      </c>
      <c r="AE592" s="114">
        <f>Y592+AA592+AB592+AC592+AD592</f>
        <v>8</v>
      </c>
      <c r="AF592" s="116" t="s">
        <v>63</v>
      </c>
      <c r="AG592" s="114">
        <f>AT592/17.1</f>
        <v>1.02923976608187</v>
      </c>
      <c r="AH592" s="114">
        <f>AU592/88.4</f>
        <v>0.82579185520362</v>
      </c>
      <c r="AI592" s="114">
        <f>AR592</f>
        <v>1.31</v>
      </c>
      <c r="AJ592" s="159">
        <f>LN(IF(AG592&gt;=1,AG592,1))*3.8+LN(IF(AH592&gt;=1,AH592,1))*9.6+11.2*LN(IF(AI592&gt;=1,AI592,1))+6.4*AN592</f>
        <v>9.53382160322114</v>
      </c>
      <c r="AK592" s="160">
        <f>IF(AND(AG592&gt;0,AH592&gt;0,AI592&gt;0),AJ592,"")</f>
        <v>9.53382160322114</v>
      </c>
      <c r="AL592" s="160">
        <f>AK592+1.59*(135-AM592)</f>
        <v>9.53382160322114</v>
      </c>
      <c r="AM592" s="160">
        <f>IF(AV592&gt;135,135,IF(AV592&lt;120,120,AV592))</f>
        <v>135</v>
      </c>
      <c r="AN592" s="114">
        <v>1</v>
      </c>
      <c r="AO592" s="114">
        <v>1</v>
      </c>
      <c r="AP592" s="116">
        <v>1.54</v>
      </c>
      <c r="AQ592" s="114">
        <v>82</v>
      </c>
      <c r="AR592" s="114">
        <v>1.31</v>
      </c>
      <c r="AS592" s="160">
        <v>29</v>
      </c>
      <c r="AT592" s="161">
        <v>17.6</v>
      </c>
      <c r="AU592" s="114">
        <v>73</v>
      </c>
      <c r="AV592" s="114">
        <v>144</v>
      </c>
      <c r="AZ592" s="119" t="s">
        <v>1706</v>
      </c>
    </row>
    <row r="593" spans="1:52">
      <c r="A593" s="113" t="s">
        <v>1707</v>
      </c>
      <c r="B593" s="119" t="s">
        <v>48</v>
      </c>
      <c r="C593" s="117">
        <v>66</v>
      </c>
      <c r="D593" s="135">
        <v>1.62</v>
      </c>
      <c r="E593" s="117">
        <v>70</v>
      </c>
      <c r="F593" s="136">
        <f>E593/(D593*D593)</f>
        <v>26.6727632982777</v>
      </c>
      <c r="G593" s="308">
        <v>1</v>
      </c>
      <c r="H593" s="281">
        <v>45132</v>
      </c>
      <c r="I593" s="119" t="s">
        <v>1703</v>
      </c>
      <c r="J593" s="119" t="s">
        <v>1708</v>
      </c>
      <c r="L593" s="137">
        <v>2</v>
      </c>
      <c r="M593" s="138">
        <v>8</v>
      </c>
      <c r="N593" s="270" t="s">
        <v>1709</v>
      </c>
      <c r="O593" s="114">
        <v>1</v>
      </c>
      <c r="P593" s="114">
        <v>1</v>
      </c>
      <c r="Q593" s="114"/>
      <c r="R593" s="114"/>
      <c r="S593" s="114"/>
      <c r="T593" s="114">
        <v>0</v>
      </c>
      <c r="U593" s="114">
        <v>0</v>
      </c>
      <c r="V593" s="114">
        <v>1</v>
      </c>
      <c r="W593" s="114">
        <v>0</v>
      </c>
      <c r="X593" s="114">
        <v>1</v>
      </c>
      <c r="Y593" s="114">
        <v>1</v>
      </c>
      <c r="Z593" s="116" t="s">
        <v>58</v>
      </c>
      <c r="AA593" s="114">
        <v>1</v>
      </c>
      <c r="AB593" s="114">
        <f>_xlfn.IFS(AT593&gt;51,3,AT593&gt;=34,2,AT593&lt;34,1)</f>
        <v>1</v>
      </c>
      <c r="AC593" s="114">
        <f>_xlfn.IFS(AS593&gt;35,1,AS593&gt;=28,2,AS593&lt;28,3)</f>
        <v>2</v>
      </c>
      <c r="AD593" s="114">
        <f>_xlfn.IFS(AR593&gt;2.3,3,AR593&gt;=1.7,2,AR593&lt;1.7,1)</f>
        <v>1</v>
      </c>
      <c r="AE593" s="114">
        <f>Y593+AA593+AB593+AC593+AD593</f>
        <v>6</v>
      </c>
      <c r="AF593" s="116" t="s">
        <v>59</v>
      </c>
      <c r="AG593" s="114">
        <f>AT593/17.1</f>
        <v>0.619883040935672</v>
      </c>
      <c r="AH593" s="114">
        <f>AU593/88.4</f>
        <v>1.0972850678733</v>
      </c>
      <c r="AI593" s="114">
        <f>AR593</f>
        <v>1.05</v>
      </c>
      <c r="AJ593" s="159">
        <f>LN(IF(AG593&gt;=1,AG593,1))*3.8+LN(IF(AH593&gt;=1,AH593,1))*9.6+11.2*LN(IF(AI593&gt;=1,AI593,1))+6.4*AN593</f>
        <v>1.43770432375157</v>
      </c>
      <c r="AK593" s="160">
        <f>IF(AND(AG593&gt;0,AH593&gt;0,AI593&gt;0),AJ593,"")</f>
        <v>1.43770432375157</v>
      </c>
      <c r="AL593" s="160">
        <f>AK593+1.59*(135-AM593)</f>
        <v>1.43770432375157</v>
      </c>
      <c r="AM593" s="160">
        <f>IF(AV593&gt;135,135,IF(AV593&lt;120,120,AV593))</f>
        <v>135</v>
      </c>
      <c r="AN593" s="114">
        <v>0</v>
      </c>
      <c r="AO593" s="114">
        <v>1</v>
      </c>
      <c r="AP593" s="116">
        <v>4.17</v>
      </c>
      <c r="AQ593" s="114">
        <v>72</v>
      </c>
      <c r="AR593" s="114">
        <v>1.05</v>
      </c>
      <c r="AS593" s="160">
        <v>30</v>
      </c>
      <c r="AT593" s="161">
        <v>10.6</v>
      </c>
      <c r="AU593" s="114">
        <v>97</v>
      </c>
      <c r="AV593" s="114">
        <v>137</v>
      </c>
      <c r="AZ593" s="119" t="s">
        <v>1710</v>
      </c>
    </row>
    <row r="594" s="125" customFormat="1" spans="1:52">
      <c r="A594" s="272" t="s">
        <v>712</v>
      </c>
      <c r="B594" s="131" t="s">
        <v>53</v>
      </c>
      <c r="C594" s="125">
        <v>78</v>
      </c>
      <c r="D594" s="185">
        <v>1.6</v>
      </c>
      <c r="E594" s="125">
        <v>49</v>
      </c>
      <c r="F594" s="216">
        <f t="shared" ref="F594:F610" si="158">E594/(D594*D594)</f>
        <v>19.140625</v>
      </c>
      <c r="G594" s="310">
        <v>5</v>
      </c>
      <c r="H594" s="296">
        <v>45136</v>
      </c>
      <c r="I594" s="186">
        <v>45136</v>
      </c>
      <c r="J594" s="186">
        <v>45145</v>
      </c>
      <c r="K594" s="125"/>
      <c r="L594" s="187">
        <v>9</v>
      </c>
      <c r="M594" s="187">
        <v>9</v>
      </c>
      <c r="N594" s="248" t="s">
        <v>1711</v>
      </c>
      <c r="O594" s="125"/>
      <c r="P594" s="125"/>
      <c r="Q594" s="125"/>
      <c r="R594" s="125">
        <v>1</v>
      </c>
      <c r="S594" s="125"/>
      <c r="T594" s="125">
        <v>0</v>
      </c>
      <c r="U594" s="125">
        <v>0</v>
      </c>
      <c r="V594" s="125">
        <v>0</v>
      </c>
      <c r="W594" s="125">
        <v>1</v>
      </c>
      <c r="X594" s="125">
        <v>0</v>
      </c>
      <c r="Y594" s="125">
        <v>1</v>
      </c>
      <c r="Z594" s="131" t="s">
        <v>58</v>
      </c>
      <c r="AA594" s="125">
        <v>1</v>
      </c>
      <c r="AB594" s="125">
        <f>_xlfn.IFS(AT594&gt;51,3,AT594&gt;=34,2,AT594&lt;34,1)</f>
        <v>1</v>
      </c>
      <c r="AC594" s="125">
        <f>_xlfn.IFS(AS594&gt;35,1,AS594&gt;=28,2,AS594&lt;28,3)</f>
        <v>3</v>
      </c>
      <c r="AD594" s="125">
        <f t="shared" ref="AD594:AD601" si="159">_xlfn.IFS(AR594&gt;2.3,3,AR594&gt;=1.7,2,AR594&lt;1.7,1)</f>
        <v>1</v>
      </c>
      <c r="AE594" s="125">
        <f t="shared" ref="AE594:AE601" si="160">Y594+AA594+AB594+AC594+AD594</f>
        <v>7</v>
      </c>
      <c r="AF594" s="131" t="s">
        <v>63</v>
      </c>
      <c r="AG594" s="125">
        <f>AT594/17.1</f>
        <v>1.39766081871345</v>
      </c>
      <c r="AH594" s="125">
        <f>AU594/88.4</f>
        <v>0.565610859728507</v>
      </c>
      <c r="AI594" s="125">
        <f>AR594</f>
        <v>1.56</v>
      </c>
      <c r="AJ594" s="240">
        <f>LN(IF(AG594&gt;=1,AG594,1))*3.8+LN(IF(AH594&gt;=1,AH594,1))*9.6+11.2*LN(IF(AI594&gt;=1,AI594,1))+6.4*AN594</f>
        <v>6.25272118075782</v>
      </c>
      <c r="AK594" s="241">
        <f>IF(AND(AG594&gt;0,AH594&gt;0,AI594&gt;0),AJ594,"")</f>
        <v>6.25272118075782</v>
      </c>
      <c r="AL594" s="241">
        <f t="shared" ref="AL594:AL606" si="161">AK594+1.59*(135-AM594)</f>
        <v>6.25272118075782</v>
      </c>
      <c r="AM594" s="241">
        <f>IF(AV594&gt;135,135,IF(AV594&lt;120,120,AV594))</f>
        <v>135</v>
      </c>
      <c r="AN594" s="125">
        <v>0</v>
      </c>
      <c r="AO594" s="125">
        <v>1</v>
      </c>
      <c r="AP594" s="125">
        <v>2.52</v>
      </c>
      <c r="AQ594" s="125">
        <v>110</v>
      </c>
      <c r="AR594" s="125">
        <v>1.56</v>
      </c>
      <c r="AS594" s="241">
        <v>24</v>
      </c>
      <c r="AT594" s="242">
        <v>23.9</v>
      </c>
      <c r="AU594" s="125">
        <v>50</v>
      </c>
      <c r="AV594" s="125">
        <v>145</v>
      </c>
      <c r="AW594" s="125"/>
      <c r="AX594" s="125"/>
      <c r="AY594" s="125"/>
      <c r="AZ594" s="131" t="s">
        <v>1712</v>
      </c>
    </row>
    <row r="595" s="125" customFormat="1" spans="1:52">
      <c r="A595" s="272" t="s">
        <v>1713</v>
      </c>
      <c r="B595" s="131" t="s">
        <v>53</v>
      </c>
      <c r="C595" s="125">
        <v>78</v>
      </c>
      <c r="D595" s="185">
        <v>1.55</v>
      </c>
      <c r="E595" s="125">
        <v>69</v>
      </c>
      <c r="F595" s="216">
        <f t="shared" si="158"/>
        <v>28.7200832466181</v>
      </c>
      <c r="G595" s="310">
        <v>1</v>
      </c>
      <c r="H595" s="296">
        <v>45140</v>
      </c>
      <c r="I595" s="186">
        <v>45140</v>
      </c>
      <c r="J595" s="186">
        <v>45152</v>
      </c>
      <c r="L595" s="187">
        <v>3</v>
      </c>
      <c r="M595" s="187">
        <v>12</v>
      </c>
      <c r="N595" s="248" t="s">
        <v>1714</v>
      </c>
      <c r="S595" s="125">
        <v>1</v>
      </c>
      <c r="T595" s="125">
        <v>1</v>
      </c>
      <c r="U595" s="125">
        <v>0</v>
      </c>
      <c r="V595" s="125">
        <v>0</v>
      </c>
      <c r="W595" s="125">
        <v>0</v>
      </c>
      <c r="X595" s="125">
        <v>0</v>
      </c>
      <c r="Y595" s="125">
        <v>1</v>
      </c>
      <c r="Z595" s="131" t="s">
        <v>300</v>
      </c>
      <c r="AA595" s="125">
        <v>2</v>
      </c>
      <c r="AB595" s="125">
        <f>_xlfn.IFS(AT595&gt;51,3,AT595&gt;=34,2,AT595&lt;34,1)</f>
        <v>1</v>
      </c>
      <c r="AC595" s="125">
        <f>_xlfn.IFS(AS595&gt;35,1,AS595&gt;=28,2,AS595&lt;28,3)</f>
        <v>2</v>
      </c>
      <c r="AD595" s="125">
        <f t="shared" si="159"/>
        <v>1</v>
      </c>
      <c r="AE595" s="125">
        <f t="shared" si="160"/>
        <v>7</v>
      </c>
      <c r="AF595" s="131" t="s">
        <v>63</v>
      </c>
      <c r="AG595" s="125">
        <f>AT595/17.1</f>
        <v>0.514619883040936</v>
      </c>
      <c r="AH595" s="125">
        <f>AU595/88.4</f>
        <v>0.769230769230769</v>
      </c>
      <c r="AI595" s="125">
        <f>AR595</f>
        <v>1.03</v>
      </c>
      <c r="AJ595" s="240">
        <f>LN(IF(AG595&gt;=1,AG595,1))*3.8+LN(IF(AH595&gt;=1,AH595,1))*9.6+11.2*LN(IF(AI595&gt;=1,AI595,1))+6.4*AN595</f>
        <v>6.7310585851053</v>
      </c>
      <c r="AK595" s="241">
        <f>IF(AND(AG595&gt;0,AH595&gt;0,AI595&gt;0),AJ595,"")</f>
        <v>6.7310585851053</v>
      </c>
      <c r="AL595" s="241">
        <f t="shared" si="161"/>
        <v>6.7310585851053</v>
      </c>
      <c r="AM595" s="241">
        <f>IF(AV595&gt;135,135,IF(AV595&lt;120,120,AV595))</f>
        <v>135</v>
      </c>
      <c r="AN595" s="125">
        <v>1</v>
      </c>
      <c r="AO595" s="125">
        <v>1</v>
      </c>
      <c r="AP595" s="125">
        <v>3.32</v>
      </c>
      <c r="AQ595" s="125">
        <v>100</v>
      </c>
      <c r="AR595" s="125">
        <v>1.03</v>
      </c>
      <c r="AS595" s="241">
        <v>28</v>
      </c>
      <c r="AT595" s="242">
        <v>8.8</v>
      </c>
      <c r="AU595" s="125">
        <v>68</v>
      </c>
      <c r="AV595" s="125">
        <v>143</v>
      </c>
      <c r="AZ595" s="131" t="s">
        <v>1715</v>
      </c>
    </row>
    <row r="596" spans="1:52">
      <c r="A596" s="113" t="s">
        <v>1716</v>
      </c>
      <c r="B596" s="119" t="s">
        <v>53</v>
      </c>
      <c r="C596" s="117">
        <v>39</v>
      </c>
      <c r="D596" s="135">
        <v>1.51</v>
      </c>
      <c r="E596" s="117">
        <v>43</v>
      </c>
      <c r="F596" s="136">
        <f t="shared" si="158"/>
        <v>18.858821981492</v>
      </c>
      <c r="G596" s="308">
        <v>0</v>
      </c>
      <c r="H596" s="281">
        <v>45142</v>
      </c>
      <c r="I596" s="158">
        <v>45142</v>
      </c>
      <c r="J596" s="158">
        <v>45147</v>
      </c>
      <c r="L596" s="137">
        <v>1</v>
      </c>
      <c r="M596" s="138">
        <v>5</v>
      </c>
      <c r="N596" s="270" t="s">
        <v>1717</v>
      </c>
      <c r="O596" s="114">
        <v>1</v>
      </c>
      <c r="P596" s="114"/>
      <c r="Q596" s="114"/>
      <c r="R596" s="114"/>
      <c r="S596" s="114"/>
      <c r="T596" s="114">
        <v>0</v>
      </c>
      <c r="U596" s="114">
        <v>0</v>
      </c>
      <c r="V596" s="114">
        <v>1</v>
      </c>
      <c r="W596" s="114">
        <v>0</v>
      </c>
      <c r="X596" s="114">
        <v>1</v>
      </c>
      <c r="Y596" s="114">
        <v>1</v>
      </c>
      <c r="Z596" s="116" t="s">
        <v>58</v>
      </c>
      <c r="AA596" s="114">
        <v>1</v>
      </c>
      <c r="AB596" s="114">
        <f>_xlfn.IFS(AT596&gt;51,3,AT596&gt;=34,2,AT596&lt;34,1)</f>
        <v>1</v>
      </c>
      <c r="AC596" s="114">
        <f>_xlfn.IFS(AS596&gt;35,1,AS596&gt;=28,2,AS596&lt;28,3)</f>
        <v>2</v>
      </c>
      <c r="AD596" s="114">
        <f t="shared" si="159"/>
        <v>1</v>
      </c>
      <c r="AE596" s="114">
        <f t="shared" si="160"/>
        <v>6</v>
      </c>
      <c r="AF596" s="116" t="s">
        <v>59</v>
      </c>
      <c r="AG596" s="114">
        <f>AT596/17.1</f>
        <v>0.426900584795322</v>
      </c>
      <c r="AH596" s="114">
        <f>AU596/88.4</f>
        <v>0.588235294117647</v>
      </c>
      <c r="AI596" s="114">
        <f>AR596</f>
        <v>1.2</v>
      </c>
      <c r="AJ596" s="159">
        <f>LN(IF(AG596&gt;=1,AG596,1))*3.8+LN(IF(AH596&gt;=1,AH596,1))*9.6+11.2*LN(IF(AI596&gt;=1,AI596,1))+6.4*AN596</f>
        <v>8.44200143609229</v>
      </c>
      <c r="AK596" s="160">
        <f>IF(AND(AG596&gt;0,AH596&gt;0,AI596&gt;0),AJ596,"")</f>
        <v>8.44200143609229</v>
      </c>
      <c r="AL596" s="160">
        <f t="shared" si="161"/>
        <v>8.44200143609229</v>
      </c>
      <c r="AM596" s="160">
        <f>IF(AV596&gt;135,135,IF(AV596&lt;120,120,AV596))</f>
        <v>135</v>
      </c>
      <c r="AN596" s="114">
        <v>1</v>
      </c>
      <c r="AO596" s="114">
        <v>1</v>
      </c>
      <c r="AP596" s="114">
        <v>1.69</v>
      </c>
      <c r="AQ596" s="114">
        <v>86</v>
      </c>
      <c r="AR596" s="114">
        <v>1.2</v>
      </c>
      <c r="AS596" s="160">
        <v>34</v>
      </c>
      <c r="AT596" s="161">
        <v>7.3</v>
      </c>
      <c r="AU596" s="114">
        <v>52</v>
      </c>
      <c r="AV596" s="114">
        <v>143</v>
      </c>
      <c r="AZ596" s="119" t="s">
        <v>58</v>
      </c>
    </row>
    <row r="597" s="123" customFormat="1" spans="1:52">
      <c r="A597" s="285" t="s">
        <v>1718</v>
      </c>
      <c r="B597" s="132" t="s">
        <v>53</v>
      </c>
      <c r="C597" s="123">
        <v>69</v>
      </c>
      <c r="D597" s="176"/>
      <c r="E597" s="123">
        <v>68</v>
      </c>
      <c r="F597" s="251" t="s">
        <v>1571</v>
      </c>
      <c r="G597" s="309">
        <v>0</v>
      </c>
      <c r="H597" s="286">
        <v>45142</v>
      </c>
      <c r="I597" s="177">
        <v>45142</v>
      </c>
      <c r="J597" s="177">
        <v>45150</v>
      </c>
      <c r="L597" s="178">
        <v>1</v>
      </c>
      <c r="M597" s="178">
        <v>8</v>
      </c>
      <c r="N597" s="254" t="s">
        <v>1719</v>
      </c>
      <c r="O597" s="114"/>
      <c r="P597" s="114"/>
      <c r="Q597" s="116" t="s">
        <v>1083</v>
      </c>
      <c r="R597" s="114">
        <v>1</v>
      </c>
      <c r="S597" s="114"/>
      <c r="T597" s="114">
        <v>0</v>
      </c>
      <c r="U597" s="114">
        <v>0</v>
      </c>
      <c r="V597" s="114">
        <v>1</v>
      </c>
      <c r="W597" s="114">
        <v>0</v>
      </c>
      <c r="X597" s="114">
        <v>1</v>
      </c>
      <c r="Y597" s="114">
        <v>1</v>
      </c>
      <c r="Z597" s="116" t="s">
        <v>58</v>
      </c>
      <c r="AA597" s="114">
        <v>1</v>
      </c>
      <c r="AB597" s="114">
        <f>_xlfn.IFS(AT597&gt;51,3,AT597&gt;=34,2,AT597&lt;34,1)</f>
        <v>3</v>
      </c>
      <c r="AC597" s="114">
        <f>_xlfn.IFS(AS597&gt;35,1,AS597&gt;=28,2,AS597&lt;28,3)</f>
        <v>3</v>
      </c>
      <c r="AD597" s="114">
        <f t="shared" si="159"/>
        <v>1</v>
      </c>
      <c r="AE597" s="114">
        <f t="shared" si="160"/>
        <v>9</v>
      </c>
      <c r="AF597" s="116" t="s">
        <v>63</v>
      </c>
      <c r="AG597" s="114">
        <f>AT597/17.1</f>
        <v>5.7719298245614</v>
      </c>
      <c r="AH597" s="114">
        <f>AU597/88.4</f>
        <v>0.531674208144796</v>
      </c>
      <c r="AI597" s="114">
        <f>AR597</f>
        <v>1.63</v>
      </c>
      <c r="AJ597" s="159">
        <f>LN(IF(AG597&gt;=1,AG597,1))*3.8+LN(IF(AH597&gt;=1,AH597,1))*9.6+11.2*LN(IF(AI597&gt;=1,AI597,1))+6.4*AN597</f>
        <v>12.1335208011062</v>
      </c>
      <c r="AK597" s="160">
        <f>IF(AND(AG597&gt;0,AH597&gt;0,AI597&gt;0),AJ597,"")</f>
        <v>12.1335208011062</v>
      </c>
      <c r="AL597" s="160">
        <f t="shared" si="161"/>
        <v>12.1335208011062</v>
      </c>
      <c r="AM597" s="160">
        <f>IF(AV597&gt;135,135,IF(AV597&lt;120,120,AV597))</f>
        <v>135</v>
      </c>
      <c r="AN597" s="114">
        <v>0</v>
      </c>
      <c r="AO597" s="114">
        <v>1</v>
      </c>
      <c r="AP597" s="114">
        <v>4.37</v>
      </c>
      <c r="AQ597" s="114">
        <v>102</v>
      </c>
      <c r="AR597" s="114">
        <v>1.63</v>
      </c>
      <c r="AS597" s="160">
        <v>23</v>
      </c>
      <c r="AT597" s="161">
        <v>98.7</v>
      </c>
      <c r="AU597" s="114">
        <v>47</v>
      </c>
      <c r="AV597" s="114">
        <v>137</v>
      </c>
      <c r="AZ597" s="132" t="s">
        <v>1720</v>
      </c>
    </row>
    <row r="598" s="125" customFormat="1" spans="1:52">
      <c r="A598" s="272" t="s">
        <v>1721</v>
      </c>
      <c r="B598" s="131" t="s">
        <v>53</v>
      </c>
      <c r="C598" s="125">
        <v>63</v>
      </c>
      <c r="D598" s="185">
        <v>1.68</v>
      </c>
      <c r="E598" s="125">
        <v>60</v>
      </c>
      <c r="F598" s="216">
        <f t="shared" si="158"/>
        <v>21.2585034013605</v>
      </c>
      <c r="G598" s="310">
        <v>7</v>
      </c>
      <c r="H598" s="296">
        <v>45143</v>
      </c>
      <c r="I598" s="186">
        <v>45143</v>
      </c>
      <c r="J598" s="186">
        <v>45163</v>
      </c>
      <c r="L598" s="187">
        <v>1</v>
      </c>
      <c r="M598" s="187">
        <v>20</v>
      </c>
      <c r="N598" s="248" t="s">
        <v>1722</v>
      </c>
      <c r="O598" s="114"/>
      <c r="P598" s="114"/>
      <c r="Q598" s="114"/>
      <c r="R598" s="114"/>
      <c r="S598" s="114">
        <v>1</v>
      </c>
      <c r="T598" s="114">
        <v>1</v>
      </c>
      <c r="U598" s="114">
        <v>1</v>
      </c>
      <c r="V598" s="114">
        <v>0</v>
      </c>
      <c r="W598" s="114">
        <v>0</v>
      </c>
      <c r="X598" s="114">
        <v>0</v>
      </c>
      <c r="Y598" s="114">
        <v>2</v>
      </c>
      <c r="Z598" s="116" t="s">
        <v>321</v>
      </c>
      <c r="AA598" s="114">
        <v>3</v>
      </c>
      <c r="AB598" s="114">
        <f>_xlfn.IFS(AT598&gt;51,3,AT598&gt;=34,2,AT598&lt;34,1)</f>
        <v>1</v>
      </c>
      <c r="AC598" s="114">
        <f>_xlfn.IFS(AS598&gt;35,1,AS598&gt;=28,2,AS598&lt;28,3)</f>
        <v>3</v>
      </c>
      <c r="AD598" s="114">
        <f t="shared" si="159"/>
        <v>1</v>
      </c>
      <c r="AE598" s="114">
        <f t="shared" si="160"/>
        <v>10</v>
      </c>
      <c r="AF598" s="116" t="s">
        <v>50</v>
      </c>
      <c r="AG598" s="114">
        <f>AT598/17.1</f>
        <v>1.16959064327485</v>
      </c>
      <c r="AH598" s="114">
        <f>AU598/88.4</f>
        <v>1.07466063348416</v>
      </c>
      <c r="AI598" s="114">
        <f>AR598</f>
        <v>0.99</v>
      </c>
      <c r="AJ598" s="159">
        <f>LN(IF(AG598&gt;=1,AG598,1))*3.8+LN(IF(AH598&gt;=1,AH598,1))*9.6+11.2*LN(IF(AI598&gt;=1,AI598,1))+6.4*AN598</f>
        <v>7.68653172895909</v>
      </c>
      <c r="AK598" s="160">
        <f>IF(AND(AG598&gt;0,AH598&gt;0,AI598&gt;0),AJ598,"")</f>
        <v>7.68653172895909</v>
      </c>
      <c r="AL598" s="160">
        <f t="shared" si="161"/>
        <v>17.2265317289591</v>
      </c>
      <c r="AM598" s="160">
        <f>IF(AV598&gt;135,135,IF(AV598&lt;120,120,AV598))</f>
        <v>129</v>
      </c>
      <c r="AN598" s="114">
        <v>1</v>
      </c>
      <c r="AO598" s="114">
        <v>1</v>
      </c>
      <c r="AP598" s="114">
        <v>3.45</v>
      </c>
      <c r="AQ598" s="114">
        <v>129</v>
      </c>
      <c r="AR598" s="114">
        <v>0.99</v>
      </c>
      <c r="AS598" s="160">
        <v>25</v>
      </c>
      <c r="AT598" s="161">
        <v>20</v>
      </c>
      <c r="AU598" s="114">
        <v>95</v>
      </c>
      <c r="AV598" s="114">
        <v>129</v>
      </c>
      <c r="AZ598" s="131" t="s">
        <v>1723</v>
      </c>
    </row>
    <row r="599" spans="1:52">
      <c r="A599" s="113" t="s">
        <v>489</v>
      </c>
      <c r="B599" s="119" t="s">
        <v>53</v>
      </c>
      <c r="C599" s="117">
        <v>69</v>
      </c>
      <c r="D599" s="135">
        <v>1.55</v>
      </c>
      <c r="E599" s="117">
        <v>70</v>
      </c>
      <c r="F599" s="136">
        <f t="shared" si="158"/>
        <v>29.1363163371488</v>
      </c>
      <c r="G599" s="308">
        <v>1</v>
      </c>
      <c r="H599" s="281">
        <v>45143</v>
      </c>
      <c r="I599" s="119" t="s">
        <v>1724</v>
      </c>
      <c r="J599" s="119" t="s">
        <v>1725</v>
      </c>
      <c r="L599" s="137">
        <v>9</v>
      </c>
      <c r="M599" s="138">
        <v>14</v>
      </c>
      <c r="N599" s="270" t="s">
        <v>1726</v>
      </c>
      <c r="O599" s="114"/>
      <c r="P599" s="114"/>
      <c r="Q599" s="114">
        <v>1</v>
      </c>
      <c r="R599" s="114"/>
      <c r="S599" s="114"/>
      <c r="T599" s="114">
        <v>0</v>
      </c>
      <c r="U599" s="114">
        <v>1</v>
      </c>
      <c r="V599" s="114">
        <v>0</v>
      </c>
      <c r="W599" s="114">
        <v>0</v>
      </c>
      <c r="X599" s="114">
        <v>0</v>
      </c>
      <c r="Y599" s="114">
        <v>2</v>
      </c>
      <c r="Z599" s="116" t="s">
        <v>58</v>
      </c>
      <c r="AA599" s="114">
        <v>1</v>
      </c>
      <c r="AB599" s="114">
        <f>_xlfn.IFS(AT599&gt;51,3,AT599&gt;=34,2,AT599&lt;34,1)</f>
        <v>1</v>
      </c>
      <c r="AC599" s="114">
        <f>_xlfn.IFS(AS599&gt;35,1,AS599&gt;=28,2,AS599&lt;28,3)</f>
        <v>3</v>
      </c>
      <c r="AD599" s="114">
        <f t="shared" si="159"/>
        <v>1</v>
      </c>
      <c r="AE599" s="114">
        <f t="shared" si="160"/>
        <v>8</v>
      </c>
      <c r="AF599" s="116" t="s">
        <v>63</v>
      </c>
      <c r="AG599" s="114">
        <f>AT599/17.1</f>
        <v>1.9766081871345</v>
      </c>
      <c r="AH599" s="114">
        <f>AU599/88.4</f>
        <v>1.35746606334842</v>
      </c>
      <c r="AI599" s="114">
        <f>AR599</f>
        <v>1.35</v>
      </c>
      <c r="AJ599" s="159">
        <f>LN(IF(AG599&gt;=1,AG599,1))*3.8+LN(IF(AH599&gt;=1,AH599,1))*9.6+11.2*LN(IF(AI599&gt;=1,AI599,1))+6.4*AN599</f>
        <v>15.2843741456983</v>
      </c>
      <c r="AK599" s="160">
        <f>IF(AND(AG599&gt;0,AH599&gt;0,AI599&gt;0),AJ599,"")</f>
        <v>15.2843741456983</v>
      </c>
      <c r="AL599" s="160">
        <f t="shared" si="161"/>
        <v>15.2843741456983</v>
      </c>
      <c r="AM599" s="160">
        <f>IF(AV599&gt;135,135,IF(AV599&lt;120,120,AV599))</f>
        <v>135</v>
      </c>
      <c r="AN599" s="114">
        <v>1</v>
      </c>
      <c r="AO599" s="114">
        <v>2</v>
      </c>
      <c r="AP599" s="114">
        <v>5.2</v>
      </c>
      <c r="AQ599" s="114">
        <v>97</v>
      </c>
      <c r="AR599" s="114">
        <v>1.35</v>
      </c>
      <c r="AS599" s="160">
        <v>26</v>
      </c>
      <c r="AT599" s="161">
        <v>33.8</v>
      </c>
      <c r="AU599" s="114">
        <v>120</v>
      </c>
      <c r="AV599" s="114">
        <v>142</v>
      </c>
      <c r="AZ599" s="119" t="s">
        <v>1727</v>
      </c>
    </row>
    <row r="600" s="125" customFormat="1" spans="1:52">
      <c r="A600" s="272" t="s">
        <v>848</v>
      </c>
      <c r="B600" s="131" t="s">
        <v>53</v>
      </c>
      <c r="C600" s="125">
        <v>68</v>
      </c>
      <c r="D600" s="185">
        <v>1.6</v>
      </c>
      <c r="E600" s="125">
        <v>45</v>
      </c>
      <c r="F600" s="216">
        <f t="shared" si="158"/>
        <v>17.578125</v>
      </c>
      <c r="G600" s="310">
        <v>7</v>
      </c>
      <c r="H600" s="296">
        <v>45147</v>
      </c>
      <c r="I600" s="131" t="s">
        <v>1728</v>
      </c>
      <c r="J600" s="131" t="s">
        <v>1729</v>
      </c>
      <c r="L600" s="187">
        <v>6</v>
      </c>
      <c r="M600" s="187">
        <v>7</v>
      </c>
      <c r="N600" s="248" t="s">
        <v>1730</v>
      </c>
      <c r="Q600" s="125">
        <v>1</v>
      </c>
      <c r="R600" s="125">
        <v>1</v>
      </c>
      <c r="T600" s="125">
        <v>1</v>
      </c>
      <c r="U600" s="125">
        <v>1</v>
      </c>
      <c r="V600" s="125">
        <v>0</v>
      </c>
      <c r="W600" s="125">
        <v>0</v>
      </c>
      <c r="X600" s="125">
        <v>0</v>
      </c>
      <c r="Y600" s="125">
        <v>2</v>
      </c>
      <c r="Z600" s="131" t="s">
        <v>321</v>
      </c>
      <c r="AA600" s="125">
        <v>3</v>
      </c>
      <c r="AB600" s="125">
        <f>_xlfn.IFS(AT600&gt;51,3,AT600&gt;=34,2,AT600&lt;34,1)</f>
        <v>1</v>
      </c>
      <c r="AC600" s="125">
        <f>_xlfn.IFS(AS600&gt;35,1,AS600&gt;=28,2,AS600&lt;28,3)</f>
        <v>2</v>
      </c>
      <c r="AD600" s="125">
        <f t="shared" si="159"/>
        <v>1</v>
      </c>
      <c r="AE600" s="125">
        <f t="shared" si="160"/>
        <v>9</v>
      </c>
      <c r="AF600" s="131" t="s">
        <v>63</v>
      </c>
      <c r="AG600" s="125">
        <f>AT600/17.1</f>
        <v>1.75438596491228</v>
      </c>
      <c r="AH600" s="125">
        <f>AU600/88.4</f>
        <v>1.50452488687783</v>
      </c>
      <c r="AI600" s="125">
        <f>AR600</f>
        <v>1.32</v>
      </c>
      <c r="AJ600" s="240">
        <f>LN(IF(AG600&gt;=1,AG600,1))*3.8+LN(IF(AH600&gt;=1,AH600,1))*9.6+11.2*LN(IF(AI600&gt;=1,AI600,1))+6.4*AN600</f>
        <v>9.16690806123448</v>
      </c>
      <c r="AK600" s="241">
        <f>IF(AND(AG600&gt;0,AH600&gt;0,AI600&gt;0),AJ600,"")</f>
        <v>9.16690806123448</v>
      </c>
      <c r="AL600" s="241">
        <f t="shared" si="161"/>
        <v>18.7069080612345</v>
      </c>
      <c r="AM600" s="241">
        <f>IF(AV600&gt;135,135,IF(AV600&lt;120,120,AV600))</f>
        <v>129</v>
      </c>
      <c r="AN600" s="125">
        <v>0</v>
      </c>
      <c r="AO600" s="125">
        <v>1</v>
      </c>
      <c r="AP600" s="125">
        <v>3.19</v>
      </c>
      <c r="AQ600" s="125">
        <v>72</v>
      </c>
      <c r="AR600" s="125">
        <v>1.32</v>
      </c>
      <c r="AS600" s="241">
        <v>28</v>
      </c>
      <c r="AT600" s="242">
        <v>30</v>
      </c>
      <c r="AU600" s="125">
        <v>133</v>
      </c>
      <c r="AV600" s="125">
        <v>129</v>
      </c>
      <c r="AZ600" s="131" t="s">
        <v>1731</v>
      </c>
    </row>
    <row r="601" spans="1:52">
      <c r="A601" s="113" t="s">
        <v>1732</v>
      </c>
      <c r="B601" s="119" t="s">
        <v>53</v>
      </c>
      <c r="C601" s="117">
        <v>61</v>
      </c>
      <c r="D601" s="135">
        <v>1.6</v>
      </c>
      <c r="E601" s="117">
        <v>55</v>
      </c>
      <c r="F601" s="136">
        <f t="shared" si="158"/>
        <v>21.484375</v>
      </c>
      <c r="G601" s="308">
        <v>1</v>
      </c>
      <c r="H601" s="281">
        <v>45148</v>
      </c>
      <c r="I601" s="119" t="s">
        <v>1733</v>
      </c>
      <c r="J601" s="119" t="s">
        <v>1734</v>
      </c>
      <c r="L601" s="137">
        <v>1</v>
      </c>
      <c r="M601" s="138">
        <v>10</v>
      </c>
      <c r="N601" s="270" t="s">
        <v>1735</v>
      </c>
      <c r="O601" s="114"/>
      <c r="P601" s="114"/>
      <c r="Q601" s="114"/>
      <c r="R601" s="114">
        <v>1</v>
      </c>
      <c r="S601" s="114"/>
      <c r="T601" s="114">
        <v>0</v>
      </c>
      <c r="U601" s="114">
        <v>0</v>
      </c>
      <c r="V601" s="114">
        <v>1</v>
      </c>
      <c r="W601" s="114">
        <v>0</v>
      </c>
      <c r="X601" s="114">
        <v>1</v>
      </c>
      <c r="Y601" s="114">
        <v>1</v>
      </c>
      <c r="Z601" s="116" t="s">
        <v>58</v>
      </c>
      <c r="AA601" s="114">
        <v>1</v>
      </c>
      <c r="AB601" s="114">
        <f>_xlfn.IFS(AT601&gt;51,3,AT601&gt;=34,2,AT601&lt;34,1)</f>
        <v>1</v>
      </c>
      <c r="AC601" s="114">
        <f>_xlfn.IFS(AS601&gt;35,1,AS601&gt;=28,2,AS601&lt;28,3)</f>
        <v>2</v>
      </c>
      <c r="AD601" s="114">
        <f t="shared" si="159"/>
        <v>1</v>
      </c>
      <c r="AE601" s="114">
        <f t="shared" si="160"/>
        <v>6</v>
      </c>
      <c r="AF601" s="116" t="s">
        <v>59</v>
      </c>
      <c r="AG601" s="114">
        <f>AT601/17.1</f>
        <v>0.467836257309941</v>
      </c>
      <c r="AH601" s="114">
        <f>AU601/88.4</f>
        <v>0.520361990950226</v>
      </c>
      <c r="AI601" s="114">
        <f>AR601</f>
        <v>0.99</v>
      </c>
      <c r="AJ601" s="159"/>
      <c r="AK601" s="160"/>
      <c r="AL601" s="160"/>
      <c r="AM601" s="160">
        <f>IF(AV601&gt;135,135,IF(AV601&lt;120,120,AV601))</f>
        <v>135</v>
      </c>
      <c r="AN601" s="114">
        <v>0</v>
      </c>
      <c r="AO601" s="114">
        <v>1</v>
      </c>
      <c r="AP601" s="114">
        <v>2.22</v>
      </c>
      <c r="AQ601" s="114">
        <v>85</v>
      </c>
      <c r="AR601" s="114">
        <v>0.99</v>
      </c>
      <c r="AS601" s="160">
        <v>33</v>
      </c>
      <c r="AT601" s="161">
        <v>8</v>
      </c>
      <c r="AU601" s="114">
        <v>46</v>
      </c>
      <c r="AV601" s="114">
        <v>145</v>
      </c>
      <c r="AZ601" s="119" t="s">
        <v>1736</v>
      </c>
    </row>
    <row r="602" spans="1:52">
      <c r="A602" s="113" t="s">
        <v>1737</v>
      </c>
      <c r="B602" s="119" t="s">
        <v>48</v>
      </c>
      <c r="C602" s="117">
        <v>59</v>
      </c>
      <c r="D602" s="135">
        <v>1.75</v>
      </c>
      <c r="E602" s="117">
        <v>63</v>
      </c>
      <c r="F602" s="136">
        <f>E602/(D602*D602)</f>
        <v>20.5714285714286</v>
      </c>
      <c r="G602" s="308">
        <v>0</v>
      </c>
      <c r="H602" s="281">
        <v>45149</v>
      </c>
      <c r="I602" s="119" t="s">
        <v>1738</v>
      </c>
      <c r="J602" s="119" t="s">
        <v>1739</v>
      </c>
      <c r="L602" s="137">
        <v>5</v>
      </c>
      <c r="M602" s="138">
        <v>6</v>
      </c>
      <c r="N602" s="270" t="s">
        <v>1740</v>
      </c>
      <c r="O602" s="114"/>
      <c r="P602" s="114"/>
      <c r="Q602" s="114"/>
      <c r="R602" s="114"/>
      <c r="S602" s="114">
        <v>1</v>
      </c>
      <c r="T602" s="114">
        <v>0</v>
      </c>
      <c r="U602" s="114">
        <v>0</v>
      </c>
      <c r="V602" s="114">
        <v>1</v>
      </c>
      <c r="W602" s="114">
        <v>0</v>
      </c>
      <c r="X602" s="114">
        <v>0</v>
      </c>
      <c r="Y602" s="114">
        <v>1</v>
      </c>
      <c r="Z602" s="116" t="s">
        <v>58</v>
      </c>
      <c r="AA602" s="114">
        <v>1</v>
      </c>
      <c r="AB602" s="114">
        <f>_xlfn.IFS(AT602&gt;51,3,AT602&gt;=34,2,AT602&lt;34,1)</f>
        <v>1</v>
      </c>
      <c r="AC602" s="114">
        <f>_xlfn.IFS(AS602&gt;35,1,AS602&gt;=28,2,AS602&lt;28,3)</f>
        <v>1</v>
      </c>
      <c r="AD602" s="114">
        <f>_xlfn.IFS(AR602&gt;2.3,3,AR602&gt;=1.7,2,AR602&lt;1.7,1)</f>
        <v>1</v>
      </c>
      <c r="AE602" s="114">
        <f>Y602+AA602+AB602+AC602+AD602</f>
        <v>5</v>
      </c>
      <c r="AF602" s="116" t="s">
        <v>59</v>
      </c>
      <c r="AG602" s="114">
        <f>AT602/17.1</f>
        <v>1.13450292397661</v>
      </c>
      <c r="AH602" s="114">
        <f>AU602/88.4</f>
        <v>0.588235294117647</v>
      </c>
      <c r="AI602" s="114">
        <f>AR602</f>
        <v>1.1</v>
      </c>
      <c r="AJ602" s="159">
        <f>LN(IF(AG602&gt;=1,AG602,1))*3.8+LN(IF(AH602&gt;=1,AH602,1))*9.6+11.2*LN(IF(AI602&gt;=1,AI602,1))+6.4*AN602</f>
        <v>7.94701350353898</v>
      </c>
      <c r="AK602" s="160">
        <f>IF(AND(AG602&gt;0,AH602&gt;0,AI602&gt;0),AJ602,"")</f>
        <v>7.94701350353898</v>
      </c>
      <c r="AL602" s="160">
        <f>AK602+1.59*(135-AM602)</f>
        <v>7.94701350353898</v>
      </c>
      <c r="AM602" s="160">
        <f>IF(AV602&gt;135,135,IF(AV602&lt;120,120,AV602))</f>
        <v>135</v>
      </c>
      <c r="AN602" s="114">
        <v>1</v>
      </c>
      <c r="AO602" s="114">
        <v>1</v>
      </c>
      <c r="AP602" s="114">
        <v>4.15</v>
      </c>
      <c r="AQ602" s="114">
        <v>140</v>
      </c>
      <c r="AR602" s="114">
        <v>1.1</v>
      </c>
      <c r="AS602" s="160">
        <v>40</v>
      </c>
      <c r="AT602" s="161">
        <v>19.4</v>
      </c>
      <c r="AU602" s="114">
        <v>52</v>
      </c>
      <c r="AV602" s="114">
        <v>142</v>
      </c>
      <c r="AZ602" s="119" t="s">
        <v>1741</v>
      </c>
    </row>
    <row r="603" spans="1:52">
      <c r="A603" s="113" t="s">
        <v>1742</v>
      </c>
      <c r="B603" s="119" t="s">
        <v>53</v>
      </c>
      <c r="C603" s="117">
        <v>71</v>
      </c>
      <c r="D603" s="135">
        <v>1.63</v>
      </c>
      <c r="E603" s="117">
        <v>55</v>
      </c>
      <c r="F603" s="136">
        <f>E603/(D603*D603)</f>
        <v>20.7008167413151</v>
      </c>
      <c r="G603" s="308">
        <v>7</v>
      </c>
      <c r="H603" s="281">
        <v>45150</v>
      </c>
      <c r="I603" s="119" t="s">
        <v>1743</v>
      </c>
      <c r="J603" s="119" t="s">
        <v>1744</v>
      </c>
      <c r="L603" s="137">
        <v>1</v>
      </c>
      <c r="M603" s="138">
        <v>10</v>
      </c>
      <c r="N603" s="270" t="s">
        <v>1745</v>
      </c>
      <c r="O603" s="114"/>
      <c r="P603" s="114"/>
      <c r="Q603" s="114">
        <v>1</v>
      </c>
      <c r="R603" s="114"/>
      <c r="S603" s="114"/>
      <c r="T603" s="114">
        <v>1</v>
      </c>
      <c r="U603" s="114">
        <v>1</v>
      </c>
      <c r="V603" s="114">
        <v>0</v>
      </c>
      <c r="W603" s="114">
        <v>0</v>
      </c>
      <c r="X603" s="114">
        <v>1</v>
      </c>
      <c r="Y603" s="114">
        <v>2</v>
      </c>
      <c r="Z603" s="116" t="s">
        <v>321</v>
      </c>
      <c r="AA603" s="114">
        <v>3</v>
      </c>
      <c r="AB603" s="114">
        <f>_xlfn.IFS(AT603&gt;51,3,AT603&gt;=34,2,AT603&lt;34,1)</f>
        <v>1</v>
      </c>
      <c r="AC603" s="114">
        <f>_xlfn.IFS(AS603&gt;35,1,AS603&gt;=28,2,AS603&lt;28,3)</f>
        <v>2</v>
      </c>
      <c r="AD603" s="114">
        <f>_xlfn.IFS(AR603&gt;2.3,3,AR603&gt;=1.7,2,AR603&lt;1.7,1)</f>
        <v>1</v>
      </c>
      <c r="AE603" s="114">
        <f>Y603+AA603+AB603+AC603+AD603</f>
        <v>9</v>
      </c>
      <c r="AF603" s="116" t="s">
        <v>63</v>
      </c>
      <c r="AG603" s="114">
        <f>AT603/17.1</f>
        <v>1.57309941520468</v>
      </c>
      <c r="AH603" s="114">
        <f>AU603/88.4</f>
        <v>0.678733031674208</v>
      </c>
      <c r="AI603" s="114">
        <f>AR603</f>
        <v>1.38</v>
      </c>
      <c r="AJ603" s="159">
        <f>LN(IF(AG603&gt;=1,AG603,1))*3.8+LN(IF(AH603&gt;=1,AH603,1))*9.6+11.2*LN(IF(AI603&gt;=1,AI603,1))+6.4*AN603</f>
        <v>11.7289169184709</v>
      </c>
      <c r="AK603" s="160">
        <f>IF(AND(AG603&gt;0,AH603&gt;0,AI603&gt;0),AJ603,"")</f>
        <v>11.7289169184709</v>
      </c>
      <c r="AL603" s="160">
        <f>AK603+1.59*(135-AM603)</f>
        <v>14.9089169184709</v>
      </c>
      <c r="AM603" s="160">
        <f>IF(AV603&gt;135,135,IF(AV603&lt;120,120,AV603))</f>
        <v>133</v>
      </c>
      <c r="AN603" s="114">
        <v>1</v>
      </c>
      <c r="AO603" s="114">
        <v>1</v>
      </c>
      <c r="AP603" s="114">
        <v>2.81</v>
      </c>
      <c r="AQ603" s="114">
        <v>90</v>
      </c>
      <c r="AR603" s="114">
        <v>1.38</v>
      </c>
      <c r="AS603" s="160">
        <v>28</v>
      </c>
      <c r="AT603" s="161">
        <v>26.9</v>
      </c>
      <c r="AU603" s="114">
        <v>60</v>
      </c>
      <c r="AV603" s="114">
        <v>133</v>
      </c>
      <c r="AZ603" s="119" t="s">
        <v>1746</v>
      </c>
    </row>
    <row r="604" spans="1:52">
      <c r="A604" s="113" t="s">
        <v>1551</v>
      </c>
      <c r="B604" s="119" t="s">
        <v>53</v>
      </c>
      <c r="C604" s="117">
        <v>73</v>
      </c>
      <c r="D604" s="135">
        <v>1.6</v>
      </c>
      <c r="E604" s="117">
        <v>55</v>
      </c>
      <c r="F604" s="136">
        <f>E604/(D604*D604)</f>
        <v>21.484375</v>
      </c>
      <c r="G604" s="308">
        <v>0</v>
      </c>
      <c r="H604" s="281">
        <v>45150</v>
      </c>
      <c r="I604" s="119" t="s">
        <v>1743</v>
      </c>
      <c r="J604" s="119" t="s">
        <v>1747</v>
      </c>
      <c r="L604" s="137">
        <v>3</v>
      </c>
      <c r="M604" s="138">
        <v>16</v>
      </c>
      <c r="N604" s="270" t="s">
        <v>1748</v>
      </c>
      <c r="O604" s="114"/>
      <c r="P604" s="114"/>
      <c r="Q604" s="116" t="s">
        <v>1083</v>
      </c>
      <c r="R604" s="114">
        <v>1</v>
      </c>
      <c r="S604" s="114"/>
      <c r="T604" s="114">
        <v>1</v>
      </c>
      <c r="U604" s="114">
        <v>0</v>
      </c>
      <c r="V604" s="114">
        <v>1</v>
      </c>
      <c r="W604" s="114">
        <v>0</v>
      </c>
      <c r="X604" s="114">
        <v>1</v>
      </c>
      <c r="Y604" s="114">
        <v>1</v>
      </c>
      <c r="Z604" s="116" t="s">
        <v>307</v>
      </c>
      <c r="AA604" s="114">
        <v>3</v>
      </c>
      <c r="AB604" s="114">
        <f>_xlfn.IFS(AT604&gt;51,3,AT604&gt;=34,2,AT604&lt;34,1)</f>
        <v>1</v>
      </c>
      <c r="AC604" s="114">
        <f>_xlfn.IFS(AS604&gt;35,1,AS604&gt;=28,2,AS604&lt;28,3)</f>
        <v>2</v>
      </c>
      <c r="AD604" s="114">
        <f>_xlfn.IFS(AR604&gt;2.3,3,AR604&gt;=1.7,2,AR604&lt;1.7,1)</f>
        <v>1</v>
      </c>
      <c r="AE604" s="114">
        <f>Y604+AA604+AB604+AC604+AD604</f>
        <v>8</v>
      </c>
      <c r="AF604" s="116" t="s">
        <v>63</v>
      </c>
      <c r="AG604" s="114">
        <f>AT604/17.1</f>
        <v>1.92397660818713</v>
      </c>
      <c r="AH604" s="114">
        <f>AU604/88.4</f>
        <v>0.463800904977376</v>
      </c>
      <c r="AI604" s="114">
        <f>AR604</f>
        <v>1.33</v>
      </c>
      <c r="AJ604" s="159">
        <f>LN(IF(AG604&gt;=1,AG604,1))*3.8+LN(IF(AH604&gt;=1,AH604,1))*9.6+11.2*LN(IF(AI604&gt;=1,AI604,1))+6.4*AN604</f>
        <v>5.68070209121533</v>
      </c>
      <c r="AK604" s="160">
        <f>IF(AND(AG604&gt;0,AH604&gt;0,AI604&gt;0),AJ604,"")</f>
        <v>5.68070209121533</v>
      </c>
      <c r="AL604" s="160">
        <f>AK604+1.59*(135-AM604)</f>
        <v>5.68070209121533</v>
      </c>
      <c r="AM604" s="160">
        <f>IF(AV604&gt;135,135,IF(AV604&lt;120,120,AV604))</f>
        <v>135</v>
      </c>
      <c r="AN604" s="114">
        <v>0</v>
      </c>
      <c r="AO604" s="114">
        <v>1</v>
      </c>
      <c r="AP604" s="114">
        <v>3.08</v>
      </c>
      <c r="AQ604" s="114">
        <v>95</v>
      </c>
      <c r="AR604" s="114">
        <v>1.33</v>
      </c>
      <c r="AS604" s="160">
        <v>30</v>
      </c>
      <c r="AT604" s="161">
        <v>32.9</v>
      </c>
      <c r="AU604" s="114">
        <v>41</v>
      </c>
      <c r="AV604" s="114">
        <v>139</v>
      </c>
      <c r="AZ604" s="119" t="s">
        <v>1749</v>
      </c>
    </row>
    <row r="605" s="123" customFormat="1" ht="14" customHeight="1" spans="1:52">
      <c r="A605" s="285" t="s">
        <v>206</v>
      </c>
      <c r="B605" s="132" t="s">
        <v>53</v>
      </c>
      <c r="C605" s="123">
        <v>64</v>
      </c>
      <c r="D605" s="176">
        <v>1.6</v>
      </c>
      <c r="E605" s="123">
        <v>45</v>
      </c>
      <c r="F605" s="189">
        <f>E605/(D605*D605)</f>
        <v>17.578125</v>
      </c>
      <c r="G605" s="309">
        <v>5</v>
      </c>
      <c r="H605" s="286">
        <v>45154</v>
      </c>
      <c r="I605" s="132" t="s">
        <v>1729</v>
      </c>
      <c r="J605" s="132" t="s">
        <v>1750</v>
      </c>
      <c r="L605" s="178">
        <v>4</v>
      </c>
      <c r="M605" s="178">
        <v>19</v>
      </c>
      <c r="N605" s="254" t="s">
        <v>1751</v>
      </c>
      <c r="Q605" s="132" t="s">
        <v>1083</v>
      </c>
      <c r="R605" s="123">
        <v>1</v>
      </c>
      <c r="T605" s="123">
        <v>1</v>
      </c>
      <c r="U605" s="123">
        <v>0</v>
      </c>
      <c r="V605" s="123">
        <v>1</v>
      </c>
      <c r="W605" s="123">
        <v>0</v>
      </c>
      <c r="X605" s="123">
        <v>1</v>
      </c>
      <c r="Y605" s="123">
        <v>1</v>
      </c>
      <c r="Z605" s="132" t="s">
        <v>1752</v>
      </c>
      <c r="AA605" s="123">
        <v>3</v>
      </c>
      <c r="AB605" s="123">
        <f>_xlfn.IFS(AT605&gt;51,3,AT605&gt;=34,2,AT605&lt;34,1)</f>
        <v>1</v>
      </c>
      <c r="AC605" s="123">
        <f>_xlfn.IFS(AS605&gt;35,1,AS605&gt;=28,2,AS605&lt;28,3)</f>
        <v>3</v>
      </c>
      <c r="AD605" s="123">
        <f>_xlfn.IFS(AR605&gt;2.3,3,AR605&gt;=1.7,2,AR605&lt;1.7,1)</f>
        <v>1</v>
      </c>
      <c r="AE605" s="123">
        <f>Y605+AA605+AB605+AC605+AD605</f>
        <v>9</v>
      </c>
      <c r="AF605" s="132" t="s">
        <v>63</v>
      </c>
      <c r="AG605" s="123">
        <f>AT605/17.1</f>
        <v>0.894736842105263</v>
      </c>
      <c r="AH605" s="123">
        <f>AU605/88.4</f>
        <v>0.509049773755656</v>
      </c>
      <c r="AI605" s="123">
        <f>AR605</f>
        <v>1.16</v>
      </c>
      <c r="AJ605" s="266">
        <f>LN(IF(AG605&gt;=1,AG605,1))*3.8+LN(IF(AH605&gt;=1,AH605,1))*9.6+11.2*LN(IF(AI605&gt;=1,AI605,1))+6.4*AN605</f>
        <v>1.66230405732466</v>
      </c>
      <c r="AK605" s="267">
        <f>IF(AND(AG605&gt;0,AH605&gt;0,AI605&gt;0),AJ605,"")</f>
        <v>1.66230405732466</v>
      </c>
      <c r="AL605" s="267">
        <f>AK605+1.59*(135-AM605)</f>
        <v>1.66230405732466</v>
      </c>
      <c r="AM605" s="267">
        <f>IF(AV605&gt;135,135,IF(AV605&lt;120,120,AV605))</f>
        <v>135</v>
      </c>
      <c r="AN605" s="123">
        <v>0</v>
      </c>
      <c r="AO605" s="123">
        <v>1</v>
      </c>
      <c r="AP605" s="123">
        <v>2.78</v>
      </c>
      <c r="AQ605" s="123">
        <v>84</v>
      </c>
      <c r="AR605" s="123">
        <v>1.16</v>
      </c>
      <c r="AS605" s="267">
        <v>25</v>
      </c>
      <c r="AT605" s="268">
        <v>15.3</v>
      </c>
      <c r="AU605" s="123">
        <v>45</v>
      </c>
      <c r="AV605" s="123">
        <v>141</v>
      </c>
      <c r="AZ605" s="132" t="s">
        <v>1753</v>
      </c>
    </row>
    <row r="606" spans="1:52">
      <c r="A606" s="113" t="s">
        <v>1754</v>
      </c>
      <c r="B606" s="119" t="s">
        <v>48</v>
      </c>
      <c r="C606" s="117">
        <v>65</v>
      </c>
      <c r="D606" s="135">
        <v>1.75</v>
      </c>
      <c r="E606" s="117">
        <v>75</v>
      </c>
      <c r="F606" s="136">
        <f>E606/(D606*D606)</f>
        <v>24.4897959183673</v>
      </c>
      <c r="G606" s="308">
        <v>0</v>
      </c>
      <c r="H606" s="281">
        <v>45156</v>
      </c>
      <c r="I606" s="119" t="s">
        <v>1755</v>
      </c>
      <c r="J606" s="119" t="s">
        <v>1756</v>
      </c>
      <c r="L606" s="137">
        <v>1</v>
      </c>
      <c r="M606" s="138">
        <v>9</v>
      </c>
      <c r="N606" s="270" t="s">
        <v>1757</v>
      </c>
      <c r="O606" s="114"/>
      <c r="P606" s="114">
        <v>1</v>
      </c>
      <c r="Q606" s="114"/>
      <c r="R606" s="114"/>
      <c r="S606" s="114"/>
      <c r="T606" s="114">
        <v>0</v>
      </c>
      <c r="U606" s="114">
        <v>0</v>
      </c>
      <c r="V606" s="114">
        <v>1</v>
      </c>
      <c r="W606" s="114">
        <v>0</v>
      </c>
      <c r="X606" s="114">
        <v>0</v>
      </c>
      <c r="Y606" s="114">
        <v>1</v>
      </c>
      <c r="Z606" s="116" t="s">
        <v>58</v>
      </c>
      <c r="AA606" s="114">
        <v>1</v>
      </c>
      <c r="AB606" s="114">
        <f>_xlfn.IFS(AT606&gt;51,3,AT606&gt;=34,2,AT606&lt;34,1)</f>
        <v>1</v>
      </c>
      <c r="AC606" s="114">
        <f>_xlfn.IFS(AS606&gt;35,1,AS606&gt;=28,2,AS606&lt;28,3)</f>
        <v>1</v>
      </c>
      <c r="AD606" s="114">
        <f>_xlfn.IFS(AR606&gt;2.3,3,AR606&gt;=1.7,2,AR606&lt;1.7,1)</f>
        <v>1</v>
      </c>
      <c r="AE606" s="114">
        <f>Y606+AA606+AB606+AC606+AD606</f>
        <v>5</v>
      </c>
      <c r="AF606" s="116" t="s">
        <v>59</v>
      </c>
      <c r="AG606" s="114">
        <f>AT606/17.1</f>
        <v>0.473684210526316</v>
      </c>
      <c r="AH606" s="114">
        <f>AU606/88.4</f>
        <v>0.0746606334841629</v>
      </c>
      <c r="AI606" s="114">
        <f>AR606</f>
        <v>1.15</v>
      </c>
      <c r="AJ606" s="159">
        <f>LN(IF(AG606&gt;=1,AG606,1))*3.8+LN(IF(AH606&gt;=1,AH606,1))*9.6+11.2*LN(IF(AI606&gt;=1,AI606,1))+6.4*AN606</f>
        <v>1.56533375460178</v>
      </c>
      <c r="AK606" s="160">
        <f>IF(AND(AG606&gt;0,AH606&gt;0,AI606&gt;0),AJ606,"")</f>
        <v>1.56533375460178</v>
      </c>
      <c r="AL606" s="160">
        <f>AK606+1.59*(135-AM606)</f>
        <v>1.56533375460178</v>
      </c>
      <c r="AM606" s="160">
        <f>IF(AV606&gt;135,135,IF(AV606&lt;120,120,AV606))</f>
        <v>135</v>
      </c>
      <c r="AN606" s="114">
        <v>0</v>
      </c>
      <c r="AO606" s="114">
        <v>1</v>
      </c>
      <c r="AP606" s="114">
        <v>4.17</v>
      </c>
      <c r="AQ606" s="114">
        <v>116</v>
      </c>
      <c r="AR606" s="114">
        <v>1.15</v>
      </c>
      <c r="AS606" s="160">
        <v>38</v>
      </c>
      <c r="AT606" s="161">
        <v>8.1</v>
      </c>
      <c r="AU606" s="114">
        <v>6.6</v>
      </c>
      <c r="AV606" s="114">
        <v>140</v>
      </c>
      <c r="AZ606" s="119" t="s">
        <v>1758</v>
      </c>
    </row>
    <row r="607" s="125" customFormat="1" spans="1:52">
      <c r="A607" s="272" t="s">
        <v>1759</v>
      </c>
      <c r="B607" s="131" t="s">
        <v>53</v>
      </c>
      <c r="C607" s="125">
        <v>56</v>
      </c>
      <c r="D607" s="185">
        <v>1.6</v>
      </c>
      <c r="E607" s="125">
        <v>45</v>
      </c>
      <c r="F607" s="216">
        <f>E607/(D607*D607)</f>
        <v>17.578125</v>
      </c>
      <c r="G607" s="310">
        <v>0</v>
      </c>
      <c r="H607" s="296">
        <v>45163</v>
      </c>
      <c r="I607" s="131" t="s">
        <v>1760</v>
      </c>
      <c r="J607" s="131" t="s">
        <v>1761</v>
      </c>
      <c r="L607" s="187">
        <v>1</v>
      </c>
      <c r="M607" s="187">
        <v>7</v>
      </c>
      <c r="N607" s="248" t="s">
        <v>1762</v>
      </c>
      <c r="O607" s="114">
        <v>1</v>
      </c>
      <c r="P607" s="114">
        <v>1</v>
      </c>
      <c r="Q607" s="114"/>
      <c r="R607" s="114"/>
      <c r="S607" s="114"/>
      <c r="T607" s="114">
        <v>1</v>
      </c>
      <c r="U607" s="114">
        <v>0</v>
      </c>
      <c r="V607" s="114">
        <v>1</v>
      </c>
      <c r="W607" s="114">
        <v>0</v>
      </c>
      <c r="X607" s="114">
        <v>0</v>
      </c>
      <c r="Y607" s="114">
        <v>1</v>
      </c>
      <c r="Z607" s="116" t="s">
        <v>300</v>
      </c>
      <c r="AA607" s="114">
        <v>2</v>
      </c>
      <c r="AB607" s="114">
        <f>_xlfn.IFS(AT607&gt;51,3,AT607&gt;=34,2,AT607&lt;34,1)</f>
        <v>3</v>
      </c>
      <c r="AC607" s="114">
        <f>_xlfn.IFS(AS607&gt;35,1,AS607&gt;=28,2,AS607&lt;28,3)</f>
        <v>3</v>
      </c>
      <c r="AD607" s="114">
        <f>_xlfn.IFS(AR607&gt;2.3,3,AR607&gt;=1.7,2,AR607&lt;1.7,1)</f>
        <v>3</v>
      </c>
      <c r="AE607" s="114">
        <f>Y607+AA607+AB607+AC607+AD607</f>
        <v>12</v>
      </c>
      <c r="AF607" s="116" t="s">
        <v>50</v>
      </c>
      <c r="AG607" s="114">
        <f>AT607/17.1</f>
        <v>14.0877192982456</v>
      </c>
      <c r="AH607" s="114">
        <f>AU607/88.4</f>
        <v>0.82579185520362</v>
      </c>
      <c r="AI607" s="114">
        <f>AR607</f>
        <v>2.4</v>
      </c>
      <c r="AJ607" s="159">
        <f t="shared" ref="AJ607:AJ647" si="162">LN(IF(AG607&gt;=1,AG607,1))*3.8+LN(IF(AH607&gt;=1,AH607,1))*9.6+11.2*LN(IF(AI607&gt;=1,AI607,1))+6.4*AN607</f>
        <v>19.8574029535901</v>
      </c>
      <c r="AK607" s="160">
        <f t="shared" ref="AK607:AK641" si="163">IF(AND(AG607&gt;0,AH607&gt;0,AI607&gt;0),AJ607,"")</f>
        <v>19.8574029535901</v>
      </c>
      <c r="AL607" s="160">
        <f t="shared" ref="AL607:AL656" si="164">AK607+1.59*(135-AM607)</f>
        <v>26.2174029535901</v>
      </c>
      <c r="AM607" s="160">
        <f t="shared" ref="AM607:AM641" si="165">IF(AV607&gt;135,135,IF(AV607&lt;120,120,AV607))</f>
        <v>131</v>
      </c>
      <c r="AN607" s="114">
        <v>0</v>
      </c>
      <c r="AO607" s="114">
        <v>3</v>
      </c>
      <c r="AP607" s="114">
        <v>8.39</v>
      </c>
      <c r="AQ607" s="114">
        <v>70</v>
      </c>
      <c r="AR607" s="114">
        <v>2.4</v>
      </c>
      <c r="AS607" s="160">
        <v>21</v>
      </c>
      <c r="AT607" s="161">
        <v>240.9</v>
      </c>
      <c r="AU607" s="114">
        <v>73</v>
      </c>
      <c r="AV607" s="114">
        <v>131</v>
      </c>
      <c r="AZ607" s="131" t="s">
        <v>58</v>
      </c>
    </row>
    <row r="608" spans="1:52">
      <c r="A608" s="113" t="s">
        <v>1763</v>
      </c>
      <c r="B608" s="119" t="s">
        <v>53</v>
      </c>
      <c r="C608" s="117">
        <v>67</v>
      </c>
      <c r="D608" s="135">
        <v>1.58</v>
      </c>
      <c r="E608" s="117">
        <v>69</v>
      </c>
      <c r="F608" s="136">
        <f t="shared" ref="F608:F641" si="166">E608/(D608*D608)</f>
        <v>27.639801313892</v>
      </c>
      <c r="G608" s="308">
        <v>3</v>
      </c>
      <c r="H608" s="281">
        <v>45166</v>
      </c>
      <c r="I608" s="119" t="s">
        <v>1747</v>
      </c>
      <c r="J608" s="119" t="s">
        <v>1761</v>
      </c>
      <c r="L608" s="137">
        <v>2</v>
      </c>
      <c r="M608" s="138">
        <v>4</v>
      </c>
      <c r="N608" s="270" t="s">
        <v>1764</v>
      </c>
      <c r="O608" s="114"/>
      <c r="P608" s="114"/>
      <c r="Q608" s="114">
        <v>1</v>
      </c>
      <c r="R608" s="114"/>
      <c r="S608" s="114"/>
      <c r="T608" s="114">
        <v>0</v>
      </c>
      <c r="U608" s="114">
        <v>0</v>
      </c>
      <c r="V608" s="114">
        <v>1</v>
      </c>
      <c r="W608" s="114">
        <v>0</v>
      </c>
      <c r="X608" s="114">
        <v>0</v>
      </c>
      <c r="Y608" s="114">
        <v>1</v>
      </c>
      <c r="Z608" s="116" t="s">
        <v>58</v>
      </c>
      <c r="AA608" s="114">
        <v>1</v>
      </c>
      <c r="AB608" s="114">
        <f>_xlfn.IFS(AT608&gt;51,3,AT608&gt;=34,2,AT608&lt;34,1)</f>
        <v>1</v>
      </c>
      <c r="AC608" s="114">
        <f>_xlfn.IFS(AS608&gt;35,1,AS608&gt;=28,2,AS608&lt;28,3)</f>
        <v>2</v>
      </c>
      <c r="AD608" s="114">
        <f>_xlfn.IFS(AR608&gt;2.3,3,AR608&gt;=1.7,2,AR608&lt;1.7,1)</f>
        <v>1</v>
      </c>
      <c r="AE608" s="114">
        <f>Y608+AA608+AB608+AC608+AD608</f>
        <v>6</v>
      </c>
      <c r="AF608" s="116" t="s">
        <v>59</v>
      </c>
      <c r="AG608" s="114">
        <f>AT608/17.1</f>
        <v>1.62573099415205</v>
      </c>
      <c r="AH608" s="114">
        <f>AU608/88.4</f>
        <v>0.791855203619909</v>
      </c>
      <c r="AI608" s="114">
        <f>AR608</f>
        <v>1.36</v>
      </c>
      <c r="AJ608" s="159">
        <f t="shared" si="162"/>
        <v>11.6904673544915</v>
      </c>
      <c r="AK608" s="160">
        <f t="shared" si="163"/>
        <v>11.6904673544915</v>
      </c>
      <c r="AL608" s="160">
        <f t="shared" si="164"/>
        <v>11.6904673544915</v>
      </c>
      <c r="AM608" s="160">
        <f t="shared" si="165"/>
        <v>135</v>
      </c>
      <c r="AN608" s="114">
        <v>1</v>
      </c>
      <c r="AO608" s="114">
        <v>1</v>
      </c>
      <c r="AP608" s="114">
        <v>3.44</v>
      </c>
      <c r="AQ608" s="114">
        <v>103</v>
      </c>
      <c r="AR608" s="114">
        <v>1.36</v>
      </c>
      <c r="AS608" s="160">
        <v>29</v>
      </c>
      <c r="AT608" s="161">
        <v>27.8</v>
      </c>
      <c r="AU608" s="114">
        <v>70</v>
      </c>
      <c r="AV608" s="114">
        <v>146</v>
      </c>
      <c r="AZ608" s="119" t="s">
        <v>1765</v>
      </c>
    </row>
    <row r="609" spans="1:52">
      <c r="A609" s="113" t="s">
        <v>982</v>
      </c>
      <c r="B609" s="119" t="s">
        <v>48</v>
      </c>
      <c r="C609" s="117">
        <v>55</v>
      </c>
      <c r="D609" s="135">
        <v>1.79</v>
      </c>
      <c r="E609" s="117">
        <v>100</v>
      </c>
      <c r="F609" s="136">
        <f t="shared" si="166"/>
        <v>31.2100121719047</v>
      </c>
      <c r="G609" s="308">
        <v>3</v>
      </c>
      <c r="H609" s="281">
        <v>45166</v>
      </c>
      <c r="I609" s="119" t="s">
        <v>1747</v>
      </c>
      <c r="J609" s="119" t="s">
        <v>1766</v>
      </c>
      <c r="L609" s="137">
        <v>4</v>
      </c>
      <c r="M609" s="138">
        <v>11</v>
      </c>
      <c r="N609" s="270" t="s">
        <v>1767</v>
      </c>
      <c r="O609" s="114"/>
      <c r="P609" s="114">
        <v>1</v>
      </c>
      <c r="Q609" s="114"/>
      <c r="R609" s="114"/>
      <c r="S609" s="114"/>
      <c r="T609" s="114">
        <v>1</v>
      </c>
      <c r="U609" s="114">
        <v>1</v>
      </c>
      <c r="V609" s="114">
        <v>1</v>
      </c>
      <c r="W609" s="114">
        <v>1</v>
      </c>
      <c r="X609" s="114">
        <v>1</v>
      </c>
      <c r="Y609" s="114">
        <v>2</v>
      </c>
      <c r="Z609" s="116" t="s">
        <v>321</v>
      </c>
      <c r="AA609" s="114">
        <v>3</v>
      </c>
      <c r="AB609" s="114">
        <f t="shared" ref="AB609:AB619" si="167">_xlfn.IFS(AT609&gt;51,3,AT609&gt;=34,2,AT609&lt;34,1)</f>
        <v>2</v>
      </c>
      <c r="AC609" s="114">
        <f t="shared" ref="AC609:AC619" si="168">_xlfn.IFS(AS609&gt;35,1,AS609&gt;=28,2,AS609&lt;28,3)</f>
        <v>3</v>
      </c>
      <c r="AD609" s="114">
        <v>2</v>
      </c>
      <c r="AE609" s="114">
        <f t="shared" ref="AE609:AE619" si="169">Y609+AA609+AB609+AC609+AD609</f>
        <v>12</v>
      </c>
      <c r="AF609" s="116" t="s">
        <v>50</v>
      </c>
      <c r="AG609" s="114">
        <f>AT609/17.1</f>
        <v>2.58479532163743</v>
      </c>
      <c r="AH609" s="114">
        <f>AU609/88.4</f>
        <v>1.33484162895928</v>
      </c>
      <c r="AI609" s="114">
        <f>AR609</f>
        <v>2.27</v>
      </c>
      <c r="AJ609" s="159">
        <f t="shared" si="162"/>
        <v>15.5627916362021</v>
      </c>
      <c r="AK609" s="160">
        <f t="shared" si="163"/>
        <v>15.5627916362021</v>
      </c>
      <c r="AL609" s="160">
        <f t="shared" si="164"/>
        <v>15.5627916362021</v>
      </c>
      <c r="AM609" s="160">
        <f t="shared" si="165"/>
        <v>135</v>
      </c>
      <c r="AN609" s="114">
        <v>0</v>
      </c>
      <c r="AO609" s="114">
        <v>2</v>
      </c>
      <c r="AP609" s="114">
        <v>10.14</v>
      </c>
      <c r="AQ609" s="114">
        <v>61</v>
      </c>
      <c r="AR609" s="114">
        <v>2.27</v>
      </c>
      <c r="AS609" s="160">
        <v>24</v>
      </c>
      <c r="AT609" s="161">
        <v>44.2</v>
      </c>
      <c r="AU609" s="114">
        <v>118</v>
      </c>
      <c r="AV609" s="114">
        <v>135</v>
      </c>
      <c r="AZ609" s="119" t="s">
        <v>1768</v>
      </c>
    </row>
    <row r="610" s="123" customFormat="1" spans="1:52">
      <c r="A610" s="285" t="s">
        <v>1769</v>
      </c>
      <c r="B610" s="132" t="s">
        <v>53</v>
      </c>
      <c r="C610" s="123">
        <v>77</v>
      </c>
      <c r="D610" s="176">
        <v>1.45</v>
      </c>
      <c r="E610" s="123">
        <v>35</v>
      </c>
      <c r="F610" s="189">
        <f t="shared" si="166"/>
        <v>16.6468489892985</v>
      </c>
      <c r="G610" s="309">
        <v>7</v>
      </c>
      <c r="H610" s="286">
        <v>45168</v>
      </c>
      <c r="I610" s="132" t="s">
        <v>1770</v>
      </c>
      <c r="J610" s="132" t="s">
        <v>1771</v>
      </c>
      <c r="L610" s="178">
        <v>1</v>
      </c>
      <c r="M610" s="178">
        <v>7</v>
      </c>
      <c r="N610" s="254" t="s">
        <v>1772</v>
      </c>
      <c r="O610" s="114">
        <v>1</v>
      </c>
      <c r="P610" s="114"/>
      <c r="Q610" s="114"/>
      <c r="R610" s="114"/>
      <c r="S610" s="114"/>
      <c r="T610" s="114">
        <v>1</v>
      </c>
      <c r="U610" s="114">
        <v>0</v>
      </c>
      <c r="V610" s="114">
        <v>0</v>
      </c>
      <c r="W610" s="114">
        <v>0</v>
      </c>
      <c r="X610" s="114">
        <v>1</v>
      </c>
      <c r="Y610" s="114">
        <v>1</v>
      </c>
      <c r="Z610" s="116" t="s">
        <v>300</v>
      </c>
      <c r="AA610" s="114">
        <v>2</v>
      </c>
      <c r="AB610" s="114">
        <f t="shared" si="167"/>
        <v>1</v>
      </c>
      <c r="AC610" s="114">
        <f t="shared" si="168"/>
        <v>2</v>
      </c>
      <c r="AD610" s="114">
        <f t="shared" ref="AD609:AD619" si="170">_xlfn.IFS(AR610&gt;2.3,3,AR610&gt;=1.7,2,AR610&lt;1.7,1)</f>
        <v>1</v>
      </c>
      <c r="AE610" s="114">
        <f t="shared" si="169"/>
        <v>7</v>
      </c>
      <c r="AF610" s="116" t="s">
        <v>63</v>
      </c>
      <c r="AG610" s="114">
        <f>AT610/17.1</f>
        <v>0.631578947368421</v>
      </c>
      <c r="AH610" s="114">
        <f>AU610/88.4</f>
        <v>0.972850678733032</v>
      </c>
      <c r="AI610" s="114">
        <f>AR610</f>
        <v>1.03</v>
      </c>
      <c r="AJ610" s="159">
        <f t="shared" si="162"/>
        <v>6.7310585851053</v>
      </c>
      <c r="AK610" s="160">
        <f t="shared" si="163"/>
        <v>6.7310585851053</v>
      </c>
      <c r="AL610" s="160">
        <f t="shared" si="164"/>
        <v>6.7310585851053</v>
      </c>
      <c r="AM610" s="160">
        <f t="shared" si="165"/>
        <v>135</v>
      </c>
      <c r="AN610" s="114">
        <v>1</v>
      </c>
      <c r="AO610" s="114">
        <v>1</v>
      </c>
      <c r="AP610" s="114">
        <v>4.92</v>
      </c>
      <c r="AQ610" s="114">
        <v>111</v>
      </c>
      <c r="AR610" s="114">
        <v>1.03</v>
      </c>
      <c r="AS610" s="160">
        <v>30</v>
      </c>
      <c r="AT610" s="161">
        <v>10.8</v>
      </c>
      <c r="AU610" s="114">
        <v>86</v>
      </c>
      <c r="AV610" s="114">
        <v>140</v>
      </c>
      <c r="AZ610" s="132" t="s">
        <v>1773</v>
      </c>
    </row>
    <row r="611" spans="1:52">
      <c r="A611" s="113" t="s">
        <v>1774</v>
      </c>
      <c r="B611" s="119" t="s">
        <v>53</v>
      </c>
      <c r="C611" s="117">
        <v>78</v>
      </c>
      <c r="D611" s="135">
        <v>1.6</v>
      </c>
      <c r="E611" s="117">
        <v>50</v>
      </c>
      <c r="F611" s="136">
        <f t="shared" si="166"/>
        <v>19.53125</v>
      </c>
      <c r="G611" s="308">
        <v>1</v>
      </c>
      <c r="H611" s="281">
        <v>45171</v>
      </c>
      <c r="I611" s="119" t="s">
        <v>1775</v>
      </c>
      <c r="J611" s="119" t="s">
        <v>1776</v>
      </c>
      <c r="L611" s="137">
        <v>2</v>
      </c>
      <c r="M611" s="138">
        <v>9</v>
      </c>
      <c r="N611" s="270" t="s">
        <v>1777</v>
      </c>
      <c r="O611" s="114"/>
      <c r="P611" s="114"/>
      <c r="Q611" s="114">
        <v>1</v>
      </c>
      <c r="R611" s="114">
        <v>1</v>
      </c>
      <c r="S611" s="114"/>
      <c r="T611" s="114">
        <v>1</v>
      </c>
      <c r="U611" s="114">
        <v>0</v>
      </c>
      <c r="V611" s="114">
        <v>1</v>
      </c>
      <c r="W611" s="114">
        <v>0</v>
      </c>
      <c r="X611" s="114">
        <v>0</v>
      </c>
      <c r="Y611" s="114">
        <v>1</v>
      </c>
      <c r="Z611" s="116" t="s">
        <v>300</v>
      </c>
      <c r="AA611" s="114">
        <v>2</v>
      </c>
      <c r="AB611" s="114">
        <f t="shared" si="167"/>
        <v>1</v>
      </c>
      <c r="AC611" s="114">
        <f t="shared" si="168"/>
        <v>2</v>
      </c>
      <c r="AD611" s="114">
        <f t="shared" si="170"/>
        <v>1</v>
      </c>
      <c r="AE611" s="114">
        <f t="shared" si="169"/>
        <v>7</v>
      </c>
      <c r="AF611" s="116" t="s">
        <v>63</v>
      </c>
      <c r="AG611" s="114">
        <f>AT611/17.1</f>
        <v>0.251461988304094</v>
      </c>
      <c r="AH611" s="114">
        <f>AU611/88.4</f>
        <v>2.10407239819005</v>
      </c>
      <c r="AI611" s="114">
        <f>AR611</f>
        <v>0.99</v>
      </c>
      <c r="AJ611" s="159">
        <f t="shared" si="162"/>
        <v>7.14119715906819</v>
      </c>
      <c r="AK611" s="160">
        <f t="shared" si="163"/>
        <v>7.14119715906819</v>
      </c>
      <c r="AL611" s="160">
        <f t="shared" si="164"/>
        <v>24.6311971590682</v>
      </c>
      <c r="AM611" s="160">
        <f t="shared" si="165"/>
        <v>124</v>
      </c>
      <c r="AN611" s="114">
        <v>0</v>
      </c>
      <c r="AO611" s="114">
        <v>1</v>
      </c>
      <c r="AP611" s="114">
        <v>4.27</v>
      </c>
      <c r="AQ611" s="114">
        <v>88</v>
      </c>
      <c r="AR611" s="114">
        <v>0.99</v>
      </c>
      <c r="AS611" s="160">
        <v>29</v>
      </c>
      <c r="AT611" s="161">
        <v>4.3</v>
      </c>
      <c r="AU611" s="114">
        <v>186</v>
      </c>
      <c r="AV611" s="114">
        <v>124</v>
      </c>
      <c r="AZ611" s="119" t="s">
        <v>1778</v>
      </c>
    </row>
    <row r="612" spans="1:52">
      <c r="A612" s="113" t="s">
        <v>396</v>
      </c>
      <c r="B612" s="119" t="s">
        <v>48</v>
      </c>
      <c r="C612" s="117">
        <v>52</v>
      </c>
      <c r="D612" s="135">
        <v>1.75</v>
      </c>
      <c r="E612" s="117">
        <v>85</v>
      </c>
      <c r="F612" s="136">
        <f t="shared" si="166"/>
        <v>27.7551020408163</v>
      </c>
      <c r="G612" s="308">
        <v>7</v>
      </c>
      <c r="H612" s="281">
        <v>45175</v>
      </c>
      <c r="I612" s="119" t="s">
        <v>1779</v>
      </c>
      <c r="J612" s="119" t="s">
        <v>1780</v>
      </c>
      <c r="L612" s="137">
        <v>2</v>
      </c>
      <c r="M612" s="138">
        <v>13</v>
      </c>
      <c r="N612" s="270" t="s">
        <v>1781</v>
      </c>
      <c r="O612" s="114"/>
      <c r="P612" s="114">
        <v>1</v>
      </c>
      <c r="Q612" s="114"/>
      <c r="R612" s="114"/>
      <c r="S612" s="114"/>
      <c r="T612" s="114">
        <v>1</v>
      </c>
      <c r="U612" s="114">
        <v>0</v>
      </c>
      <c r="V612" s="114">
        <v>1</v>
      </c>
      <c r="W612" s="114">
        <v>0</v>
      </c>
      <c r="X612" s="114">
        <v>1</v>
      </c>
      <c r="Y612" s="114">
        <v>1</v>
      </c>
      <c r="Z612" s="116" t="s">
        <v>300</v>
      </c>
      <c r="AA612" s="114">
        <v>2</v>
      </c>
      <c r="AB612" s="114">
        <f t="shared" si="167"/>
        <v>3</v>
      </c>
      <c r="AC612" s="114">
        <f t="shared" si="168"/>
        <v>3</v>
      </c>
      <c r="AD612" s="114">
        <f t="shared" si="170"/>
        <v>1</v>
      </c>
      <c r="AE612" s="114">
        <f t="shared" si="169"/>
        <v>10</v>
      </c>
      <c r="AF612" s="116" t="s">
        <v>50</v>
      </c>
      <c r="AG612" s="114">
        <f t="shared" ref="AG612:AG656" si="171">AT612/17.1</f>
        <v>4.09356725146199</v>
      </c>
      <c r="AH612" s="114">
        <f t="shared" ref="AH612:AH656" si="172">AU612/88.4</f>
        <v>0.8710407239819</v>
      </c>
      <c r="AI612" s="114">
        <f t="shared" ref="AI612:AI656" si="173">AR612</f>
        <v>1.46</v>
      </c>
      <c r="AJ612" s="159">
        <f t="shared" si="162"/>
        <v>15.9942718385216</v>
      </c>
      <c r="AK612" s="160">
        <f t="shared" si="163"/>
        <v>15.9942718385216</v>
      </c>
      <c r="AL612" s="160">
        <f t="shared" si="164"/>
        <v>15.9942718385216</v>
      </c>
      <c r="AM612" s="160">
        <f t="shared" si="165"/>
        <v>135</v>
      </c>
      <c r="AN612" s="114">
        <v>1</v>
      </c>
      <c r="AO612" s="114">
        <v>2</v>
      </c>
      <c r="AP612" s="114">
        <v>3.06</v>
      </c>
      <c r="AQ612" s="114">
        <v>101</v>
      </c>
      <c r="AR612" s="114">
        <v>1.46</v>
      </c>
      <c r="AS612" s="160">
        <v>21</v>
      </c>
      <c r="AT612" s="161">
        <v>70</v>
      </c>
      <c r="AU612" s="114">
        <v>77</v>
      </c>
      <c r="AV612" s="114">
        <v>136</v>
      </c>
      <c r="AZ612" s="119" t="s">
        <v>1782</v>
      </c>
    </row>
    <row r="613" spans="1:52">
      <c r="A613" s="113" t="s">
        <v>135</v>
      </c>
      <c r="B613" s="119" t="s">
        <v>48</v>
      </c>
      <c r="C613" s="117">
        <v>73</v>
      </c>
      <c r="D613" s="135">
        <v>1.8</v>
      </c>
      <c r="E613" s="117">
        <v>97</v>
      </c>
      <c r="F613" s="136">
        <f t="shared" si="166"/>
        <v>29.9382716049383</v>
      </c>
      <c r="G613" s="308">
        <v>1</v>
      </c>
      <c r="H613" s="281">
        <v>45177</v>
      </c>
      <c r="I613" s="119" t="s">
        <v>1766</v>
      </c>
      <c r="J613" s="119" t="s">
        <v>1779</v>
      </c>
      <c r="L613" s="137">
        <v>3</v>
      </c>
      <c r="M613" s="138">
        <v>8</v>
      </c>
      <c r="N613" s="270" t="s">
        <v>1783</v>
      </c>
      <c r="O613" s="114"/>
      <c r="P613" s="114">
        <v>1</v>
      </c>
      <c r="Q613" s="114">
        <v>1</v>
      </c>
      <c r="R613" s="114"/>
      <c r="S613" s="114"/>
      <c r="T613" s="114">
        <v>1</v>
      </c>
      <c r="U613" s="114">
        <v>0</v>
      </c>
      <c r="V613" s="114">
        <v>1</v>
      </c>
      <c r="W613" s="114">
        <v>0</v>
      </c>
      <c r="X613" s="114">
        <v>1</v>
      </c>
      <c r="Y613" s="114">
        <v>1</v>
      </c>
      <c r="Z613" s="116" t="s">
        <v>307</v>
      </c>
      <c r="AA613" s="114">
        <v>3</v>
      </c>
      <c r="AB613" s="114">
        <f t="shared" si="167"/>
        <v>1</v>
      </c>
      <c r="AC613" s="114">
        <f t="shared" si="168"/>
        <v>3</v>
      </c>
      <c r="AD613" s="114">
        <f t="shared" si="170"/>
        <v>1</v>
      </c>
      <c r="AE613" s="114">
        <f t="shared" si="169"/>
        <v>9</v>
      </c>
      <c r="AF613" s="116" t="s">
        <v>63</v>
      </c>
      <c r="AG613" s="114">
        <f t="shared" si="171"/>
        <v>0.853801169590643</v>
      </c>
      <c r="AH613" s="114">
        <f t="shared" si="172"/>
        <v>1.83257918552036</v>
      </c>
      <c r="AI613" s="114">
        <f t="shared" si="173"/>
        <v>1.25</v>
      </c>
      <c r="AJ613" s="159">
        <f t="shared" si="162"/>
        <v>14.7141616843715</v>
      </c>
      <c r="AK613" s="160">
        <f t="shared" si="163"/>
        <v>14.7141616843715</v>
      </c>
      <c r="AL613" s="160">
        <f t="shared" si="164"/>
        <v>14.7141616843715</v>
      </c>
      <c r="AM613" s="160">
        <f t="shared" si="165"/>
        <v>135</v>
      </c>
      <c r="AN613" s="114">
        <v>1</v>
      </c>
      <c r="AO613" s="114">
        <v>2</v>
      </c>
      <c r="AP613" s="114">
        <v>2.58</v>
      </c>
      <c r="AQ613" s="114">
        <v>90</v>
      </c>
      <c r="AR613" s="114">
        <v>1.25</v>
      </c>
      <c r="AS613" s="160">
        <v>22</v>
      </c>
      <c r="AT613" s="161">
        <v>14.6</v>
      </c>
      <c r="AU613" s="114">
        <v>162</v>
      </c>
      <c r="AV613" s="114">
        <v>139</v>
      </c>
      <c r="AZ613" s="119" t="s">
        <v>1784</v>
      </c>
    </row>
    <row r="614" spans="1:52">
      <c r="A614" s="113" t="s">
        <v>1785</v>
      </c>
      <c r="B614" s="119" t="s">
        <v>48</v>
      </c>
      <c r="C614" s="117">
        <v>72</v>
      </c>
      <c r="D614" s="135">
        <v>1.7</v>
      </c>
      <c r="E614" s="117">
        <v>80</v>
      </c>
      <c r="F614" s="136">
        <f t="shared" si="166"/>
        <v>27.681660899654</v>
      </c>
      <c r="G614" s="308">
        <v>3</v>
      </c>
      <c r="H614" s="281">
        <v>45177</v>
      </c>
      <c r="I614" s="119" t="s">
        <v>1766</v>
      </c>
      <c r="J614" s="119" t="s">
        <v>1786</v>
      </c>
      <c r="L614" s="137">
        <v>1</v>
      </c>
      <c r="M614" s="138">
        <v>6</v>
      </c>
      <c r="N614" s="270" t="s">
        <v>1787</v>
      </c>
      <c r="O614" s="114">
        <v>1</v>
      </c>
      <c r="P614" s="114">
        <v>1</v>
      </c>
      <c r="Q614" s="114"/>
      <c r="R614" s="114"/>
      <c r="S614" s="114"/>
      <c r="T614" s="114">
        <v>1</v>
      </c>
      <c r="U614" s="114">
        <v>0</v>
      </c>
      <c r="V614" s="114">
        <v>1</v>
      </c>
      <c r="W614" s="114">
        <v>0</v>
      </c>
      <c r="X614" s="114">
        <v>0</v>
      </c>
      <c r="Y614" s="114">
        <v>1</v>
      </c>
      <c r="Z614" s="116" t="s">
        <v>300</v>
      </c>
      <c r="AA614" s="114">
        <v>2</v>
      </c>
      <c r="AB614" s="114">
        <f t="shared" si="167"/>
        <v>3</v>
      </c>
      <c r="AC614" s="114">
        <f t="shared" si="168"/>
        <v>2</v>
      </c>
      <c r="AD614" s="114">
        <f t="shared" si="170"/>
        <v>1</v>
      </c>
      <c r="AE614" s="114">
        <f t="shared" si="169"/>
        <v>9</v>
      </c>
      <c r="AF614" s="116" t="s">
        <v>63</v>
      </c>
      <c r="AG614" s="114">
        <f t="shared" si="171"/>
        <v>4.45614035087719</v>
      </c>
      <c r="AH614" s="114">
        <f t="shared" si="172"/>
        <v>1.00678733031674</v>
      </c>
      <c r="AI614" s="114">
        <f t="shared" si="173"/>
        <v>1.42</v>
      </c>
      <c r="AJ614" s="159">
        <f t="shared" si="162"/>
        <v>16.0705705998166</v>
      </c>
      <c r="AK614" s="160">
        <f t="shared" si="163"/>
        <v>16.0705705998166</v>
      </c>
      <c r="AL614" s="160">
        <f t="shared" si="164"/>
        <v>16.0705705998166</v>
      </c>
      <c r="AM614" s="160">
        <f t="shared" si="165"/>
        <v>135</v>
      </c>
      <c r="AN614" s="114">
        <v>1</v>
      </c>
      <c r="AO614" s="114">
        <v>2</v>
      </c>
      <c r="AP614" s="114">
        <v>4.04</v>
      </c>
      <c r="AQ614" s="114">
        <v>76</v>
      </c>
      <c r="AR614" s="114">
        <v>1.42</v>
      </c>
      <c r="AS614" s="160">
        <v>32</v>
      </c>
      <c r="AT614" s="161">
        <v>76.2</v>
      </c>
      <c r="AU614" s="114">
        <v>89</v>
      </c>
      <c r="AV614" s="114">
        <v>144</v>
      </c>
      <c r="AZ614" s="119" t="s">
        <v>1788</v>
      </c>
    </row>
    <row r="615" spans="1:52">
      <c r="A615" s="113" t="s">
        <v>1789</v>
      </c>
      <c r="B615" s="119" t="s">
        <v>48</v>
      </c>
      <c r="C615" s="117">
        <v>43</v>
      </c>
      <c r="D615" s="135">
        <v>1.75</v>
      </c>
      <c r="E615" s="117">
        <v>113</v>
      </c>
      <c r="F615" s="136">
        <f t="shared" si="166"/>
        <v>36.8979591836735</v>
      </c>
      <c r="G615" s="308">
        <v>0</v>
      </c>
      <c r="H615" s="281">
        <v>45178</v>
      </c>
      <c r="I615" s="119" t="s">
        <v>1790</v>
      </c>
      <c r="J615" s="119" t="s">
        <v>1786</v>
      </c>
      <c r="L615" s="137">
        <v>8</v>
      </c>
      <c r="M615" s="138">
        <v>5</v>
      </c>
      <c r="N615" s="270" t="s">
        <v>1791</v>
      </c>
      <c r="O615" s="114"/>
      <c r="P615" s="114"/>
      <c r="Q615" s="114"/>
      <c r="R615" s="114"/>
      <c r="S615" s="114">
        <v>1</v>
      </c>
      <c r="T615" s="114">
        <v>0</v>
      </c>
      <c r="U615" s="114">
        <v>0</v>
      </c>
      <c r="V615" s="114">
        <v>1</v>
      </c>
      <c r="W615" s="114">
        <v>0</v>
      </c>
      <c r="X615" s="114">
        <v>1</v>
      </c>
      <c r="Y615" s="114">
        <v>1</v>
      </c>
      <c r="Z615" s="116" t="s">
        <v>58</v>
      </c>
      <c r="AA615" s="114">
        <v>1</v>
      </c>
      <c r="AB615" s="114">
        <f t="shared" si="167"/>
        <v>1</v>
      </c>
      <c r="AC615" s="114">
        <f t="shared" si="168"/>
        <v>2</v>
      </c>
      <c r="AD615" s="114">
        <f t="shared" si="170"/>
        <v>1</v>
      </c>
      <c r="AE615" s="114">
        <f t="shared" si="169"/>
        <v>6</v>
      </c>
      <c r="AF615" s="116" t="s">
        <v>59</v>
      </c>
      <c r="AG615" s="114">
        <f t="shared" si="171"/>
        <v>0.502923976608187</v>
      </c>
      <c r="AH615" s="114">
        <f t="shared" si="172"/>
        <v>0.610859728506787</v>
      </c>
      <c r="AI615" s="114">
        <f t="shared" si="173"/>
        <v>1.28</v>
      </c>
      <c r="AJ615" s="159">
        <f t="shared" si="162"/>
        <v>9.16483287283309</v>
      </c>
      <c r="AK615" s="160">
        <f t="shared" si="163"/>
        <v>9.16483287283309</v>
      </c>
      <c r="AL615" s="160">
        <f t="shared" si="164"/>
        <v>9.16483287283309</v>
      </c>
      <c r="AM615" s="160">
        <f t="shared" si="165"/>
        <v>135</v>
      </c>
      <c r="AN615" s="114">
        <v>1</v>
      </c>
      <c r="AO615" s="116">
        <v>1</v>
      </c>
      <c r="AP615" s="114">
        <v>6.23</v>
      </c>
      <c r="AQ615" s="114">
        <v>132</v>
      </c>
      <c r="AR615" s="114">
        <v>1.28</v>
      </c>
      <c r="AS615" s="160">
        <v>32</v>
      </c>
      <c r="AT615" s="161">
        <v>8.6</v>
      </c>
      <c r="AU615" s="114">
        <v>54</v>
      </c>
      <c r="AV615" s="114">
        <v>142</v>
      </c>
      <c r="AZ615" s="119" t="s">
        <v>1792</v>
      </c>
    </row>
    <row r="616" spans="1:52">
      <c r="A616" s="113" t="s">
        <v>1793</v>
      </c>
      <c r="B616" s="119" t="s">
        <v>53</v>
      </c>
      <c r="C616" s="117">
        <v>83</v>
      </c>
      <c r="D616" s="135">
        <v>1.63</v>
      </c>
      <c r="E616" s="117">
        <v>75</v>
      </c>
      <c r="F616" s="136">
        <f t="shared" si="166"/>
        <v>28.2283864654296</v>
      </c>
      <c r="G616" s="308">
        <v>1</v>
      </c>
      <c r="H616" s="281">
        <v>45178</v>
      </c>
      <c r="I616" s="119" t="s">
        <v>1790</v>
      </c>
      <c r="J616" s="119" t="s">
        <v>1786</v>
      </c>
      <c r="L616" s="137">
        <v>4</v>
      </c>
      <c r="M616" s="138">
        <v>5</v>
      </c>
      <c r="N616" s="270" t="s">
        <v>1794</v>
      </c>
      <c r="O616" s="114"/>
      <c r="P616" s="114"/>
      <c r="Q616" s="114">
        <v>1</v>
      </c>
      <c r="R616" s="114"/>
      <c r="S616" s="114"/>
      <c r="T616" s="114">
        <v>0</v>
      </c>
      <c r="U616" s="114">
        <v>0</v>
      </c>
      <c r="V616" s="114">
        <v>1</v>
      </c>
      <c r="W616" s="114">
        <v>1</v>
      </c>
      <c r="X616" s="114">
        <v>1</v>
      </c>
      <c r="Y616" s="114">
        <v>1</v>
      </c>
      <c r="Z616" s="116" t="s">
        <v>58</v>
      </c>
      <c r="AA616" s="114">
        <v>1</v>
      </c>
      <c r="AB616" s="114">
        <f t="shared" si="167"/>
        <v>1</v>
      </c>
      <c r="AC616" s="114">
        <f t="shared" si="168"/>
        <v>2</v>
      </c>
      <c r="AD616" s="114">
        <f t="shared" si="170"/>
        <v>1</v>
      </c>
      <c r="AE616" s="114">
        <f t="shared" si="169"/>
        <v>6</v>
      </c>
      <c r="AF616" s="116" t="s">
        <v>59</v>
      </c>
      <c r="AG616" s="114">
        <f t="shared" si="171"/>
        <v>1.24561403508772</v>
      </c>
      <c r="AH616" s="114">
        <f t="shared" si="172"/>
        <v>0.950226244343891</v>
      </c>
      <c r="AI616" s="114">
        <f t="shared" si="173"/>
        <v>1.19</v>
      </c>
      <c r="AJ616" s="159">
        <f t="shared" si="162"/>
        <v>9.18286575476821</v>
      </c>
      <c r="AK616" s="160">
        <f t="shared" si="163"/>
        <v>9.18286575476821</v>
      </c>
      <c r="AL616" s="160">
        <f t="shared" si="164"/>
        <v>9.18286575476821</v>
      </c>
      <c r="AM616" s="160">
        <f t="shared" si="165"/>
        <v>135</v>
      </c>
      <c r="AN616" s="114">
        <v>1</v>
      </c>
      <c r="AO616" s="114">
        <v>1</v>
      </c>
      <c r="AP616" s="114">
        <v>3.69</v>
      </c>
      <c r="AQ616" s="114">
        <v>123</v>
      </c>
      <c r="AR616" s="114">
        <v>1.19</v>
      </c>
      <c r="AS616" s="160">
        <v>33</v>
      </c>
      <c r="AT616" s="161">
        <v>21.3</v>
      </c>
      <c r="AU616" s="114">
        <v>84</v>
      </c>
      <c r="AV616" s="114">
        <v>143</v>
      </c>
      <c r="AZ616" s="119" t="s">
        <v>1795</v>
      </c>
    </row>
    <row r="617" spans="1:52">
      <c r="A617" s="113" t="s">
        <v>286</v>
      </c>
      <c r="B617" s="119" t="s">
        <v>53</v>
      </c>
      <c r="C617" s="117">
        <v>51</v>
      </c>
      <c r="D617" s="135">
        <v>1.6</v>
      </c>
      <c r="E617" s="117">
        <v>62.5</v>
      </c>
      <c r="F617" s="136">
        <f t="shared" si="166"/>
        <v>24.4140625</v>
      </c>
      <c r="G617" s="308">
        <v>1</v>
      </c>
      <c r="H617" s="281">
        <v>45180</v>
      </c>
      <c r="I617" s="119" t="s">
        <v>1776</v>
      </c>
      <c r="J617" s="119" t="s">
        <v>1796</v>
      </c>
      <c r="L617" s="137">
        <v>1</v>
      </c>
      <c r="M617" s="138">
        <v>6</v>
      </c>
      <c r="N617" s="270" t="s">
        <v>1797</v>
      </c>
      <c r="O617" s="114"/>
      <c r="P617" s="114"/>
      <c r="Q617" s="114">
        <v>1</v>
      </c>
      <c r="R617" s="114"/>
      <c r="S617" s="114"/>
      <c r="T617" s="114">
        <v>0</v>
      </c>
      <c r="U617" s="114">
        <v>0</v>
      </c>
      <c r="V617" s="114">
        <v>1</v>
      </c>
      <c r="W617" s="114">
        <v>0</v>
      </c>
      <c r="X617" s="114">
        <v>0</v>
      </c>
      <c r="Y617" s="114">
        <v>1</v>
      </c>
      <c r="Z617" s="116" t="s">
        <v>58</v>
      </c>
      <c r="AA617" s="114">
        <v>1</v>
      </c>
      <c r="AB617" s="114">
        <f t="shared" si="167"/>
        <v>1</v>
      </c>
      <c r="AC617" s="114">
        <f t="shared" si="168"/>
        <v>2</v>
      </c>
      <c r="AD617" s="114">
        <f t="shared" si="170"/>
        <v>1</v>
      </c>
      <c r="AE617" s="114">
        <f t="shared" si="169"/>
        <v>6</v>
      </c>
      <c r="AF617" s="116" t="s">
        <v>59</v>
      </c>
      <c r="AG617" s="114">
        <f t="shared" si="171"/>
        <v>0.327485380116959</v>
      </c>
      <c r="AH617" s="114">
        <f t="shared" si="172"/>
        <v>0.475113122171946</v>
      </c>
      <c r="AI617" s="114">
        <f t="shared" si="173"/>
        <v>1.05</v>
      </c>
      <c r="AJ617" s="159">
        <f t="shared" si="162"/>
        <v>6.94644983869764</v>
      </c>
      <c r="AK617" s="160">
        <f t="shared" si="163"/>
        <v>6.94644983869764</v>
      </c>
      <c r="AL617" s="160">
        <f t="shared" si="164"/>
        <v>6.94644983869764</v>
      </c>
      <c r="AM617" s="160">
        <f t="shared" si="165"/>
        <v>135</v>
      </c>
      <c r="AN617" s="114">
        <v>1</v>
      </c>
      <c r="AO617" s="114">
        <v>1</v>
      </c>
      <c r="AP617" s="114">
        <v>3.24</v>
      </c>
      <c r="AQ617" s="114">
        <v>72</v>
      </c>
      <c r="AR617" s="114">
        <v>1.05</v>
      </c>
      <c r="AS617" s="160">
        <v>32</v>
      </c>
      <c r="AT617" s="161">
        <v>5.6</v>
      </c>
      <c r="AU617" s="114">
        <v>42</v>
      </c>
      <c r="AV617" s="114">
        <v>137</v>
      </c>
      <c r="AZ617" s="119" t="s">
        <v>1798</v>
      </c>
    </row>
    <row r="618" spans="1:52">
      <c r="A618" s="113" t="s">
        <v>100</v>
      </c>
      <c r="B618" s="119" t="s">
        <v>53</v>
      </c>
      <c r="C618" s="117">
        <v>61</v>
      </c>
      <c r="D618" s="135">
        <v>1.6</v>
      </c>
      <c r="E618" s="117">
        <v>62</v>
      </c>
      <c r="F618" s="136">
        <f t="shared" si="166"/>
        <v>24.21875</v>
      </c>
      <c r="G618" s="308">
        <v>5</v>
      </c>
      <c r="H618" s="281">
        <v>45187</v>
      </c>
      <c r="I618" s="119" t="s">
        <v>1799</v>
      </c>
      <c r="J618" s="119" t="s">
        <v>1800</v>
      </c>
      <c r="L618" s="137">
        <v>6</v>
      </c>
      <c r="M618" s="138">
        <v>9</v>
      </c>
      <c r="N618" s="270" t="s">
        <v>1801</v>
      </c>
      <c r="O618" s="114"/>
      <c r="P618" s="114"/>
      <c r="Q618" s="114">
        <v>1</v>
      </c>
      <c r="R618" s="114"/>
      <c r="S618" s="114"/>
      <c r="T618" s="114">
        <v>1</v>
      </c>
      <c r="U618" s="114">
        <v>0</v>
      </c>
      <c r="V618" s="114">
        <v>1</v>
      </c>
      <c r="W618" s="114">
        <v>0</v>
      </c>
      <c r="X618" s="114">
        <v>1</v>
      </c>
      <c r="Y618" s="114">
        <v>1</v>
      </c>
      <c r="Z618" s="116" t="s">
        <v>321</v>
      </c>
      <c r="AA618" s="114">
        <v>3</v>
      </c>
      <c r="AB618" s="114">
        <f t="shared" si="167"/>
        <v>1</v>
      </c>
      <c r="AC618" s="114">
        <f t="shared" si="168"/>
        <v>2</v>
      </c>
      <c r="AD618" s="114">
        <f t="shared" si="170"/>
        <v>1</v>
      </c>
      <c r="AE618" s="114">
        <f t="shared" si="169"/>
        <v>8</v>
      </c>
      <c r="AF618" s="116" t="s">
        <v>63</v>
      </c>
      <c r="AG618" s="114">
        <f t="shared" si="171"/>
        <v>1.29824561403509</v>
      </c>
      <c r="AH618" s="114">
        <f t="shared" si="172"/>
        <v>0.565610859728507</v>
      </c>
      <c r="AI618" s="114">
        <f t="shared" si="173"/>
        <v>1.26</v>
      </c>
      <c r="AJ618" s="159">
        <f t="shared" si="162"/>
        <v>9.98030381119449</v>
      </c>
      <c r="AK618" s="160">
        <f t="shared" si="163"/>
        <v>9.98030381119449</v>
      </c>
      <c r="AL618" s="160">
        <f t="shared" si="164"/>
        <v>9.98030381119449</v>
      </c>
      <c r="AM618" s="160">
        <f t="shared" si="165"/>
        <v>135</v>
      </c>
      <c r="AN618" s="114">
        <v>1</v>
      </c>
      <c r="AO618" s="114">
        <v>1</v>
      </c>
      <c r="AP618" s="114">
        <v>1.4</v>
      </c>
      <c r="AQ618" s="114">
        <v>70</v>
      </c>
      <c r="AR618" s="114">
        <v>1.26</v>
      </c>
      <c r="AS618" s="160">
        <v>32</v>
      </c>
      <c r="AT618" s="161">
        <v>22.2</v>
      </c>
      <c r="AU618" s="114">
        <v>50</v>
      </c>
      <c r="AV618" s="114">
        <v>145</v>
      </c>
      <c r="AZ618" s="119" t="s">
        <v>1802</v>
      </c>
    </row>
    <row r="619" spans="1:52">
      <c r="A619" s="113" t="s">
        <v>1803</v>
      </c>
      <c r="B619" s="117" t="s">
        <v>48</v>
      </c>
      <c r="C619" s="117">
        <v>56</v>
      </c>
      <c r="D619" s="135">
        <v>1.74</v>
      </c>
      <c r="E619" s="117">
        <v>82</v>
      </c>
      <c r="F619" s="136">
        <f t="shared" si="166"/>
        <v>27.0841590698903</v>
      </c>
      <c r="G619" s="308">
        <v>3</v>
      </c>
      <c r="H619" s="281">
        <v>45189</v>
      </c>
      <c r="I619" s="119" t="s">
        <v>1804</v>
      </c>
      <c r="J619" s="119" t="s">
        <v>1805</v>
      </c>
      <c r="L619" s="137">
        <v>1</v>
      </c>
      <c r="M619" s="138">
        <v>8</v>
      </c>
      <c r="N619" s="270" t="s">
        <v>1806</v>
      </c>
      <c r="O619" s="114"/>
      <c r="P619" s="114"/>
      <c r="Q619" s="114">
        <v>1</v>
      </c>
      <c r="R619" s="114"/>
      <c r="S619" s="114"/>
      <c r="T619" s="114">
        <v>1</v>
      </c>
      <c r="U619" s="114">
        <v>0</v>
      </c>
      <c r="V619" s="114">
        <v>1</v>
      </c>
      <c r="W619" s="114">
        <v>0</v>
      </c>
      <c r="X619" s="114">
        <v>1</v>
      </c>
      <c r="Y619" s="114">
        <v>1</v>
      </c>
      <c r="Z619" s="116" t="s">
        <v>321</v>
      </c>
      <c r="AA619" s="114">
        <v>3</v>
      </c>
      <c r="AB619" s="114">
        <f t="shared" ref="AB619:AB646" si="174">_xlfn.IFS(AT619&gt;51,3,AT619&gt;=34,2,AT619&lt;34,1)</f>
        <v>1</v>
      </c>
      <c r="AC619" s="114">
        <f t="shared" ref="AC619:AC646" si="175">_xlfn.IFS(AS619&gt;35,1,AS619&gt;=28,2,AS619&lt;28,3)</f>
        <v>2</v>
      </c>
      <c r="AD619" s="114">
        <f t="shared" ref="AD619:AD646" si="176">_xlfn.IFS(AR619&gt;2.3,3,AR619&gt;=1.7,2,AR619&lt;1.7,1)</f>
        <v>1</v>
      </c>
      <c r="AE619" s="114">
        <f t="shared" ref="AE619:AE646" si="177">Y619+AA619+AB619+AC619+AD619</f>
        <v>8</v>
      </c>
      <c r="AF619" s="116" t="s">
        <v>63</v>
      </c>
      <c r="AG619" s="114">
        <f t="shared" si="171"/>
        <v>1.42105263157895</v>
      </c>
      <c r="AH619" s="114">
        <f t="shared" si="172"/>
        <v>0.757918552036199</v>
      </c>
      <c r="AI619" s="114">
        <f t="shared" si="173"/>
        <v>1.45</v>
      </c>
      <c r="AJ619" s="159">
        <f t="shared" si="162"/>
        <v>11.8968238020278</v>
      </c>
      <c r="AK619" s="160">
        <f t="shared" si="163"/>
        <v>11.8968238020278</v>
      </c>
      <c r="AL619" s="160">
        <f t="shared" si="164"/>
        <v>11.8968238020278</v>
      </c>
      <c r="AM619" s="160">
        <f t="shared" si="165"/>
        <v>135</v>
      </c>
      <c r="AN619" s="114">
        <v>1</v>
      </c>
      <c r="AO619" s="114">
        <v>1</v>
      </c>
      <c r="AP619" s="114">
        <v>6.68</v>
      </c>
      <c r="AQ619" s="114">
        <v>121</v>
      </c>
      <c r="AR619" s="114">
        <v>1.45</v>
      </c>
      <c r="AS619" s="160">
        <v>31</v>
      </c>
      <c r="AT619" s="161">
        <v>24.3</v>
      </c>
      <c r="AU619" s="114">
        <v>67</v>
      </c>
      <c r="AV619" s="114">
        <v>141</v>
      </c>
      <c r="AZ619" s="119" t="s">
        <v>1807</v>
      </c>
    </row>
    <row r="620" spans="1:52">
      <c r="A620" s="113" t="s">
        <v>1808</v>
      </c>
      <c r="B620" s="117" t="s">
        <v>48</v>
      </c>
      <c r="C620" s="117">
        <v>27</v>
      </c>
      <c r="D620" s="135">
        <v>1.85</v>
      </c>
      <c r="E620" s="117">
        <v>100</v>
      </c>
      <c r="F620" s="136">
        <f t="shared" si="166"/>
        <v>29.218407596786</v>
      </c>
      <c r="G620" s="308">
        <v>0</v>
      </c>
      <c r="H620" s="281">
        <v>45189</v>
      </c>
      <c r="I620" s="119" t="s">
        <v>1804</v>
      </c>
      <c r="J620" s="119" t="s">
        <v>1805</v>
      </c>
      <c r="L620" s="137">
        <v>1</v>
      </c>
      <c r="M620" s="138">
        <v>8</v>
      </c>
      <c r="N620" s="270" t="s">
        <v>1809</v>
      </c>
      <c r="O620" s="114"/>
      <c r="P620" s="114"/>
      <c r="Q620" s="114"/>
      <c r="R620" s="114"/>
      <c r="S620" s="114">
        <v>1</v>
      </c>
      <c r="T620" s="114">
        <v>0</v>
      </c>
      <c r="U620" s="114">
        <v>0</v>
      </c>
      <c r="V620" s="114">
        <v>1</v>
      </c>
      <c r="W620" s="114">
        <v>0</v>
      </c>
      <c r="X620" s="114">
        <v>1</v>
      </c>
      <c r="Y620" s="114">
        <v>1</v>
      </c>
      <c r="Z620" s="116" t="s">
        <v>58</v>
      </c>
      <c r="AA620" s="114">
        <v>1</v>
      </c>
      <c r="AB620" s="114">
        <f t="shared" si="174"/>
        <v>1</v>
      </c>
      <c r="AC620" s="114">
        <f t="shared" si="175"/>
        <v>1</v>
      </c>
      <c r="AD620" s="114">
        <f t="shared" si="176"/>
        <v>1</v>
      </c>
      <c r="AE620" s="114">
        <f t="shared" si="177"/>
        <v>5</v>
      </c>
      <c r="AF620" s="116" t="s">
        <v>59</v>
      </c>
      <c r="AG620" s="114">
        <f t="shared" si="171"/>
        <v>1.0233918128655</v>
      </c>
      <c r="AH620" s="114">
        <f t="shared" si="172"/>
        <v>0.610859728506787</v>
      </c>
      <c r="AI620" s="114">
        <f t="shared" si="173"/>
        <v>1.19</v>
      </c>
      <c r="AJ620" s="159">
        <f t="shared" si="162"/>
        <v>8.43614222598175</v>
      </c>
      <c r="AK620" s="160">
        <f t="shared" si="163"/>
        <v>8.43614222598175</v>
      </c>
      <c r="AL620" s="160">
        <f t="shared" si="164"/>
        <v>8.43614222598175</v>
      </c>
      <c r="AM620" s="160">
        <f t="shared" si="165"/>
        <v>135</v>
      </c>
      <c r="AN620" s="114">
        <v>1</v>
      </c>
      <c r="AO620" s="114">
        <v>1</v>
      </c>
      <c r="AP620" s="114">
        <v>3.84</v>
      </c>
      <c r="AQ620" s="114">
        <v>148</v>
      </c>
      <c r="AR620" s="114">
        <v>1.19</v>
      </c>
      <c r="AS620" s="160">
        <v>36</v>
      </c>
      <c r="AT620" s="161">
        <v>17.5</v>
      </c>
      <c r="AU620" s="114">
        <v>54</v>
      </c>
      <c r="AV620" s="114">
        <v>142</v>
      </c>
      <c r="AZ620" s="119" t="s">
        <v>1810</v>
      </c>
    </row>
    <row r="621" spans="1:52">
      <c r="A621" s="113" t="s">
        <v>1699</v>
      </c>
      <c r="B621" s="117" t="s">
        <v>48</v>
      </c>
      <c r="C621" s="117">
        <v>63</v>
      </c>
      <c r="D621" s="135">
        <v>1.66</v>
      </c>
      <c r="E621" s="117">
        <v>52</v>
      </c>
      <c r="F621" s="136">
        <f t="shared" si="166"/>
        <v>18.8706633763972</v>
      </c>
      <c r="G621" s="308">
        <v>3</v>
      </c>
      <c r="H621" s="281">
        <v>45190</v>
      </c>
      <c r="I621" s="119" t="s">
        <v>1811</v>
      </c>
      <c r="J621" s="119" t="s">
        <v>1800</v>
      </c>
      <c r="L621" s="137">
        <v>3</v>
      </c>
      <c r="M621" s="138">
        <v>6</v>
      </c>
      <c r="N621" s="270" t="s">
        <v>1812</v>
      </c>
      <c r="O621" s="114"/>
      <c r="P621" s="114">
        <v>1</v>
      </c>
      <c r="Q621" s="114"/>
      <c r="R621" s="114"/>
      <c r="S621" s="114"/>
      <c r="T621" s="116">
        <v>1</v>
      </c>
      <c r="U621" s="114">
        <v>0</v>
      </c>
      <c r="V621" s="114">
        <v>1</v>
      </c>
      <c r="W621" s="114">
        <v>0</v>
      </c>
      <c r="X621" s="114">
        <v>1</v>
      </c>
      <c r="Y621" s="114">
        <v>1</v>
      </c>
      <c r="Z621" s="116" t="s">
        <v>300</v>
      </c>
      <c r="AA621" s="114">
        <v>2</v>
      </c>
      <c r="AB621" s="114">
        <f t="shared" si="174"/>
        <v>1</v>
      </c>
      <c r="AC621" s="114">
        <f t="shared" si="175"/>
        <v>2</v>
      </c>
      <c r="AD621" s="114">
        <f t="shared" si="176"/>
        <v>1</v>
      </c>
      <c r="AE621" s="114">
        <f t="shared" si="177"/>
        <v>7</v>
      </c>
      <c r="AF621" s="116" t="s">
        <v>63</v>
      </c>
      <c r="AG621" s="114">
        <f t="shared" si="171"/>
        <v>1.12280701754386</v>
      </c>
      <c r="AH621" s="114">
        <f t="shared" si="172"/>
        <v>0.780542986425339</v>
      </c>
      <c r="AI621" s="114">
        <f t="shared" si="173"/>
        <v>1.22</v>
      </c>
      <c r="AJ621" s="159">
        <f t="shared" si="162"/>
        <v>2.66729051694131</v>
      </c>
      <c r="AK621" s="160">
        <f t="shared" si="163"/>
        <v>2.66729051694131</v>
      </c>
      <c r="AL621" s="160">
        <f t="shared" si="164"/>
        <v>2.66729051694131</v>
      </c>
      <c r="AM621" s="160">
        <f t="shared" si="165"/>
        <v>135</v>
      </c>
      <c r="AN621" s="114">
        <v>0</v>
      </c>
      <c r="AO621" s="114">
        <v>1</v>
      </c>
      <c r="AP621" s="114">
        <v>2.07</v>
      </c>
      <c r="AQ621" s="114">
        <v>92</v>
      </c>
      <c r="AR621" s="114">
        <v>1.22</v>
      </c>
      <c r="AS621" s="160">
        <v>31</v>
      </c>
      <c r="AT621" s="161">
        <v>19.2</v>
      </c>
      <c r="AU621" s="114">
        <v>69</v>
      </c>
      <c r="AV621" s="114">
        <v>144</v>
      </c>
      <c r="AZ621" s="119" t="s">
        <v>1813</v>
      </c>
    </row>
    <row r="622" spans="1:52">
      <c r="A622" s="113" t="s">
        <v>1814</v>
      </c>
      <c r="B622" s="117" t="s">
        <v>53</v>
      </c>
      <c r="C622" s="117">
        <v>67</v>
      </c>
      <c r="D622" s="135">
        <v>1.7</v>
      </c>
      <c r="E622" s="117">
        <v>60</v>
      </c>
      <c r="F622" s="136">
        <f t="shared" si="166"/>
        <v>20.7612456747405</v>
      </c>
      <c r="G622" s="308">
        <v>7</v>
      </c>
      <c r="H622" s="281">
        <v>45190</v>
      </c>
      <c r="I622" s="119" t="s">
        <v>1766</v>
      </c>
      <c r="J622" s="119" t="s">
        <v>1815</v>
      </c>
      <c r="L622" s="137">
        <v>1</v>
      </c>
      <c r="M622" s="138">
        <v>14</v>
      </c>
      <c r="N622" s="270" t="s">
        <v>1816</v>
      </c>
      <c r="O622" s="114"/>
      <c r="P622" s="114"/>
      <c r="Q622" s="114"/>
      <c r="R622" s="114"/>
      <c r="S622" s="114">
        <v>1</v>
      </c>
      <c r="T622" s="114">
        <v>1</v>
      </c>
      <c r="U622" s="114">
        <v>0</v>
      </c>
      <c r="V622" s="114">
        <v>1</v>
      </c>
      <c r="W622" s="114">
        <v>1</v>
      </c>
      <c r="X622" s="114">
        <v>1</v>
      </c>
      <c r="Y622" s="114">
        <v>1</v>
      </c>
      <c r="Z622" s="116" t="s">
        <v>307</v>
      </c>
      <c r="AA622" s="114">
        <v>3</v>
      </c>
      <c r="AB622" s="114">
        <f t="shared" si="174"/>
        <v>1</v>
      </c>
      <c r="AC622" s="114">
        <f t="shared" si="175"/>
        <v>3</v>
      </c>
      <c r="AD622" s="114">
        <f t="shared" si="176"/>
        <v>1</v>
      </c>
      <c r="AE622" s="114">
        <f t="shared" si="177"/>
        <v>9</v>
      </c>
      <c r="AF622" s="116" t="s">
        <v>63</v>
      </c>
      <c r="AG622" s="114">
        <f t="shared" si="171"/>
        <v>0.421052631578947</v>
      </c>
      <c r="AH622" s="114">
        <f t="shared" si="172"/>
        <v>0.599547511312217</v>
      </c>
      <c r="AI622" s="114">
        <f t="shared" si="173"/>
        <v>1.02</v>
      </c>
      <c r="AJ622" s="159">
        <f t="shared" si="162"/>
        <v>6.62178942571721</v>
      </c>
      <c r="AK622" s="160">
        <f t="shared" si="163"/>
        <v>6.62178942571721</v>
      </c>
      <c r="AL622" s="160">
        <f t="shared" si="164"/>
        <v>6.62178942571721</v>
      </c>
      <c r="AM622" s="160">
        <f t="shared" si="165"/>
        <v>135</v>
      </c>
      <c r="AN622" s="114">
        <v>1</v>
      </c>
      <c r="AO622" s="114">
        <v>1</v>
      </c>
      <c r="AP622" s="114">
        <v>15.21</v>
      </c>
      <c r="AQ622" s="114">
        <v>51</v>
      </c>
      <c r="AR622" s="114">
        <v>1.02</v>
      </c>
      <c r="AS622" s="160">
        <v>21</v>
      </c>
      <c r="AT622" s="161">
        <v>7.2</v>
      </c>
      <c r="AU622" s="114">
        <v>53</v>
      </c>
      <c r="AV622" s="114">
        <v>136</v>
      </c>
      <c r="AZ622" s="119" t="s">
        <v>1817</v>
      </c>
    </row>
    <row r="623" spans="1:52">
      <c r="A623" s="113" t="s">
        <v>1818</v>
      </c>
      <c r="B623" s="117" t="s">
        <v>53</v>
      </c>
      <c r="C623" s="117">
        <v>69</v>
      </c>
      <c r="D623" s="135">
        <v>1.7</v>
      </c>
      <c r="E623" s="117">
        <v>82</v>
      </c>
      <c r="F623" s="136">
        <f t="shared" si="166"/>
        <v>28.3737024221453</v>
      </c>
      <c r="G623" s="308">
        <v>3</v>
      </c>
      <c r="H623" s="281">
        <v>45191</v>
      </c>
      <c r="I623" s="119" t="s">
        <v>1815</v>
      </c>
      <c r="J623" s="119" t="s">
        <v>1819</v>
      </c>
      <c r="L623" s="137">
        <v>1</v>
      </c>
      <c r="M623" s="138">
        <v>4</v>
      </c>
      <c r="N623" s="270" t="s">
        <v>1820</v>
      </c>
      <c r="O623" s="114"/>
      <c r="P623" s="114"/>
      <c r="Q623" s="116" t="s">
        <v>1083</v>
      </c>
      <c r="R623" s="114"/>
      <c r="S623" s="114"/>
      <c r="T623" s="114">
        <v>0</v>
      </c>
      <c r="U623" s="114">
        <v>0</v>
      </c>
      <c r="V623" s="114">
        <v>1</v>
      </c>
      <c r="W623" s="114">
        <v>0</v>
      </c>
      <c r="X623" s="114">
        <v>1</v>
      </c>
      <c r="Y623" s="114">
        <v>1</v>
      </c>
      <c r="Z623" s="116" t="s">
        <v>58</v>
      </c>
      <c r="AA623" s="114">
        <v>1</v>
      </c>
      <c r="AB623" s="114">
        <f t="shared" si="174"/>
        <v>1</v>
      </c>
      <c r="AC623" s="114">
        <f t="shared" si="175"/>
        <v>2</v>
      </c>
      <c r="AD623" s="114">
        <f t="shared" si="176"/>
        <v>1</v>
      </c>
      <c r="AE623" s="114">
        <f t="shared" si="177"/>
        <v>6</v>
      </c>
      <c r="AF623" s="116" t="s">
        <v>59</v>
      </c>
      <c r="AG623" s="114">
        <f t="shared" si="171"/>
        <v>1.7719298245614</v>
      </c>
      <c r="AH623" s="114">
        <f t="shared" si="172"/>
        <v>0.667420814479638</v>
      </c>
      <c r="AI623" s="114">
        <f t="shared" si="173"/>
        <v>1.17</v>
      </c>
      <c r="AJ623" s="159">
        <f t="shared" si="162"/>
        <v>10.3323051328937</v>
      </c>
      <c r="AK623" s="160">
        <f t="shared" si="163"/>
        <v>10.3323051328937</v>
      </c>
      <c r="AL623" s="160">
        <f t="shared" si="164"/>
        <v>10.3323051328937</v>
      </c>
      <c r="AM623" s="160">
        <f t="shared" si="165"/>
        <v>135</v>
      </c>
      <c r="AN623" s="114">
        <v>1</v>
      </c>
      <c r="AO623" s="114">
        <v>1</v>
      </c>
      <c r="AP623" s="114">
        <v>4.45</v>
      </c>
      <c r="AQ623" s="114">
        <v>151</v>
      </c>
      <c r="AR623" s="114">
        <v>1.17</v>
      </c>
      <c r="AS623" s="160">
        <v>29</v>
      </c>
      <c r="AT623" s="161">
        <v>30.3</v>
      </c>
      <c r="AU623" s="114">
        <v>59</v>
      </c>
      <c r="AV623" s="114">
        <v>139</v>
      </c>
      <c r="AZ623" s="119" t="s">
        <v>1821</v>
      </c>
    </row>
    <row r="624" spans="1:52">
      <c r="A624" s="113" t="s">
        <v>1822</v>
      </c>
      <c r="B624" s="117" t="s">
        <v>53</v>
      </c>
      <c r="C624" s="117">
        <v>75</v>
      </c>
      <c r="D624" s="135">
        <v>1.57</v>
      </c>
      <c r="E624" s="117">
        <v>67</v>
      </c>
      <c r="F624" s="136">
        <f t="shared" si="166"/>
        <v>27.1816300864132</v>
      </c>
      <c r="G624" s="308">
        <v>3</v>
      </c>
      <c r="H624" s="281">
        <v>45191</v>
      </c>
      <c r="I624" s="119" t="s">
        <v>1815</v>
      </c>
      <c r="J624" s="119" t="s">
        <v>1823</v>
      </c>
      <c r="L624" s="137">
        <v>7</v>
      </c>
      <c r="M624" s="138">
        <v>7</v>
      </c>
      <c r="N624" s="270" t="s">
        <v>1824</v>
      </c>
      <c r="O624" s="114"/>
      <c r="P624" s="114"/>
      <c r="Q624" s="114"/>
      <c r="R624" s="114">
        <v>1</v>
      </c>
      <c r="S624" s="114"/>
      <c r="T624" s="114">
        <v>0</v>
      </c>
      <c r="U624" s="114">
        <v>0</v>
      </c>
      <c r="V624" s="114">
        <v>1</v>
      </c>
      <c r="W624" s="114">
        <v>0</v>
      </c>
      <c r="X624" s="114">
        <v>1</v>
      </c>
      <c r="Y624" s="114">
        <v>1</v>
      </c>
      <c r="Z624" s="116" t="s">
        <v>58</v>
      </c>
      <c r="AA624" s="114">
        <v>1</v>
      </c>
      <c r="AB624" s="114">
        <f t="shared" si="174"/>
        <v>1</v>
      </c>
      <c r="AC624" s="114">
        <f t="shared" si="175"/>
        <v>3</v>
      </c>
      <c r="AD624" s="114">
        <f t="shared" si="176"/>
        <v>1</v>
      </c>
      <c r="AE624" s="114">
        <f t="shared" si="177"/>
        <v>7</v>
      </c>
      <c r="AF624" s="116" t="s">
        <v>63</v>
      </c>
      <c r="AG624" s="114">
        <f t="shared" si="171"/>
        <v>0.807017543859649</v>
      </c>
      <c r="AH624" s="114">
        <f t="shared" si="172"/>
        <v>0.712669683257918</v>
      </c>
      <c r="AI624" s="114">
        <f t="shared" si="173"/>
        <v>1.09</v>
      </c>
      <c r="AJ624" s="159">
        <f t="shared" si="162"/>
        <v>0.965190197899787</v>
      </c>
      <c r="AK624" s="160">
        <f t="shared" si="163"/>
        <v>0.965190197899787</v>
      </c>
      <c r="AL624" s="160">
        <f t="shared" si="164"/>
        <v>0.965190197899787</v>
      </c>
      <c r="AM624" s="160">
        <f t="shared" si="165"/>
        <v>135</v>
      </c>
      <c r="AN624" s="114">
        <v>0</v>
      </c>
      <c r="AO624" s="114">
        <v>1</v>
      </c>
      <c r="AP624" s="114">
        <v>2.57</v>
      </c>
      <c r="AQ624" s="114">
        <v>93</v>
      </c>
      <c r="AR624" s="114">
        <v>1.09</v>
      </c>
      <c r="AS624" s="160">
        <v>25</v>
      </c>
      <c r="AT624" s="161">
        <v>13.8</v>
      </c>
      <c r="AU624" s="114">
        <v>63</v>
      </c>
      <c r="AV624" s="114">
        <v>139</v>
      </c>
      <c r="AZ624" s="119" t="s">
        <v>1825</v>
      </c>
    </row>
    <row r="625" s="123" customFormat="1" spans="1:52">
      <c r="A625" s="285" t="s">
        <v>1826</v>
      </c>
      <c r="B625" s="123" t="s">
        <v>48</v>
      </c>
      <c r="C625" s="123">
        <v>86</v>
      </c>
      <c r="D625" s="176">
        <v>1.72</v>
      </c>
      <c r="E625" s="123">
        <v>50</v>
      </c>
      <c r="F625" s="189">
        <f t="shared" si="166"/>
        <v>16.901027582477</v>
      </c>
      <c r="G625" s="309">
        <v>7</v>
      </c>
      <c r="H625" s="286">
        <v>45191</v>
      </c>
      <c r="I625" s="132" t="s">
        <v>1815</v>
      </c>
      <c r="J625" s="132" t="s">
        <v>1827</v>
      </c>
      <c r="L625" s="178">
        <v>2</v>
      </c>
      <c r="M625" s="178">
        <v>13</v>
      </c>
      <c r="N625" s="254" t="s">
        <v>1828</v>
      </c>
      <c r="O625" s="114">
        <v>1</v>
      </c>
      <c r="P625" s="114"/>
      <c r="Q625" s="114"/>
      <c r="R625" s="114"/>
      <c r="S625" s="114"/>
      <c r="T625" s="114">
        <v>1</v>
      </c>
      <c r="U625" s="114">
        <v>1</v>
      </c>
      <c r="V625" s="114">
        <v>1</v>
      </c>
      <c r="W625" s="114">
        <v>1</v>
      </c>
      <c r="X625" s="114">
        <v>1</v>
      </c>
      <c r="Y625" s="114">
        <v>2</v>
      </c>
      <c r="Z625" s="116" t="s">
        <v>321</v>
      </c>
      <c r="AA625" s="114">
        <v>3</v>
      </c>
      <c r="AB625" s="114">
        <f t="shared" si="174"/>
        <v>2</v>
      </c>
      <c r="AC625" s="114">
        <f t="shared" si="175"/>
        <v>3</v>
      </c>
      <c r="AD625" s="114">
        <f t="shared" si="176"/>
        <v>1</v>
      </c>
      <c r="AE625" s="114">
        <f t="shared" si="177"/>
        <v>11</v>
      </c>
      <c r="AF625" s="116" t="s">
        <v>50</v>
      </c>
      <c r="AG625" s="114">
        <f t="shared" si="171"/>
        <v>2.0233918128655</v>
      </c>
      <c r="AH625" s="114">
        <f t="shared" si="172"/>
        <v>0.723981900452489</v>
      </c>
      <c r="AI625" s="114">
        <f t="shared" si="173"/>
        <v>1.54</v>
      </c>
      <c r="AJ625" s="159">
        <f t="shared" si="162"/>
        <v>13.9141088944753</v>
      </c>
      <c r="AK625" s="160">
        <f t="shared" si="163"/>
        <v>13.9141088944753</v>
      </c>
      <c r="AL625" s="160">
        <f t="shared" si="164"/>
        <v>13.9141088944753</v>
      </c>
      <c r="AM625" s="160">
        <f t="shared" si="165"/>
        <v>135</v>
      </c>
      <c r="AN625" s="114">
        <v>1</v>
      </c>
      <c r="AO625" s="114">
        <v>1</v>
      </c>
      <c r="AP625" s="114">
        <v>3.65</v>
      </c>
      <c r="AQ625" s="114">
        <v>71</v>
      </c>
      <c r="AR625" s="114">
        <v>1.54</v>
      </c>
      <c r="AS625" s="160">
        <v>19</v>
      </c>
      <c r="AT625" s="161">
        <v>34.6</v>
      </c>
      <c r="AU625" s="114">
        <v>64</v>
      </c>
      <c r="AV625" s="114">
        <v>138</v>
      </c>
      <c r="AZ625" s="132" t="s">
        <v>1829</v>
      </c>
    </row>
    <row r="626" spans="1:52">
      <c r="A626" s="113" t="s">
        <v>922</v>
      </c>
      <c r="B626" s="117" t="s">
        <v>48</v>
      </c>
      <c r="C626" s="117">
        <v>64</v>
      </c>
      <c r="D626" s="135">
        <v>1.69</v>
      </c>
      <c r="E626" s="117">
        <v>87</v>
      </c>
      <c r="F626" s="136">
        <f t="shared" si="166"/>
        <v>30.4611183081825</v>
      </c>
      <c r="G626" s="308">
        <v>0</v>
      </c>
      <c r="H626" s="281">
        <v>45192</v>
      </c>
      <c r="I626" s="119" t="s">
        <v>1830</v>
      </c>
      <c r="J626" s="119" t="s">
        <v>1831</v>
      </c>
      <c r="L626" s="137">
        <v>7</v>
      </c>
      <c r="M626" s="138">
        <v>15</v>
      </c>
      <c r="N626" s="270" t="s">
        <v>1832</v>
      </c>
      <c r="O626" s="114"/>
      <c r="P626" s="114">
        <v>1</v>
      </c>
      <c r="Q626" s="114"/>
      <c r="R626" s="114"/>
      <c r="S626" s="114"/>
      <c r="T626" s="116">
        <v>1</v>
      </c>
      <c r="U626" s="114">
        <v>1</v>
      </c>
      <c r="V626" s="114">
        <v>1</v>
      </c>
      <c r="W626" s="114">
        <v>0</v>
      </c>
      <c r="X626" s="114">
        <v>1</v>
      </c>
      <c r="Y626" s="114">
        <v>2</v>
      </c>
      <c r="Z626" s="116" t="s">
        <v>300</v>
      </c>
      <c r="AA626" s="114">
        <v>2</v>
      </c>
      <c r="AB626" s="114">
        <f t="shared" si="174"/>
        <v>2</v>
      </c>
      <c r="AC626" s="114">
        <f t="shared" si="175"/>
        <v>2</v>
      </c>
      <c r="AD626" s="114">
        <f t="shared" si="176"/>
        <v>1</v>
      </c>
      <c r="AE626" s="114">
        <f t="shared" si="177"/>
        <v>9</v>
      </c>
      <c r="AF626" s="116" t="s">
        <v>63</v>
      </c>
      <c r="AG626" s="114">
        <f t="shared" si="171"/>
        <v>2.97076023391813</v>
      </c>
      <c r="AH626" s="114">
        <f t="shared" si="172"/>
        <v>0.542986425339366</v>
      </c>
      <c r="AI626" s="114">
        <f t="shared" si="173"/>
        <v>1.22</v>
      </c>
      <c r="AJ626" s="159">
        <f t="shared" si="162"/>
        <v>6.36463760403397</v>
      </c>
      <c r="AK626" s="160">
        <f t="shared" si="163"/>
        <v>6.36463760403397</v>
      </c>
      <c r="AL626" s="160">
        <f t="shared" si="164"/>
        <v>6.36463760403397</v>
      </c>
      <c r="AM626" s="160">
        <f t="shared" si="165"/>
        <v>135</v>
      </c>
      <c r="AN626" s="114">
        <v>0</v>
      </c>
      <c r="AO626" s="114">
        <v>1</v>
      </c>
      <c r="AP626" s="114">
        <v>3.73</v>
      </c>
      <c r="AQ626" s="114">
        <v>93</v>
      </c>
      <c r="AR626" s="114">
        <v>1.22</v>
      </c>
      <c r="AS626" s="160">
        <v>30</v>
      </c>
      <c r="AT626" s="161">
        <v>50.8</v>
      </c>
      <c r="AU626" s="114">
        <v>48</v>
      </c>
      <c r="AV626" s="114">
        <v>140</v>
      </c>
      <c r="AZ626" s="119" t="s">
        <v>1833</v>
      </c>
    </row>
    <row r="627" spans="1:52">
      <c r="A627" s="113" t="s">
        <v>1834</v>
      </c>
      <c r="B627" s="117" t="s">
        <v>48</v>
      </c>
      <c r="C627" s="117">
        <v>67</v>
      </c>
      <c r="D627" s="135">
        <v>1.75</v>
      </c>
      <c r="E627" s="117">
        <v>89</v>
      </c>
      <c r="F627" s="136">
        <f t="shared" si="166"/>
        <v>29.0612244897959</v>
      </c>
      <c r="G627" s="308">
        <v>3</v>
      </c>
      <c r="H627" s="281">
        <v>45192</v>
      </c>
      <c r="I627" s="119" t="s">
        <v>1830</v>
      </c>
      <c r="J627" s="119" t="s">
        <v>1805</v>
      </c>
      <c r="L627" s="137">
        <v>1</v>
      </c>
      <c r="M627" s="138">
        <v>5</v>
      </c>
      <c r="N627" s="270" t="s">
        <v>1835</v>
      </c>
      <c r="O627" s="114"/>
      <c r="P627" s="114"/>
      <c r="Q627" s="114"/>
      <c r="R627" s="114"/>
      <c r="S627" s="114">
        <v>1</v>
      </c>
      <c r="T627" s="114">
        <v>1</v>
      </c>
      <c r="U627" s="114">
        <v>0</v>
      </c>
      <c r="V627" s="114">
        <v>1</v>
      </c>
      <c r="W627" s="114">
        <v>0</v>
      </c>
      <c r="X627" s="114">
        <v>1</v>
      </c>
      <c r="Y627" s="114">
        <v>1</v>
      </c>
      <c r="Z627" s="116" t="s">
        <v>307</v>
      </c>
      <c r="AA627" s="114">
        <v>3</v>
      </c>
      <c r="AB627" s="114">
        <f t="shared" si="174"/>
        <v>1</v>
      </c>
      <c r="AC627" s="114">
        <f t="shared" si="175"/>
        <v>2</v>
      </c>
      <c r="AD627" s="114">
        <f t="shared" si="176"/>
        <v>1</v>
      </c>
      <c r="AE627" s="114">
        <f t="shared" si="177"/>
        <v>8</v>
      </c>
      <c r="AF627" s="116" t="s">
        <v>63</v>
      </c>
      <c r="AG627" s="114">
        <f t="shared" si="171"/>
        <v>1.01169590643275</v>
      </c>
      <c r="AH627" s="114">
        <f t="shared" si="172"/>
        <v>0.791855203619909</v>
      </c>
      <c r="AI627" s="114">
        <f t="shared" si="173"/>
        <v>1.04</v>
      </c>
      <c r="AJ627" s="159">
        <f t="shared" si="162"/>
        <v>6.8834585316982</v>
      </c>
      <c r="AK627" s="160">
        <f t="shared" si="163"/>
        <v>6.8834585316982</v>
      </c>
      <c r="AL627" s="160">
        <f t="shared" si="164"/>
        <v>6.8834585316982</v>
      </c>
      <c r="AM627" s="160">
        <f t="shared" si="165"/>
        <v>135</v>
      </c>
      <c r="AN627" s="114">
        <v>1</v>
      </c>
      <c r="AO627" s="114">
        <v>1</v>
      </c>
      <c r="AP627" s="114">
        <v>4.29</v>
      </c>
      <c r="AQ627" s="114">
        <v>136</v>
      </c>
      <c r="AR627" s="114">
        <v>1.04</v>
      </c>
      <c r="AS627" s="160">
        <v>31</v>
      </c>
      <c r="AT627" s="161">
        <v>17.3</v>
      </c>
      <c r="AU627" s="114">
        <v>70</v>
      </c>
      <c r="AV627" s="114">
        <v>140</v>
      </c>
      <c r="AZ627" s="119" t="s">
        <v>1836</v>
      </c>
    </row>
    <row r="628" spans="1:52">
      <c r="A628" s="113" t="s">
        <v>1837</v>
      </c>
      <c r="B628" s="117" t="s">
        <v>48</v>
      </c>
      <c r="C628" s="117">
        <v>65</v>
      </c>
      <c r="D628" s="135">
        <v>1.7</v>
      </c>
      <c r="E628" s="117">
        <v>50</v>
      </c>
      <c r="F628" s="136">
        <f t="shared" si="166"/>
        <v>17.3010380622837</v>
      </c>
      <c r="G628" s="308">
        <v>6</v>
      </c>
      <c r="H628" s="281">
        <v>45192</v>
      </c>
      <c r="I628" s="119" t="s">
        <v>1838</v>
      </c>
      <c r="J628" s="119" t="s">
        <v>1839</v>
      </c>
      <c r="L628" s="137">
        <v>1</v>
      </c>
      <c r="M628" s="138">
        <v>16</v>
      </c>
      <c r="N628" s="270" t="s">
        <v>1840</v>
      </c>
      <c r="O628" s="114">
        <v>1</v>
      </c>
      <c r="P628" s="114"/>
      <c r="Q628" s="114"/>
      <c r="R628" s="114"/>
      <c r="S628" s="114"/>
      <c r="T628" s="114">
        <v>1</v>
      </c>
      <c r="U628" s="114">
        <v>0</v>
      </c>
      <c r="V628" s="114">
        <v>1</v>
      </c>
      <c r="W628" s="114">
        <v>0</v>
      </c>
      <c r="X628" s="114">
        <v>1</v>
      </c>
      <c r="Y628" s="114">
        <v>1</v>
      </c>
      <c r="Z628" s="116" t="s">
        <v>307</v>
      </c>
      <c r="AA628" s="114">
        <v>3</v>
      </c>
      <c r="AB628" s="114">
        <f t="shared" si="174"/>
        <v>1</v>
      </c>
      <c r="AC628" s="114">
        <f t="shared" si="175"/>
        <v>3</v>
      </c>
      <c r="AD628" s="114">
        <f t="shared" si="176"/>
        <v>1</v>
      </c>
      <c r="AE628" s="114">
        <f t="shared" si="177"/>
        <v>9</v>
      </c>
      <c r="AF628" s="116" t="s">
        <v>63</v>
      </c>
      <c r="AG628" s="114">
        <f t="shared" si="171"/>
        <v>1.3859649122807</v>
      </c>
      <c r="AH628" s="114">
        <f t="shared" si="172"/>
        <v>0.690045248868778</v>
      </c>
      <c r="AI628" s="114">
        <f t="shared" si="173"/>
        <v>1.41</v>
      </c>
      <c r="AJ628" s="159">
        <f t="shared" si="162"/>
        <v>11.4885117107723</v>
      </c>
      <c r="AK628" s="160">
        <f t="shared" si="163"/>
        <v>11.4885117107723</v>
      </c>
      <c r="AL628" s="160">
        <f t="shared" si="164"/>
        <v>11.4885117107723</v>
      </c>
      <c r="AM628" s="160">
        <f t="shared" si="165"/>
        <v>135</v>
      </c>
      <c r="AN628" s="114">
        <v>1</v>
      </c>
      <c r="AO628" s="114">
        <v>1</v>
      </c>
      <c r="AP628" s="114">
        <v>1.52</v>
      </c>
      <c r="AQ628" s="114">
        <v>54</v>
      </c>
      <c r="AR628" s="114">
        <v>1.41</v>
      </c>
      <c r="AS628" s="160">
        <v>25</v>
      </c>
      <c r="AT628" s="161">
        <v>23.7</v>
      </c>
      <c r="AU628" s="114">
        <v>61</v>
      </c>
      <c r="AV628" s="114">
        <v>139</v>
      </c>
      <c r="AZ628" s="119" t="s">
        <v>1841</v>
      </c>
    </row>
    <row r="629" spans="1:52">
      <c r="A629" s="113" t="s">
        <v>1842</v>
      </c>
      <c r="B629" s="117" t="s">
        <v>53</v>
      </c>
      <c r="C629" s="117">
        <v>62</v>
      </c>
      <c r="D629" s="135">
        <v>1.64</v>
      </c>
      <c r="E629" s="117">
        <v>62.5</v>
      </c>
      <c r="F629" s="136">
        <f t="shared" si="166"/>
        <v>23.2376561570494</v>
      </c>
      <c r="G629" s="308">
        <v>0</v>
      </c>
      <c r="H629" s="281">
        <v>45192</v>
      </c>
      <c r="I629" s="119" t="s">
        <v>1843</v>
      </c>
      <c r="J629" s="119" t="s">
        <v>1844</v>
      </c>
      <c r="L629" s="137">
        <v>1</v>
      </c>
      <c r="M629" s="138">
        <v>19</v>
      </c>
      <c r="N629" s="270" t="s">
        <v>1845</v>
      </c>
      <c r="O629" s="114"/>
      <c r="P629" s="114"/>
      <c r="Q629" s="114"/>
      <c r="R629" s="114"/>
      <c r="S629" s="114">
        <v>1</v>
      </c>
      <c r="T629" s="116">
        <v>1</v>
      </c>
      <c r="U629" s="114">
        <v>0</v>
      </c>
      <c r="V629" s="114">
        <v>1</v>
      </c>
      <c r="W629" s="114">
        <v>0</v>
      </c>
      <c r="X629" s="114">
        <v>1</v>
      </c>
      <c r="Y629" s="114">
        <v>1</v>
      </c>
      <c r="Z629" s="116" t="s">
        <v>300</v>
      </c>
      <c r="AA629" s="114">
        <v>2</v>
      </c>
      <c r="AB629" s="114">
        <f t="shared" si="174"/>
        <v>1</v>
      </c>
      <c r="AC629" s="114">
        <f t="shared" si="175"/>
        <v>1</v>
      </c>
      <c r="AD629" s="114">
        <f t="shared" si="176"/>
        <v>1</v>
      </c>
      <c r="AE629" s="114">
        <f t="shared" si="177"/>
        <v>6</v>
      </c>
      <c r="AF629" s="116" t="s">
        <v>59</v>
      </c>
      <c r="AG629" s="114">
        <f t="shared" si="171"/>
        <v>0.245614035087719</v>
      </c>
      <c r="AH629" s="114">
        <f t="shared" si="172"/>
        <v>0.497737556561086</v>
      </c>
      <c r="AI629" s="114">
        <f t="shared" si="173"/>
        <v>1.12</v>
      </c>
      <c r="AJ629" s="159">
        <f t="shared" si="162"/>
        <v>7.66928127543844</v>
      </c>
      <c r="AK629" s="160">
        <f t="shared" si="163"/>
        <v>7.66928127543844</v>
      </c>
      <c r="AL629" s="160">
        <f t="shared" si="164"/>
        <v>7.66928127543844</v>
      </c>
      <c r="AM629" s="160">
        <f t="shared" si="165"/>
        <v>135</v>
      </c>
      <c r="AN629" s="114">
        <v>1</v>
      </c>
      <c r="AO629" s="114">
        <v>1</v>
      </c>
      <c r="AP629" s="114">
        <v>2.31</v>
      </c>
      <c r="AQ629" s="114">
        <v>75</v>
      </c>
      <c r="AR629" s="114">
        <v>1.12</v>
      </c>
      <c r="AS629" s="160">
        <v>39</v>
      </c>
      <c r="AT629" s="161">
        <v>4.2</v>
      </c>
      <c r="AU629" s="114">
        <v>44</v>
      </c>
      <c r="AV629" s="114">
        <v>139</v>
      </c>
      <c r="AZ629" s="119" t="s">
        <v>1846</v>
      </c>
    </row>
    <row r="630" spans="1:52">
      <c r="A630" s="113" t="s">
        <v>1847</v>
      </c>
      <c r="B630" s="117" t="s">
        <v>53</v>
      </c>
      <c r="C630" s="117">
        <v>64</v>
      </c>
      <c r="D630" s="135">
        <v>1.6</v>
      </c>
      <c r="E630" s="117">
        <v>71</v>
      </c>
      <c r="F630" s="136">
        <f t="shared" si="166"/>
        <v>27.734375</v>
      </c>
      <c r="G630" s="308">
        <v>0</v>
      </c>
      <c r="H630" s="281">
        <v>45195</v>
      </c>
      <c r="I630" s="119" t="s">
        <v>1819</v>
      </c>
      <c r="J630" s="119" t="s">
        <v>1848</v>
      </c>
      <c r="L630" s="137">
        <v>1</v>
      </c>
      <c r="M630" s="138">
        <v>13</v>
      </c>
      <c r="N630" s="270" t="s">
        <v>1849</v>
      </c>
      <c r="O630" s="114"/>
      <c r="P630" s="114"/>
      <c r="Q630" s="116" t="s">
        <v>1083</v>
      </c>
      <c r="R630" s="114"/>
      <c r="S630" s="114"/>
      <c r="T630" s="114">
        <v>0</v>
      </c>
      <c r="U630" s="114">
        <v>0</v>
      </c>
      <c r="V630" s="114">
        <v>1</v>
      </c>
      <c r="W630" s="114">
        <v>0</v>
      </c>
      <c r="X630" s="114">
        <v>1</v>
      </c>
      <c r="Y630" s="114">
        <v>1</v>
      </c>
      <c r="Z630" s="116" t="s">
        <v>58</v>
      </c>
      <c r="AA630" s="114">
        <v>1</v>
      </c>
      <c r="AB630" s="114">
        <f t="shared" si="174"/>
        <v>1</v>
      </c>
      <c r="AC630" s="114">
        <f t="shared" si="175"/>
        <v>2</v>
      </c>
      <c r="AD630" s="114">
        <f t="shared" si="176"/>
        <v>1</v>
      </c>
      <c r="AE630" s="114">
        <f t="shared" si="177"/>
        <v>6</v>
      </c>
      <c r="AF630" s="116" t="s">
        <v>59</v>
      </c>
      <c r="AG630" s="114">
        <f t="shared" si="171"/>
        <v>0.730994152046784</v>
      </c>
      <c r="AH630" s="114">
        <f t="shared" si="172"/>
        <v>0.780542986425339</v>
      </c>
      <c r="AI630" s="114">
        <f t="shared" si="173"/>
        <v>1.58</v>
      </c>
      <c r="AJ630" s="159">
        <f t="shared" si="162"/>
        <v>11.5231582868354</v>
      </c>
      <c r="AK630" s="160">
        <f t="shared" si="163"/>
        <v>11.5231582868354</v>
      </c>
      <c r="AL630" s="160">
        <f t="shared" si="164"/>
        <v>11.5231582868354</v>
      </c>
      <c r="AM630" s="160">
        <f t="shared" si="165"/>
        <v>135</v>
      </c>
      <c r="AN630" s="114">
        <v>1</v>
      </c>
      <c r="AO630" s="114">
        <v>1</v>
      </c>
      <c r="AP630" s="114">
        <v>11.22</v>
      </c>
      <c r="AQ630" s="114">
        <v>137</v>
      </c>
      <c r="AR630" s="114">
        <v>1.58</v>
      </c>
      <c r="AS630" s="160">
        <v>28</v>
      </c>
      <c r="AT630" s="161">
        <v>12.5</v>
      </c>
      <c r="AU630" s="114">
        <v>69</v>
      </c>
      <c r="AV630" s="114">
        <v>144</v>
      </c>
      <c r="AZ630" s="119" t="s">
        <v>1850</v>
      </c>
    </row>
    <row r="631" spans="1:52">
      <c r="A631" s="113" t="s">
        <v>1374</v>
      </c>
      <c r="B631" s="117" t="s">
        <v>53</v>
      </c>
      <c r="C631" s="117">
        <v>66</v>
      </c>
      <c r="D631" s="135">
        <v>1.65</v>
      </c>
      <c r="E631" s="117">
        <v>55</v>
      </c>
      <c r="F631" s="136">
        <f t="shared" si="166"/>
        <v>20.2020202020202</v>
      </c>
      <c r="G631" s="308">
        <v>3</v>
      </c>
      <c r="H631" s="281">
        <v>45195</v>
      </c>
      <c r="I631" s="119" t="s">
        <v>1819</v>
      </c>
      <c r="J631" s="119" t="s">
        <v>1851</v>
      </c>
      <c r="L631" s="137">
        <v>2</v>
      </c>
      <c r="M631" s="138">
        <v>14</v>
      </c>
      <c r="N631" s="270" t="s">
        <v>1852</v>
      </c>
      <c r="O631" s="114">
        <v>1</v>
      </c>
      <c r="P631" s="114"/>
      <c r="Q631" s="114"/>
      <c r="R631" s="114"/>
      <c r="S631" s="114"/>
      <c r="T631" s="114">
        <v>1</v>
      </c>
      <c r="U631" s="114">
        <v>0</v>
      </c>
      <c r="V631" s="114">
        <v>1</v>
      </c>
      <c r="W631" s="114">
        <v>0</v>
      </c>
      <c r="X631" s="114">
        <v>1</v>
      </c>
      <c r="Y631" s="114">
        <v>1</v>
      </c>
      <c r="Z631" s="116" t="s">
        <v>307</v>
      </c>
      <c r="AA631" s="114">
        <v>3</v>
      </c>
      <c r="AB631" s="114">
        <f t="shared" si="174"/>
        <v>1</v>
      </c>
      <c r="AC631" s="114">
        <f t="shared" si="175"/>
        <v>2</v>
      </c>
      <c r="AD631" s="114">
        <f t="shared" si="176"/>
        <v>1</v>
      </c>
      <c r="AE631" s="114">
        <f t="shared" si="177"/>
        <v>8</v>
      </c>
      <c r="AF631" s="116" t="s">
        <v>63</v>
      </c>
      <c r="AG631" s="114">
        <f t="shared" si="171"/>
        <v>1.44444444444444</v>
      </c>
      <c r="AH631" s="114">
        <f t="shared" si="172"/>
        <v>0.407239819004525</v>
      </c>
      <c r="AI631" s="114">
        <f t="shared" si="173"/>
        <v>1.29</v>
      </c>
      <c r="AJ631" s="159">
        <f t="shared" si="162"/>
        <v>10.6493470102603</v>
      </c>
      <c r="AK631" s="160">
        <f t="shared" si="163"/>
        <v>10.6493470102603</v>
      </c>
      <c r="AL631" s="160">
        <f t="shared" si="164"/>
        <v>10.6493470102603</v>
      </c>
      <c r="AM631" s="160">
        <f t="shared" si="165"/>
        <v>135</v>
      </c>
      <c r="AN631" s="114">
        <v>1</v>
      </c>
      <c r="AO631" s="114">
        <v>1</v>
      </c>
      <c r="AP631" s="114">
        <v>1.55</v>
      </c>
      <c r="AQ631" s="114">
        <v>92</v>
      </c>
      <c r="AR631" s="114">
        <v>1.29</v>
      </c>
      <c r="AS631" s="160">
        <v>31</v>
      </c>
      <c r="AT631" s="161">
        <v>24.7</v>
      </c>
      <c r="AU631" s="114">
        <v>36</v>
      </c>
      <c r="AV631" s="114">
        <v>140</v>
      </c>
      <c r="AZ631" s="119" t="s">
        <v>1853</v>
      </c>
    </row>
    <row r="632" spans="1:52">
      <c r="A632" s="113" t="s">
        <v>1854</v>
      </c>
      <c r="B632" s="117" t="s">
        <v>53</v>
      </c>
      <c r="C632" s="117">
        <v>62</v>
      </c>
      <c r="D632" s="135">
        <v>1.57</v>
      </c>
      <c r="E632" s="117">
        <v>57</v>
      </c>
      <c r="F632" s="136">
        <f t="shared" si="166"/>
        <v>23.1246703720232</v>
      </c>
      <c r="G632" s="308">
        <v>1</v>
      </c>
      <c r="H632" s="281">
        <v>45196</v>
      </c>
      <c r="I632" s="119" t="s">
        <v>1855</v>
      </c>
      <c r="J632" s="119" t="s">
        <v>1856</v>
      </c>
      <c r="L632" s="137">
        <v>1</v>
      </c>
      <c r="M632" s="138">
        <v>16</v>
      </c>
      <c r="N632" s="270" t="s">
        <v>1857</v>
      </c>
      <c r="O632" s="114"/>
      <c r="P632" s="114"/>
      <c r="Q632" s="114">
        <v>1</v>
      </c>
      <c r="R632" s="114"/>
      <c r="S632" s="114"/>
      <c r="T632" s="114">
        <v>1</v>
      </c>
      <c r="U632" s="114">
        <v>0</v>
      </c>
      <c r="V632" s="114">
        <v>1</v>
      </c>
      <c r="W632" s="114">
        <v>0</v>
      </c>
      <c r="X632" s="114">
        <v>1</v>
      </c>
      <c r="Y632" s="114">
        <v>1</v>
      </c>
      <c r="Z632" s="116" t="s">
        <v>307</v>
      </c>
      <c r="AA632" s="114">
        <v>3</v>
      </c>
      <c r="AB632" s="114">
        <f t="shared" si="174"/>
        <v>1</v>
      </c>
      <c r="AC632" s="114">
        <f t="shared" si="175"/>
        <v>2</v>
      </c>
      <c r="AD632" s="114">
        <f t="shared" si="176"/>
        <v>1</v>
      </c>
      <c r="AE632" s="114">
        <f t="shared" si="177"/>
        <v>8</v>
      </c>
      <c r="AF632" s="116" t="s">
        <v>63</v>
      </c>
      <c r="AG632" s="114">
        <f t="shared" si="171"/>
        <v>0.64327485380117</v>
      </c>
      <c r="AH632" s="114">
        <f t="shared" si="172"/>
        <v>0.701357466063348</v>
      </c>
      <c r="AI632" s="114">
        <f t="shared" si="173"/>
        <v>1.17</v>
      </c>
      <c r="AJ632" s="159">
        <f t="shared" si="162"/>
        <v>8.15844198666824</v>
      </c>
      <c r="AK632" s="160">
        <f t="shared" si="163"/>
        <v>8.15844198666824</v>
      </c>
      <c r="AL632" s="160">
        <f t="shared" si="164"/>
        <v>8.15844198666824</v>
      </c>
      <c r="AM632" s="160">
        <f t="shared" si="165"/>
        <v>135</v>
      </c>
      <c r="AN632" s="114">
        <v>1</v>
      </c>
      <c r="AO632" s="114">
        <v>1</v>
      </c>
      <c r="AP632" s="114">
        <v>3.82</v>
      </c>
      <c r="AQ632" s="114">
        <v>93</v>
      </c>
      <c r="AR632" s="114">
        <v>1.17</v>
      </c>
      <c r="AS632" s="160">
        <v>32</v>
      </c>
      <c r="AT632" s="161">
        <v>11</v>
      </c>
      <c r="AU632" s="114">
        <v>62</v>
      </c>
      <c r="AV632" s="114">
        <v>136</v>
      </c>
      <c r="AZ632" s="119" t="s">
        <v>1858</v>
      </c>
    </row>
    <row r="633" spans="1:52">
      <c r="A633" s="113" t="s">
        <v>1654</v>
      </c>
      <c r="B633" s="117" t="s">
        <v>53</v>
      </c>
      <c r="C633" s="117">
        <v>65</v>
      </c>
      <c r="D633" s="135">
        <v>1.56</v>
      </c>
      <c r="E633" s="117">
        <v>53</v>
      </c>
      <c r="F633" s="136">
        <f t="shared" si="166"/>
        <v>21.7784352399737</v>
      </c>
      <c r="G633" s="308">
        <v>1</v>
      </c>
      <c r="H633" s="281">
        <v>45196</v>
      </c>
      <c r="I633" s="119" t="s">
        <v>1800</v>
      </c>
      <c r="J633" s="119" t="s">
        <v>1859</v>
      </c>
      <c r="L633" s="137">
        <v>2</v>
      </c>
      <c r="M633" s="138">
        <v>5</v>
      </c>
      <c r="N633" s="270" t="s">
        <v>1860</v>
      </c>
      <c r="O633" s="114"/>
      <c r="P633" s="114"/>
      <c r="Q633" s="114">
        <v>1</v>
      </c>
      <c r="R633" s="114"/>
      <c r="S633" s="114"/>
      <c r="T633" s="114">
        <v>0</v>
      </c>
      <c r="U633" s="114">
        <v>0</v>
      </c>
      <c r="V633" s="114">
        <v>1</v>
      </c>
      <c r="W633" s="114">
        <v>0</v>
      </c>
      <c r="X633" s="114">
        <v>1</v>
      </c>
      <c r="Y633" s="114">
        <v>1</v>
      </c>
      <c r="Z633" s="116" t="s">
        <v>58</v>
      </c>
      <c r="AA633" s="114">
        <v>1</v>
      </c>
      <c r="AB633" s="114">
        <f t="shared" si="174"/>
        <v>1</v>
      </c>
      <c r="AC633" s="114">
        <f t="shared" si="175"/>
        <v>2</v>
      </c>
      <c r="AD633" s="114">
        <f t="shared" si="176"/>
        <v>1</v>
      </c>
      <c r="AE633" s="114">
        <f t="shared" si="177"/>
        <v>6</v>
      </c>
      <c r="AF633" s="116" t="s">
        <v>59</v>
      </c>
      <c r="AG633" s="114">
        <f t="shared" si="171"/>
        <v>0.929824561403509</v>
      </c>
      <c r="AH633" s="114">
        <f t="shared" si="172"/>
        <v>0.599547511312217</v>
      </c>
      <c r="AI633" s="114">
        <f t="shared" si="173"/>
        <v>1.09</v>
      </c>
      <c r="AJ633" s="159">
        <f t="shared" si="162"/>
        <v>7.36519019789979</v>
      </c>
      <c r="AK633" s="160">
        <f t="shared" si="163"/>
        <v>7.36519019789979</v>
      </c>
      <c r="AL633" s="160">
        <f t="shared" si="164"/>
        <v>7.36519019789979</v>
      </c>
      <c r="AM633" s="160">
        <f t="shared" si="165"/>
        <v>135</v>
      </c>
      <c r="AN633" s="114">
        <v>1</v>
      </c>
      <c r="AO633" s="114">
        <v>1</v>
      </c>
      <c r="AP633" s="114">
        <v>2.67</v>
      </c>
      <c r="AQ633" s="114">
        <v>94</v>
      </c>
      <c r="AR633" s="114">
        <v>1.09</v>
      </c>
      <c r="AS633" s="160">
        <v>30</v>
      </c>
      <c r="AT633" s="161">
        <v>15.9</v>
      </c>
      <c r="AU633" s="114">
        <v>53</v>
      </c>
      <c r="AV633" s="114">
        <v>142</v>
      </c>
      <c r="AZ633" s="119" t="s">
        <v>1861</v>
      </c>
    </row>
    <row r="634" spans="1:52">
      <c r="A634" s="113" t="s">
        <v>396</v>
      </c>
      <c r="B634" s="117" t="s">
        <v>48</v>
      </c>
      <c r="C634" s="117">
        <v>52</v>
      </c>
      <c r="D634" s="135">
        <v>1.72</v>
      </c>
      <c r="E634" s="117" t="s">
        <v>1571</v>
      </c>
      <c r="F634" s="276" t="s">
        <v>1571</v>
      </c>
      <c r="G634" s="308">
        <v>3</v>
      </c>
      <c r="H634" s="281">
        <v>45197</v>
      </c>
      <c r="I634" s="119" t="s">
        <v>1805</v>
      </c>
      <c r="J634" s="119" t="s">
        <v>1862</v>
      </c>
      <c r="L634" s="137">
        <v>3</v>
      </c>
      <c r="M634" s="138">
        <v>8</v>
      </c>
      <c r="N634" s="270" t="s">
        <v>1863</v>
      </c>
      <c r="O634" s="114"/>
      <c r="P634" s="114"/>
      <c r="Q634" s="114"/>
      <c r="R634" s="114"/>
      <c r="S634" s="114">
        <v>1</v>
      </c>
      <c r="T634" s="114">
        <v>1</v>
      </c>
      <c r="U634" s="114">
        <v>1</v>
      </c>
      <c r="V634" s="114">
        <v>1</v>
      </c>
      <c r="W634" s="114">
        <v>0</v>
      </c>
      <c r="X634" s="114">
        <v>1</v>
      </c>
      <c r="Y634" s="114">
        <v>2</v>
      </c>
      <c r="Z634" s="116" t="s">
        <v>307</v>
      </c>
      <c r="AA634" s="114">
        <v>3</v>
      </c>
      <c r="AB634" s="114">
        <f t="shared" si="174"/>
        <v>2</v>
      </c>
      <c r="AC634" s="114">
        <f t="shared" si="175"/>
        <v>2</v>
      </c>
      <c r="AD634" s="114">
        <f t="shared" si="176"/>
        <v>1</v>
      </c>
      <c r="AE634" s="114">
        <f t="shared" si="177"/>
        <v>10</v>
      </c>
      <c r="AF634" s="116" t="s">
        <v>50</v>
      </c>
      <c r="AG634" s="114">
        <f t="shared" si="171"/>
        <v>2.80701754385965</v>
      </c>
      <c r="AH634" s="114">
        <f t="shared" si="172"/>
        <v>0.83710407239819</v>
      </c>
      <c r="AI634" s="114">
        <f t="shared" si="173"/>
        <v>1.56</v>
      </c>
      <c r="AJ634" s="159">
        <f t="shared" si="162"/>
        <v>15.3025468782454</v>
      </c>
      <c r="AK634" s="160">
        <f t="shared" si="163"/>
        <v>15.3025468782454</v>
      </c>
      <c r="AL634" s="160">
        <f t="shared" si="164"/>
        <v>15.3025468782454</v>
      </c>
      <c r="AM634" s="160">
        <f t="shared" si="165"/>
        <v>135</v>
      </c>
      <c r="AN634" s="114">
        <v>1</v>
      </c>
      <c r="AO634" s="114">
        <v>2</v>
      </c>
      <c r="AP634" s="114">
        <v>4.06</v>
      </c>
      <c r="AQ634" s="114">
        <v>110</v>
      </c>
      <c r="AR634" s="114">
        <v>1.56</v>
      </c>
      <c r="AS634" s="160">
        <v>30</v>
      </c>
      <c r="AT634" s="161">
        <v>48</v>
      </c>
      <c r="AU634" s="114">
        <v>74</v>
      </c>
      <c r="AV634" s="114">
        <v>142</v>
      </c>
      <c r="AZ634" s="119" t="s">
        <v>1864</v>
      </c>
    </row>
    <row r="635" spans="1:52">
      <c r="A635" s="113" t="s">
        <v>919</v>
      </c>
      <c r="B635" s="117" t="s">
        <v>48</v>
      </c>
      <c r="C635" s="117">
        <v>58</v>
      </c>
      <c r="D635" s="135">
        <v>1.78</v>
      </c>
      <c r="E635" s="117">
        <v>72</v>
      </c>
      <c r="F635" s="136">
        <f t="shared" si="166"/>
        <v>22.7244034844085</v>
      </c>
      <c r="G635" s="308">
        <v>0</v>
      </c>
      <c r="H635" s="281">
        <v>45204</v>
      </c>
      <c r="I635" s="119" t="s">
        <v>1827</v>
      </c>
      <c r="J635" s="119" t="s">
        <v>1851</v>
      </c>
      <c r="L635" s="137">
        <v>9</v>
      </c>
      <c r="M635" s="138">
        <v>5</v>
      </c>
      <c r="N635" s="270" t="s">
        <v>1865</v>
      </c>
      <c r="O635" s="114"/>
      <c r="P635" s="114">
        <v>1</v>
      </c>
      <c r="Q635" s="114"/>
      <c r="R635" s="114"/>
      <c r="S635" s="114"/>
      <c r="T635" s="114">
        <v>0</v>
      </c>
      <c r="U635" s="114">
        <v>0</v>
      </c>
      <c r="V635" s="114">
        <v>1</v>
      </c>
      <c r="W635" s="114">
        <v>0</v>
      </c>
      <c r="X635" s="114">
        <v>1</v>
      </c>
      <c r="Y635" s="114">
        <v>1</v>
      </c>
      <c r="Z635" s="116" t="s">
        <v>58</v>
      </c>
      <c r="AA635" s="114">
        <v>1</v>
      </c>
      <c r="AB635" s="114">
        <f t="shared" si="174"/>
        <v>1</v>
      </c>
      <c r="AC635" s="114">
        <f t="shared" si="175"/>
        <v>1</v>
      </c>
      <c r="AD635" s="114">
        <f t="shared" si="176"/>
        <v>1</v>
      </c>
      <c r="AE635" s="114">
        <f t="shared" si="177"/>
        <v>5</v>
      </c>
      <c r="AF635" s="116" t="s">
        <v>59</v>
      </c>
      <c r="AG635" s="114">
        <f t="shared" si="171"/>
        <v>0.842105263157895</v>
      </c>
      <c r="AH635" s="114">
        <f t="shared" si="172"/>
        <v>0.712669683257918</v>
      </c>
      <c r="AI635" s="114">
        <f t="shared" si="173"/>
        <v>1.02</v>
      </c>
      <c r="AJ635" s="159">
        <f t="shared" si="162"/>
        <v>0.221789425717213</v>
      </c>
      <c r="AK635" s="160">
        <f t="shared" si="163"/>
        <v>0.221789425717213</v>
      </c>
      <c r="AL635" s="160">
        <f t="shared" si="164"/>
        <v>0.221789425717213</v>
      </c>
      <c r="AM635" s="160">
        <f t="shared" si="165"/>
        <v>135</v>
      </c>
      <c r="AN635" s="114">
        <v>0</v>
      </c>
      <c r="AO635" s="114">
        <v>1</v>
      </c>
      <c r="AP635" s="114">
        <v>3.48</v>
      </c>
      <c r="AQ635" s="114">
        <v>159</v>
      </c>
      <c r="AR635" s="114">
        <v>1.02</v>
      </c>
      <c r="AS635" s="160">
        <v>39</v>
      </c>
      <c r="AT635" s="161">
        <v>14.4</v>
      </c>
      <c r="AU635" s="114">
        <v>63</v>
      </c>
      <c r="AV635" s="114">
        <v>139</v>
      </c>
      <c r="AZ635" s="119" t="s">
        <v>1866</v>
      </c>
    </row>
    <row r="636" s="123" customFormat="1" spans="1:52">
      <c r="A636" s="285" t="s">
        <v>1629</v>
      </c>
      <c r="B636" s="123" t="s">
        <v>53</v>
      </c>
      <c r="C636" s="123">
        <v>69</v>
      </c>
      <c r="D636" s="176">
        <v>1.62</v>
      </c>
      <c r="E636" s="123">
        <v>58</v>
      </c>
      <c r="F636" s="189">
        <f t="shared" si="166"/>
        <v>22.1002895900015</v>
      </c>
      <c r="G636" s="309">
        <v>3</v>
      </c>
      <c r="H636" s="286">
        <v>45204</v>
      </c>
      <c r="I636" s="132" t="s">
        <v>1867</v>
      </c>
      <c r="J636" s="132" t="s">
        <v>1630</v>
      </c>
      <c r="K636" s="123"/>
      <c r="L636" s="178">
        <v>1</v>
      </c>
      <c r="M636" s="178">
        <v>4</v>
      </c>
      <c r="N636" s="254" t="s">
        <v>1868</v>
      </c>
      <c r="O636" s="123"/>
      <c r="P636" s="123"/>
      <c r="Q636" s="123"/>
      <c r="R636" s="123"/>
      <c r="S636" s="123">
        <v>1</v>
      </c>
      <c r="T636" s="123">
        <v>1</v>
      </c>
      <c r="U636" s="123">
        <v>0</v>
      </c>
      <c r="V636" s="123">
        <v>1</v>
      </c>
      <c r="W636" s="123">
        <v>0</v>
      </c>
      <c r="X636" s="123">
        <v>1</v>
      </c>
      <c r="Y636" s="123">
        <v>1</v>
      </c>
      <c r="Z636" s="132" t="s">
        <v>300</v>
      </c>
      <c r="AA636" s="123">
        <v>2</v>
      </c>
      <c r="AB636" s="123">
        <f t="shared" si="174"/>
        <v>1</v>
      </c>
      <c r="AC636" s="123">
        <f t="shared" si="175"/>
        <v>2</v>
      </c>
      <c r="AD636" s="123">
        <f t="shared" si="176"/>
        <v>1</v>
      </c>
      <c r="AE636" s="123">
        <f t="shared" si="177"/>
        <v>7</v>
      </c>
      <c r="AF636" s="132" t="s">
        <v>63</v>
      </c>
      <c r="AG636" s="123">
        <f t="shared" si="171"/>
        <v>0.60233918128655</v>
      </c>
      <c r="AH636" s="123">
        <f t="shared" si="172"/>
        <v>0.542986425339366</v>
      </c>
      <c r="AI636" s="123">
        <f t="shared" si="173"/>
        <v>1.13</v>
      </c>
      <c r="AJ636" s="266">
        <f t="shared" si="162"/>
        <v>7.76883748651159</v>
      </c>
      <c r="AK636" s="267">
        <f t="shared" si="163"/>
        <v>7.76883748651159</v>
      </c>
      <c r="AL636" s="267">
        <f t="shared" si="164"/>
        <v>7.76883748651159</v>
      </c>
      <c r="AM636" s="267">
        <f t="shared" si="165"/>
        <v>135</v>
      </c>
      <c r="AN636" s="123">
        <v>1</v>
      </c>
      <c r="AO636" s="123">
        <v>1</v>
      </c>
      <c r="AP636" s="123">
        <v>1.66</v>
      </c>
      <c r="AQ636" s="123">
        <v>85</v>
      </c>
      <c r="AR636" s="123">
        <v>1.13</v>
      </c>
      <c r="AS636" s="267">
        <v>34</v>
      </c>
      <c r="AT636" s="268">
        <v>10.3</v>
      </c>
      <c r="AU636" s="123">
        <v>48</v>
      </c>
      <c r="AV636" s="123">
        <v>137</v>
      </c>
      <c r="AW636" s="123"/>
      <c r="AX636" s="123"/>
      <c r="AY636" s="123"/>
      <c r="AZ636" s="132" t="s">
        <v>1632</v>
      </c>
    </row>
    <row r="637" spans="1:52">
      <c r="A637" s="113" t="s">
        <v>436</v>
      </c>
      <c r="B637" s="117" t="s">
        <v>53</v>
      </c>
      <c r="C637" s="117">
        <v>65</v>
      </c>
      <c r="D637" s="135">
        <v>1.58</v>
      </c>
      <c r="E637" s="117">
        <v>50</v>
      </c>
      <c r="F637" s="136">
        <f t="shared" si="166"/>
        <v>20.0288415318058</v>
      </c>
      <c r="G637" s="308">
        <v>3</v>
      </c>
      <c r="H637" s="281">
        <v>45200</v>
      </c>
      <c r="I637" s="119" t="s">
        <v>1838</v>
      </c>
      <c r="J637" s="119" t="s">
        <v>1869</v>
      </c>
      <c r="L637" s="137">
        <v>3</v>
      </c>
      <c r="M637" s="138">
        <v>20</v>
      </c>
      <c r="N637" s="270" t="s">
        <v>1870</v>
      </c>
      <c r="O637" s="114"/>
      <c r="P637" s="114"/>
      <c r="Q637" s="114">
        <v>1</v>
      </c>
      <c r="R637" s="114"/>
      <c r="S637" s="114"/>
      <c r="T637" s="114">
        <v>1</v>
      </c>
      <c r="U637" s="114">
        <v>0</v>
      </c>
      <c r="V637" s="114">
        <v>1</v>
      </c>
      <c r="W637" s="114">
        <v>0</v>
      </c>
      <c r="X637" s="114">
        <v>1</v>
      </c>
      <c r="Y637" s="114">
        <v>1</v>
      </c>
      <c r="Z637" s="116" t="s">
        <v>300</v>
      </c>
      <c r="AA637" s="114">
        <v>2</v>
      </c>
      <c r="AB637" s="114">
        <f t="shared" si="174"/>
        <v>1</v>
      </c>
      <c r="AC637" s="114">
        <f t="shared" si="175"/>
        <v>3</v>
      </c>
      <c r="AD637" s="114">
        <f t="shared" si="176"/>
        <v>1</v>
      </c>
      <c r="AE637" s="114">
        <f t="shared" si="177"/>
        <v>8</v>
      </c>
      <c r="AF637" s="116" t="s">
        <v>63</v>
      </c>
      <c r="AG637" s="114">
        <f t="shared" si="171"/>
        <v>0.941520467836257</v>
      </c>
      <c r="AH637" s="114">
        <f t="shared" si="172"/>
        <v>0.701357466063348</v>
      </c>
      <c r="AI637" s="114">
        <f t="shared" si="173"/>
        <v>1.18</v>
      </c>
      <c r="AJ637" s="159">
        <f t="shared" si="162"/>
        <v>8.25376171094882</v>
      </c>
      <c r="AK637" s="160">
        <f t="shared" si="163"/>
        <v>8.25376171094882</v>
      </c>
      <c r="AL637" s="160">
        <f t="shared" si="164"/>
        <v>8.25376171094882</v>
      </c>
      <c r="AM637" s="160">
        <f t="shared" si="165"/>
        <v>135</v>
      </c>
      <c r="AN637" s="114">
        <v>1</v>
      </c>
      <c r="AO637" s="114">
        <v>1</v>
      </c>
      <c r="AP637" s="114">
        <v>2.88</v>
      </c>
      <c r="AQ637" s="114">
        <v>91</v>
      </c>
      <c r="AR637" s="114">
        <v>1.18</v>
      </c>
      <c r="AS637" s="160">
        <v>27</v>
      </c>
      <c r="AT637" s="161">
        <v>16.1</v>
      </c>
      <c r="AU637" s="114">
        <v>62</v>
      </c>
      <c r="AV637" s="114">
        <v>141</v>
      </c>
      <c r="AZ637" s="119" t="s">
        <v>1871</v>
      </c>
    </row>
    <row r="638" spans="1:52">
      <c r="A638" s="113" t="s">
        <v>1872</v>
      </c>
      <c r="B638" s="117" t="s">
        <v>48</v>
      </c>
      <c r="C638" s="117">
        <v>72</v>
      </c>
      <c r="D638" s="135">
        <v>1.72</v>
      </c>
      <c r="E638" s="117">
        <v>78</v>
      </c>
      <c r="F638" s="136">
        <f t="shared" si="166"/>
        <v>26.3656030286641</v>
      </c>
      <c r="G638" s="308">
        <v>1</v>
      </c>
      <c r="H638" s="281">
        <v>45207</v>
      </c>
      <c r="I638" s="119" t="s">
        <v>1831</v>
      </c>
      <c r="J638" s="119" t="s">
        <v>1873</v>
      </c>
      <c r="L638" s="137">
        <v>2</v>
      </c>
      <c r="M638" s="138">
        <v>5</v>
      </c>
      <c r="N638" s="270" t="s">
        <v>1874</v>
      </c>
      <c r="O638" s="114"/>
      <c r="P638" s="114">
        <v>1</v>
      </c>
      <c r="Q638" s="114"/>
      <c r="R638" s="114"/>
      <c r="S638" s="114"/>
      <c r="T638" s="114">
        <v>1</v>
      </c>
      <c r="U638" s="114">
        <v>0</v>
      </c>
      <c r="V638" s="114">
        <v>1</v>
      </c>
      <c r="W638" s="114">
        <v>0</v>
      </c>
      <c r="X638" s="114">
        <v>1</v>
      </c>
      <c r="Y638" s="114">
        <v>1</v>
      </c>
      <c r="Z638" s="116" t="s">
        <v>300</v>
      </c>
      <c r="AA638" s="114">
        <v>2</v>
      </c>
      <c r="AB638" s="114">
        <f t="shared" si="174"/>
        <v>1</v>
      </c>
      <c r="AC638" s="114">
        <f t="shared" si="175"/>
        <v>2</v>
      </c>
      <c r="AD638" s="114">
        <f t="shared" si="176"/>
        <v>1</v>
      </c>
      <c r="AE638" s="114">
        <f t="shared" si="177"/>
        <v>7</v>
      </c>
      <c r="AF638" s="116" t="s">
        <v>63</v>
      </c>
      <c r="AG638" s="114">
        <f t="shared" si="171"/>
        <v>1.45614035087719</v>
      </c>
      <c r="AH638" s="114">
        <f t="shared" si="172"/>
        <v>0.712669683257918</v>
      </c>
      <c r="AI638" s="114">
        <f t="shared" si="173"/>
        <v>1.17</v>
      </c>
      <c r="AJ638" s="159">
        <f t="shared" si="162"/>
        <v>3.18644147852403</v>
      </c>
      <c r="AK638" s="160">
        <f t="shared" si="163"/>
        <v>3.18644147852403</v>
      </c>
      <c r="AL638" s="160">
        <f t="shared" si="164"/>
        <v>3.18644147852403</v>
      </c>
      <c r="AM638" s="160">
        <f t="shared" si="165"/>
        <v>135</v>
      </c>
      <c r="AN638" s="114">
        <v>0</v>
      </c>
      <c r="AO638" s="114">
        <v>1</v>
      </c>
      <c r="AP638" s="114">
        <v>0.83</v>
      </c>
      <c r="AQ638" s="114">
        <v>72</v>
      </c>
      <c r="AR638" s="114">
        <v>1.17</v>
      </c>
      <c r="AS638" s="160">
        <v>34</v>
      </c>
      <c r="AT638" s="161">
        <v>24.9</v>
      </c>
      <c r="AU638" s="114">
        <v>63</v>
      </c>
      <c r="AV638" s="114">
        <v>146</v>
      </c>
      <c r="AZ638" s="119" t="s">
        <v>1875</v>
      </c>
    </row>
    <row r="639" spans="1:52">
      <c r="A639" s="113" t="s">
        <v>1876</v>
      </c>
      <c r="B639" s="117" t="s">
        <v>48</v>
      </c>
      <c r="C639" s="117">
        <v>55</v>
      </c>
      <c r="D639" s="135">
        <v>1.73</v>
      </c>
      <c r="E639" s="117">
        <v>86</v>
      </c>
      <c r="F639" s="136">
        <f t="shared" si="166"/>
        <v>28.734672057202</v>
      </c>
      <c r="G639" s="308">
        <v>0</v>
      </c>
      <c r="H639" s="281">
        <v>45210</v>
      </c>
      <c r="I639" s="119" t="s">
        <v>1877</v>
      </c>
      <c r="J639" s="119" t="s">
        <v>1878</v>
      </c>
      <c r="L639" s="137">
        <v>1</v>
      </c>
      <c r="M639" s="138">
        <v>7</v>
      </c>
      <c r="N639" s="270" t="s">
        <v>1879</v>
      </c>
      <c r="O639" s="114"/>
      <c r="P639" s="114">
        <v>1</v>
      </c>
      <c r="Q639" s="114"/>
      <c r="R639" s="114"/>
      <c r="S639" s="114"/>
      <c r="T639" s="114">
        <v>0</v>
      </c>
      <c r="U639" s="114">
        <v>0</v>
      </c>
      <c r="V639" s="114">
        <v>0</v>
      </c>
      <c r="W639" s="114">
        <v>0</v>
      </c>
      <c r="X639" s="114">
        <v>0</v>
      </c>
      <c r="Y639" s="114">
        <v>1</v>
      </c>
      <c r="Z639" s="116" t="s">
        <v>58</v>
      </c>
      <c r="AA639" s="114">
        <v>1</v>
      </c>
      <c r="AB639" s="114">
        <f t="shared" si="174"/>
        <v>1</v>
      </c>
      <c r="AC639" s="114">
        <f t="shared" si="175"/>
        <v>1</v>
      </c>
      <c r="AD639" s="114">
        <f t="shared" si="176"/>
        <v>1</v>
      </c>
      <c r="AE639" s="114">
        <f t="shared" si="177"/>
        <v>5</v>
      </c>
      <c r="AF639" s="116" t="s">
        <v>59</v>
      </c>
      <c r="AG639" s="114">
        <f t="shared" si="171"/>
        <v>1.01754385964912</v>
      </c>
      <c r="AH639" s="114">
        <f t="shared" si="172"/>
        <v>0.83710407239819</v>
      </c>
      <c r="AI639" s="114">
        <f t="shared" si="173"/>
        <v>0.93</v>
      </c>
      <c r="AJ639" s="159">
        <f t="shared" si="162"/>
        <v>0.0660886223051023</v>
      </c>
      <c r="AK639" s="160">
        <f t="shared" si="163"/>
        <v>0.0660886223051023</v>
      </c>
      <c r="AL639" s="160">
        <f t="shared" si="164"/>
        <v>0.0660886223051023</v>
      </c>
      <c r="AM639" s="160">
        <f t="shared" si="165"/>
        <v>135</v>
      </c>
      <c r="AN639" s="114">
        <v>0</v>
      </c>
      <c r="AO639" s="114">
        <v>1</v>
      </c>
      <c r="AP639" s="114">
        <v>5.73</v>
      </c>
      <c r="AQ639" s="114">
        <v>157</v>
      </c>
      <c r="AR639" s="114">
        <v>0.93</v>
      </c>
      <c r="AS639" s="160">
        <v>39</v>
      </c>
      <c r="AT639" s="161">
        <v>17.4</v>
      </c>
      <c r="AU639" s="114">
        <v>74</v>
      </c>
      <c r="AV639" s="114">
        <v>140</v>
      </c>
      <c r="AZ639" s="119" t="s">
        <v>1880</v>
      </c>
    </row>
    <row r="640" spans="1:52">
      <c r="A640" s="113" t="s">
        <v>778</v>
      </c>
      <c r="B640" s="117" t="s">
        <v>53</v>
      </c>
      <c r="C640" s="117">
        <v>57</v>
      </c>
      <c r="D640" s="135">
        <v>1.6</v>
      </c>
      <c r="E640" s="117">
        <v>66</v>
      </c>
      <c r="F640" s="136">
        <f t="shared" si="166"/>
        <v>25.78125</v>
      </c>
      <c r="G640" s="308">
        <v>0</v>
      </c>
      <c r="H640" s="281">
        <v>45210</v>
      </c>
      <c r="I640" s="119" t="s">
        <v>1877</v>
      </c>
      <c r="J640" s="119" t="s">
        <v>1881</v>
      </c>
      <c r="L640" s="137">
        <v>5</v>
      </c>
      <c r="M640" s="138">
        <v>5</v>
      </c>
      <c r="N640" s="270" t="s">
        <v>1882</v>
      </c>
      <c r="O640" s="114"/>
      <c r="P640" s="114"/>
      <c r="Q640" s="114"/>
      <c r="R640" s="114"/>
      <c r="S640" s="116" t="s">
        <v>1083</v>
      </c>
      <c r="T640" s="114">
        <v>1</v>
      </c>
      <c r="U640" s="114">
        <v>0</v>
      </c>
      <c r="V640" s="114">
        <v>1</v>
      </c>
      <c r="W640" s="114">
        <v>0</v>
      </c>
      <c r="X640" s="114">
        <v>1</v>
      </c>
      <c r="Y640" s="114">
        <v>1</v>
      </c>
      <c r="Z640" s="116" t="s">
        <v>300</v>
      </c>
      <c r="AA640" s="114">
        <v>2</v>
      </c>
      <c r="AB640" s="114">
        <f t="shared" si="174"/>
        <v>1</v>
      </c>
      <c r="AC640" s="114">
        <f t="shared" si="175"/>
        <v>2</v>
      </c>
      <c r="AD640" s="114">
        <f t="shared" si="176"/>
        <v>1</v>
      </c>
      <c r="AE640" s="114">
        <f t="shared" si="177"/>
        <v>7</v>
      </c>
      <c r="AF640" s="116" t="s">
        <v>63</v>
      </c>
      <c r="AG640" s="114">
        <f t="shared" si="171"/>
        <v>1.95321637426901</v>
      </c>
      <c r="AH640" s="114">
        <f t="shared" si="172"/>
        <v>0.497737556561086</v>
      </c>
      <c r="AI640" s="114">
        <f t="shared" si="173"/>
        <v>1.29</v>
      </c>
      <c r="AJ640" s="159">
        <f t="shared" si="162"/>
        <v>11.7960071043855</v>
      </c>
      <c r="AK640" s="160">
        <f t="shared" si="163"/>
        <v>11.7960071043855</v>
      </c>
      <c r="AL640" s="160">
        <f t="shared" si="164"/>
        <v>11.7960071043855</v>
      </c>
      <c r="AM640" s="160">
        <f t="shared" si="165"/>
        <v>135</v>
      </c>
      <c r="AN640" s="114">
        <v>1</v>
      </c>
      <c r="AO640" s="114">
        <v>1</v>
      </c>
      <c r="AP640" s="114">
        <v>3.24</v>
      </c>
      <c r="AQ640" s="114">
        <v>70</v>
      </c>
      <c r="AR640" s="114">
        <v>1.29</v>
      </c>
      <c r="AS640" s="160">
        <v>33</v>
      </c>
      <c r="AT640" s="161">
        <v>33.4</v>
      </c>
      <c r="AU640" s="114">
        <v>44</v>
      </c>
      <c r="AV640" s="114">
        <v>141</v>
      </c>
      <c r="AZ640" s="119" t="s">
        <v>1883</v>
      </c>
    </row>
    <row r="641" spans="1:52">
      <c r="A641" s="113" t="s">
        <v>1884</v>
      </c>
      <c r="B641" s="117" t="s">
        <v>48</v>
      </c>
      <c r="C641" s="117">
        <v>67</v>
      </c>
      <c r="D641" s="135">
        <v>1.72</v>
      </c>
      <c r="E641" s="117">
        <v>60</v>
      </c>
      <c r="F641" s="136">
        <f t="shared" si="166"/>
        <v>20.2812330989724</v>
      </c>
      <c r="G641" s="308">
        <v>3</v>
      </c>
      <c r="H641" s="281">
        <v>45210</v>
      </c>
      <c r="I641" s="119" t="s">
        <v>1877</v>
      </c>
      <c r="J641" s="119" t="s">
        <v>1878</v>
      </c>
      <c r="L641" s="137">
        <v>1</v>
      </c>
      <c r="M641" s="138">
        <v>7</v>
      </c>
      <c r="N641" s="270" t="s">
        <v>1885</v>
      </c>
      <c r="O641" s="114"/>
      <c r="P641" s="114"/>
      <c r="Q641" s="114"/>
      <c r="R641" s="114"/>
      <c r="S641" s="116" t="s">
        <v>1083</v>
      </c>
      <c r="T641" s="114">
        <v>1</v>
      </c>
      <c r="U641" s="114">
        <v>0</v>
      </c>
      <c r="V641" s="114">
        <v>1</v>
      </c>
      <c r="W641" s="114">
        <v>0</v>
      </c>
      <c r="X641" s="114">
        <v>1</v>
      </c>
      <c r="Y641" s="114">
        <v>1</v>
      </c>
      <c r="Z641" s="116" t="s">
        <v>300</v>
      </c>
      <c r="AA641" s="114">
        <v>2</v>
      </c>
      <c r="AB641" s="114">
        <f t="shared" si="174"/>
        <v>1</v>
      </c>
      <c r="AC641" s="114">
        <f t="shared" si="175"/>
        <v>3</v>
      </c>
      <c r="AD641" s="114">
        <f t="shared" si="176"/>
        <v>1</v>
      </c>
      <c r="AE641" s="114">
        <f t="shared" si="177"/>
        <v>8</v>
      </c>
      <c r="AF641" s="116" t="s">
        <v>63</v>
      </c>
      <c r="AG641" s="114">
        <f t="shared" si="171"/>
        <v>1.62573099415205</v>
      </c>
      <c r="AH641" s="114">
        <f t="shared" si="172"/>
        <v>0.678733031674208</v>
      </c>
      <c r="AI641" s="114">
        <f t="shared" si="173"/>
        <v>1.06</v>
      </c>
      <c r="AJ641" s="159">
        <f t="shared" si="162"/>
        <v>8.89925048830284</v>
      </c>
      <c r="AK641" s="160">
        <f t="shared" si="163"/>
        <v>8.89925048830284</v>
      </c>
      <c r="AL641" s="160">
        <f t="shared" si="164"/>
        <v>8.89925048830284</v>
      </c>
      <c r="AM641" s="160">
        <f t="shared" si="165"/>
        <v>135</v>
      </c>
      <c r="AN641" s="114">
        <v>1</v>
      </c>
      <c r="AO641" s="114">
        <v>1</v>
      </c>
      <c r="AP641" s="114">
        <v>3.37</v>
      </c>
      <c r="AQ641" s="114">
        <v>52</v>
      </c>
      <c r="AR641" s="114">
        <v>1.06</v>
      </c>
      <c r="AS641" s="160">
        <v>26</v>
      </c>
      <c r="AT641" s="161">
        <v>27.8</v>
      </c>
      <c r="AU641" s="114">
        <v>60</v>
      </c>
      <c r="AV641" s="114">
        <v>139</v>
      </c>
      <c r="AZ641" s="119" t="s">
        <v>1886</v>
      </c>
    </row>
    <row r="642" s="123" customFormat="1" spans="1:52">
      <c r="A642" s="285" t="s">
        <v>998</v>
      </c>
      <c r="B642" s="123" t="s">
        <v>53</v>
      </c>
      <c r="C642" s="123">
        <v>68</v>
      </c>
      <c r="D642" s="176">
        <v>1.55</v>
      </c>
      <c r="E642" s="123">
        <v>45</v>
      </c>
      <c r="F642" s="189">
        <f>E642/(D642*D642)</f>
        <v>18.7304890738814</v>
      </c>
      <c r="G642" s="309">
        <v>7</v>
      </c>
      <c r="H642" s="286">
        <v>45212</v>
      </c>
      <c r="I642" s="132" t="s">
        <v>1873</v>
      </c>
      <c r="J642" s="132" t="s">
        <v>1887</v>
      </c>
      <c r="L642" s="178">
        <v>2</v>
      </c>
      <c r="M642" s="178">
        <v>10</v>
      </c>
      <c r="N642" s="254" t="s">
        <v>1888</v>
      </c>
      <c r="O642" s="114">
        <v>1</v>
      </c>
      <c r="P642" s="114"/>
      <c r="Q642" s="114"/>
      <c r="R642" s="114"/>
      <c r="S642" s="114"/>
      <c r="T642" s="114">
        <v>1</v>
      </c>
      <c r="U642" s="114">
        <v>0</v>
      </c>
      <c r="V642" s="114">
        <v>1</v>
      </c>
      <c r="W642" s="114">
        <v>0</v>
      </c>
      <c r="X642" s="114">
        <v>1</v>
      </c>
      <c r="Y642" s="114">
        <v>1</v>
      </c>
      <c r="Z642" s="116" t="s">
        <v>321</v>
      </c>
      <c r="AA642" s="114">
        <v>3</v>
      </c>
      <c r="AB642" s="114">
        <f t="shared" si="174"/>
        <v>1</v>
      </c>
      <c r="AC642" s="114">
        <f t="shared" si="175"/>
        <v>2</v>
      </c>
      <c r="AD642" s="114">
        <f t="shared" si="176"/>
        <v>1</v>
      </c>
      <c r="AE642" s="114">
        <f t="shared" si="177"/>
        <v>8</v>
      </c>
      <c r="AF642" s="116" t="s">
        <v>63</v>
      </c>
      <c r="AG642" s="114">
        <f t="shared" si="171"/>
        <v>1.78362573099415</v>
      </c>
      <c r="AH642" s="114"/>
      <c r="AI642" s="114">
        <f t="shared" si="173"/>
        <v>1.32</v>
      </c>
      <c r="AJ642" s="159">
        <f t="shared" si="162"/>
        <v>11.7083386862988</v>
      </c>
      <c r="AK642" s="160" t="str">
        <f>IF(AND(AG642&gt;0,AH642&gt;0,AI642&gt;0),AJ642,"")</f>
        <v/>
      </c>
      <c r="AL642" s="160"/>
      <c r="AM642" s="160">
        <f>IF(AV642&gt;135,135,IF(AV642&lt;120,120,AV642))</f>
        <v>128</v>
      </c>
      <c r="AN642" s="114">
        <v>1</v>
      </c>
      <c r="AO642" s="114"/>
      <c r="AP642" s="114">
        <v>5.95</v>
      </c>
      <c r="AQ642" s="114">
        <v>102</v>
      </c>
      <c r="AR642" s="114">
        <v>1.32</v>
      </c>
      <c r="AS642" s="160">
        <v>29</v>
      </c>
      <c r="AT642" s="161">
        <v>30.5</v>
      </c>
      <c r="AU642" s="114"/>
      <c r="AV642" s="114">
        <v>128</v>
      </c>
      <c r="AZ642" s="132" t="s">
        <v>1889</v>
      </c>
    </row>
    <row r="643" spans="1:52">
      <c r="A643" s="113" t="s">
        <v>982</v>
      </c>
      <c r="B643" s="119" t="s">
        <v>48</v>
      </c>
      <c r="C643" s="117">
        <v>55</v>
      </c>
      <c r="D643" s="135" t="s">
        <v>1571</v>
      </c>
      <c r="E643" s="117" t="s">
        <v>1571</v>
      </c>
      <c r="F643" s="276" t="s">
        <v>1571</v>
      </c>
      <c r="G643" s="308">
        <v>1</v>
      </c>
      <c r="H643" s="281">
        <v>45213</v>
      </c>
      <c r="I643" s="119" t="s">
        <v>1747</v>
      </c>
      <c r="J643" s="119" t="s">
        <v>1890</v>
      </c>
      <c r="L643" s="137">
        <v>4</v>
      </c>
      <c r="M643" s="138">
        <v>11</v>
      </c>
      <c r="N643" s="270" t="s">
        <v>1891</v>
      </c>
      <c r="O643" s="114"/>
      <c r="P643" s="114">
        <v>1</v>
      </c>
      <c r="Q643" s="114"/>
      <c r="R643" s="114"/>
      <c r="S643" s="114"/>
      <c r="T643" s="114">
        <v>1</v>
      </c>
      <c r="U643" s="114">
        <v>1</v>
      </c>
      <c r="V643" s="114">
        <v>1</v>
      </c>
      <c r="W643" s="114">
        <v>1</v>
      </c>
      <c r="X643" s="114">
        <v>1</v>
      </c>
      <c r="Y643" s="114">
        <v>2</v>
      </c>
      <c r="Z643" s="116" t="s">
        <v>321</v>
      </c>
      <c r="AA643" s="114">
        <v>3</v>
      </c>
      <c r="AB643" s="114">
        <f t="shared" si="174"/>
        <v>2</v>
      </c>
      <c r="AC643" s="114">
        <f t="shared" si="175"/>
        <v>3</v>
      </c>
      <c r="AD643" s="114">
        <f t="shared" si="176"/>
        <v>2</v>
      </c>
      <c r="AE643" s="114">
        <f t="shared" si="177"/>
        <v>12</v>
      </c>
      <c r="AF643" s="116" t="s">
        <v>50</v>
      </c>
      <c r="AG643" s="114">
        <f t="shared" si="171"/>
        <v>2.58479532163743</v>
      </c>
      <c r="AH643" s="114">
        <f>AU643/88.4</f>
        <v>1.33484162895928</v>
      </c>
      <c r="AI643" s="114">
        <f t="shared" si="173"/>
        <v>2.27</v>
      </c>
      <c r="AJ643" s="159">
        <f t="shared" si="162"/>
        <v>15.5627916362021</v>
      </c>
      <c r="AK643" s="160">
        <f>IF(AND(AG643&gt;0,AH643&gt;0,AI643&gt;0),AJ643,"")</f>
        <v>15.5627916362021</v>
      </c>
      <c r="AL643" s="160">
        <f>AK643+1.59*(135-AM643)</f>
        <v>15.5627916362021</v>
      </c>
      <c r="AM643" s="160">
        <f>IF(AV643&gt;135,135,IF(AV643&lt;120,120,AV643))</f>
        <v>135</v>
      </c>
      <c r="AN643" s="114">
        <v>0</v>
      </c>
      <c r="AO643" s="114">
        <v>2</v>
      </c>
      <c r="AP643" s="114">
        <v>10.14</v>
      </c>
      <c r="AQ643" s="114">
        <v>61</v>
      </c>
      <c r="AR643" s="114">
        <v>2.27</v>
      </c>
      <c r="AS643" s="160">
        <v>24</v>
      </c>
      <c r="AT643" s="161">
        <v>44.2</v>
      </c>
      <c r="AU643" s="114">
        <v>118</v>
      </c>
      <c r="AV643" s="114">
        <v>135</v>
      </c>
      <c r="AZ643" s="119" t="s">
        <v>1892</v>
      </c>
    </row>
    <row r="644" spans="1:52">
      <c r="A644" s="113" t="s">
        <v>1893</v>
      </c>
      <c r="B644" s="119" t="s">
        <v>48</v>
      </c>
      <c r="C644" s="117">
        <v>38</v>
      </c>
      <c r="D644" s="135">
        <v>1.75</v>
      </c>
      <c r="E644" s="117">
        <v>79</v>
      </c>
      <c r="F644" s="136">
        <f>E644/(D644*D644)</f>
        <v>25.7959183673469</v>
      </c>
      <c r="G644" s="308">
        <v>0</v>
      </c>
      <c r="H644" s="281">
        <v>45215</v>
      </c>
      <c r="I644" s="119" t="s">
        <v>1881</v>
      </c>
      <c r="J644" s="119" t="s">
        <v>1887</v>
      </c>
      <c r="L644" s="137">
        <v>1</v>
      </c>
      <c r="M644" s="138">
        <v>7</v>
      </c>
      <c r="N644" s="270" t="s">
        <v>1894</v>
      </c>
      <c r="O644" s="114"/>
      <c r="P644" s="114"/>
      <c r="Q644" s="114"/>
      <c r="R644" s="114"/>
      <c r="S644" s="114">
        <v>1</v>
      </c>
      <c r="T644" s="114">
        <v>0</v>
      </c>
      <c r="U644" s="114">
        <v>0</v>
      </c>
      <c r="V644" s="114">
        <v>1</v>
      </c>
      <c r="W644" s="114">
        <v>0</v>
      </c>
      <c r="X644" s="114">
        <v>1</v>
      </c>
      <c r="Y644" s="114">
        <v>1</v>
      </c>
      <c r="Z644" s="116" t="s">
        <v>58</v>
      </c>
      <c r="AA644" s="114">
        <v>1</v>
      </c>
      <c r="AB644" s="114">
        <f t="shared" si="174"/>
        <v>2</v>
      </c>
      <c r="AC644" s="114">
        <f t="shared" si="175"/>
        <v>1</v>
      </c>
      <c r="AD644" s="114">
        <f t="shared" si="176"/>
        <v>1</v>
      </c>
      <c r="AE644" s="114">
        <f t="shared" si="177"/>
        <v>6</v>
      </c>
      <c r="AF644" s="116" t="s">
        <v>59</v>
      </c>
      <c r="AG644" s="114">
        <f t="shared" si="171"/>
        <v>2.14035087719298</v>
      </c>
      <c r="AH644" s="114">
        <f>AU644/88.4</f>
        <v>0.678733031674208</v>
      </c>
      <c r="AI644" s="114">
        <f t="shared" si="173"/>
        <v>1.21</v>
      </c>
      <c r="AJ644" s="159">
        <f t="shared" si="162"/>
        <v>11.426633179832</v>
      </c>
      <c r="AK644" s="160">
        <f>IF(AND(AG644&gt;0,AH644&gt;0,AI644&gt;0),AJ644,"")</f>
        <v>11.426633179832</v>
      </c>
      <c r="AL644" s="160">
        <f>AK644+1.59*(135-AM644)</f>
        <v>11.426633179832</v>
      </c>
      <c r="AM644" s="160">
        <f>IF(AV644&gt;135,135,IF(AV644&lt;120,120,AV644))</f>
        <v>135</v>
      </c>
      <c r="AN644" s="114">
        <v>1</v>
      </c>
      <c r="AO644" s="114">
        <v>1</v>
      </c>
      <c r="AP644" s="114">
        <v>3.43</v>
      </c>
      <c r="AQ644" s="114">
        <v>143</v>
      </c>
      <c r="AR644" s="114">
        <v>1.21</v>
      </c>
      <c r="AS644" s="160">
        <v>41</v>
      </c>
      <c r="AT644" s="161">
        <v>36.6</v>
      </c>
      <c r="AU644" s="114">
        <v>60</v>
      </c>
      <c r="AV644" s="114">
        <v>143</v>
      </c>
      <c r="AZ644" s="119" t="s">
        <v>1895</v>
      </c>
    </row>
    <row r="645" spans="1:52">
      <c r="A645" s="113" t="s">
        <v>1896</v>
      </c>
      <c r="B645" s="119" t="s">
        <v>48</v>
      </c>
      <c r="C645" s="117">
        <v>52</v>
      </c>
      <c r="D645" s="135">
        <v>1.8</v>
      </c>
      <c r="E645" s="117">
        <v>90</v>
      </c>
      <c r="F645" s="136">
        <f>E645/(D645*D645)</f>
        <v>27.7777777777778</v>
      </c>
      <c r="G645" s="308">
        <v>1</v>
      </c>
      <c r="H645" s="281">
        <v>45223</v>
      </c>
      <c r="I645" s="119" t="s">
        <v>1897</v>
      </c>
      <c r="J645" s="119" t="s">
        <v>1898</v>
      </c>
      <c r="L645" s="137">
        <v>1</v>
      </c>
      <c r="M645" s="138">
        <v>10</v>
      </c>
      <c r="N645" s="270" t="s">
        <v>1899</v>
      </c>
      <c r="O645" s="114"/>
      <c r="P645" s="114"/>
      <c r="Q645" s="114"/>
      <c r="R645" s="114"/>
      <c r="S645" s="114">
        <v>1</v>
      </c>
      <c r="T645" s="114">
        <v>0</v>
      </c>
      <c r="U645" s="114">
        <v>0</v>
      </c>
      <c r="V645" s="114">
        <v>1</v>
      </c>
      <c r="W645" s="114">
        <v>0</v>
      </c>
      <c r="X645" s="114">
        <v>1</v>
      </c>
      <c r="Y645" s="114">
        <v>1</v>
      </c>
      <c r="Z645" s="116" t="s">
        <v>58</v>
      </c>
      <c r="AA645" s="114">
        <v>1</v>
      </c>
      <c r="AB645" s="114">
        <f t="shared" ref="AB645:AB667" si="178">_xlfn.IFS(AT645&gt;51,3,AT645&gt;=34,2,AT645&lt;34,1)</f>
        <v>1</v>
      </c>
      <c r="AC645" s="114">
        <f t="shared" ref="AC645:AC667" si="179">_xlfn.IFS(AS645&gt;35,1,AS645&gt;=28,2,AS645&lt;28,3)</f>
        <v>2</v>
      </c>
      <c r="AD645" s="114">
        <f t="shared" ref="AD645:AD667" si="180">_xlfn.IFS(AR645&gt;2.3,3,AR645&gt;=1.7,2,AR645&lt;1.7,1)</f>
        <v>1</v>
      </c>
      <c r="AE645" s="114">
        <f t="shared" ref="AE645:AE667" si="181">Y645+AA645+AB645+AC645+AD645</f>
        <v>6</v>
      </c>
      <c r="AF645" s="116" t="s">
        <v>59</v>
      </c>
      <c r="AG645" s="114">
        <f>AT645/17.1</f>
        <v>1.24561403508772</v>
      </c>
      <c r="AH645" s="114">
        <f t="shared" ref="AH645:AH652" si="182">AU645/88.4</f>
        <v>0.588235294117647</v>
      </c>
      <c r="AI645" s="114">
        <f>AR645</f>
        <v>1.19</v>
      </c>
      <c r="AJ645" s="159">
        <f t="shared" ref="AJ645:AJ654" si="183">LN(IF(AG645&gt;=1,AG645,1))*3.8+LN(IF(AH645&gt;=1,AH645,1))*9.6+11.2*LN(IF(AI645&gt;=1,AI645,1))+6.4*AN645</f>
        <v>9.18286575476821</v>
      </c>
      <c r="AK645" s="160">
        <f t="shared" ref="AK645:AK654" si="184">IF(AND(AG645&gt;0,AH645&gt;0,AI645&gt;0),AJ645,"")</f>
        <v>9.18286575476821</v>
      </c>
      <c r="AL645" s="160">
        <f t="shared" ref="AL645:AL653" si="185">AK645+1.59*(135-AM645)</f>
        <v>9.18286575476821</v>
      </c>
      <c r="AM645" s="160">
        <f t="shared" ref="AM645:AM653" si="186">IF(AV645&gt;135,135,IF(AV645&lt;120,120,AV645))</f>
        <v>135</v>
      </c>
      <c r="AN645" s="114">
        <v>1</v>
      </c>
      <c r="AO645" s="114">
        <v>1</v>
      </c>
      <c r="AP645" s="114">
        <v>2.06</v>
      </c>
      <c r="AQ645" s="114">
        <v>75</v>
      </c>
      <c r="AR645" s="114">
        <v>1.19</v>
      </c>
      <c r="AS645" s="160">
        <v>31</v>
      </c>
      <c r="AT645" s="161">
        <v>21.3</v>
      </c>
      <c r="AU645" s="114">
        <v>52</v>
      </c>
      <c r="AV645" s="114">
        <v>138</v>
      </c>
      <c r="AZ645" s="119" t="s">
        <v>1900</v>
      </c>
    </row>
    <row r="646" spans="1:52">
      <c r="A646" s="113" t="s">
        <v>1901</v>
      </c>
      <c r="B646" s="119" t="s">
        <v>48</v>
      </c>
      <c r="C646" s="117">
        <v>71</v>
      </c>
      <c r="D646" s="135">
        <v>1.7</v>
      </c>
      <c r="E646" s="117">
        <v>60</v>
      </c>
      <c r="F646" s="136">
        <f>E646/(D646*D646)</f>
        <v>20.7612456747405</v>
      </c>
      <c r="G646" s="308">
        <v>1</v>
      </c>
      <c r="H646" s="281">
        <v>45224</v>
      </c>
      <c r="I646" s="119" t="s">
        <v>1902</v>
      </c>
      <c r="J646" s="119" t="s">
        <v>1903</v>
      </c>
      <c r="L646" s="137">
        <v>1</v>
      </c>
      <c r="M646" s="138">
        <v>7</v>
      </c>
      <c r="N646" s="270" t="s">
        <v>1904</v>
      </c>
      <c r="O646" s="114"/>
      <c r="P646" s="114"/>
      <c r="Q646" s="114"/>
      <c r="R646" s="116" t="s">
        <v>1083</v>
      </c>
      <c r="S646" s="114"/>
      <c r="T646" s="114">
        <v>0</v>
      </c>
      <c r="U646" s="114">
        <v>0</v>
      </c>
      <c r="V646" s="114">
        <v>0</v>
      </c>
      <c r="W646" s="114">
        <v>0</v>
      </c>
      <c r="X646" s="114">
        <v>0</v>
      </c>
      <c r="Y646" s="114">
        <v>1</v>
      </c>
      <c r="Z646" s="116" t="s">
        <v>58</v>
      </c>
      <c r="AA646" s="114">
        <v>1</v>
      </c>
      <c r="AB646" s="114">
        <f t="shared" si="178"/>
        <v>1</v>
      </c>
      <c r="AC646" s="114">
        <f t="shared" si="179"/>
        <v>2</v>
      </c>
      <c r="AD646" s="114">
        <f t="shared" si="180"/>
        <v>1</v>
      </c>
      <c r="AE646" s="114">
        <f t="shared" si="181"/>
        <v>6</v>
      </c>
      <c r="AF646" s="116" t="s">
        <v>59</v>
      </c>
      <c r="AG646" s="114">
        <f>AT646/17.1</f>
        <v>0.578947368421053</v>
      </c>
      <c r="AH646" s="114">
        <f t="shared" si="182"/>
        <v>0.984162895927602</v>
      </c>
      <c r="AI646" s="114">
        <f>AR646</f>
        <v>1.07</v>
      </c>
      <c r="AJ646" s="159">
        <f t="shared" si="183"/>
        <v>0.757776862906726</v>
      </c>
      <c r="AK646" s="160">
        <f t="shared" si="184"/>
        <v>0.757776862906726</v>
      </c>
      <c r="AL646" s="160">
        <f t="shared" si="185"/>
        <v>0.757776862906726</v>
      </c>
      <c r="AM646" s="160">
        <f t="shared" si="186"/>
        <v>135</v>
      </c>
      <c r="AN646" s="114">
        <v>0</v>
      </c>
      <c r="AO646" s="114">
        <v>1</v>
      </c>
      <c r="AP646" s="114">
        <v>4.22</v>
      </c>
      <c r="AQ646" s="114">
        <v>134</v>
      </c>
      <c r="AR646" s="114">
        <v>1.07</v>
      </c>
      <c r="AS646" s="160">
        <v>32</v>
      </c>
      <c r="AT646" s="161">
        <v>9.9</v>
      </c>
      <c r="AU646" s="114">
        <v>87</v>
      </c>
      <c r="AV646" s="114">
        <v>145</v>
      </c>
      <c r="AZ646" s="119" t="s">
        <v>1905</v>
      </c>
    </row>
    <row r="647" spans="1:52">
      <c r="A647" s="113" t="s">
        <v>1166</v>
      </c>
      <c r="B647" s="119" t="s">
        <v>53</v>
      </c>
      <c r="C647" s="117">
        <v>45</v>
      </c>
      <c r="D647" s="135">
        <v>1.57</v>
      </c>
      <c r="E647" s="117">
        <v>55</v>
      </c>
      <c r="F647" s="136">
        <f>E647/(D647*D647)</f>
        <v>22.3132784291452</v>
      </c>
      <c r="G647" s="308">
        <v>1</v>
      </c>
      <c r="H647" s="281">
        <v>45229</v>
      </c>
      <c r="I647" s="119" t="s">
        <v>1906</v>
      </c>
      <c r="J647" s="119" t="s">
        <v>1907</v>
      </c>
      <c r="L647" s="137">
        <v>3</v>
      </c>
      <c r="M647" s="138">
        <v>11</v>
      </c>
      <c r="N647" s="270" t="s">
        <v>1908</v>
      </c>
      <c r="O647" s="114"/>
      <c r="P647" s="114"/>
      <c r="Q647" s="114"/>
      <c r="R647" s="114">
        <v>1</v>
      </c>
      <c r="S647" s="114"/>
      <c r="T647" s="114">
        <v>0</v>
      </c>
      <c r="U647" s="114">
        <v>0</v>
      </c>
      <c r="V647" s="114">
        <v>1</v>
      </c>
      <c r="W647" s="114">
        <v>0</v>
      </c>
      <c r="X647" s="114">
        <v>1</v>
      </c>
      <c r="Y647" s="114">
        <v>1</v>
      </c>
      <c r="Z647" s="116" t="s">
        <v>58</v>
      </c>
      <c r="AA647" s="114">
        <v>1</v>
      </c>
      <c r="AB647" s="114">
        <f t="shared" si="178"/>
        <v>1</v>
      </c>
      <c r="AC647" s="114">
        <f t="shared" si="179"/>
        <v>2</v>
      </c>
      <c r="AD647" s="114">
        <f t="shared" si="180"/>
        <v>1</v>
      </c>
      <c r="AE647" s="114">
        <f t="shared" si="181"/>
        <v>6</v>
      </c>
      <c r="AF647" s="116" t="s">
        <v>59</v>
      </c>
      <c r="AG647" s="114">
        <f>AT647/17.1</f>
        <v>0.91812865497076</v>
      </c>
      <c r="AH647" s="114">
        <f t="shared" si="182"/>
        <v>0.656108597285068</v>
      </c>
      <c r="AI647" s="114">
        <f>AR647</f>
        <v>1.28</v>
      </c>
      <c r="AJ647" s="159">
        <f t="shared" si="183"/>
        <v>2.76483287283309</v>
      </c>
      <c r="AK647" s="160">
        <f t="shared" si="184"/>
        <v>2.76483287283309</v>
      </c>
      <c r="AL647" s="160">
        <f t="shared" si="185"/>
        <v>10.7148328728331</v>
      </c>
      <c r="AM647" s="160">
        <f t="shared" si="186"/>
        <v>130</v>
      </c>
      <c r="AN647" s="114">
        <v>0</v>
      </c>
      <c r="AO647" s="114">
        <v>1</v>
      </c>
      <c r="AP647" s="114">
        <v>1.72</v>
      </c>
      <c r="AQ647" s="114">
        <v>85</v>
      </c>
      <c r="AR647" s="114">
        <v>1.28</v>
      </c>
      <c r="AS647" s="160">
        <v>32</v>
      </c>
      <c r="AT647" s="161">
        <v>15.7</v>
      </c>
      <c r="AU647" s="114">
        <v>58</v>
      </c>
      <c r="AV647" s="114">
        <v>130</v>
      </c>
      <c r="AZ647" s="119" t="s">
        <v>1909</v>
      </c>
    </row>
    <row r="648" s="125" customFormat="1" spans="1:52">
      <c r="A648" s="272" t="s">
        <v>1910</v>
      </c>
      <c r="B648" s="131" t="s">
        <v>48</v>
      </c>
      <c r="C648" s="125">
        <v>84</v>
      </c>
      <c r="D648" s="185">
        <v>1.6</v>
      </c>
      <c r="E648" s="125">
        <v>65</v>
      </c>
      <c r="F648" s="216">
        <f>E648/(D648*D648)</f>
        <v>25.390625</v>
      </c>
      <c r="G648" s="310">
        <v>1</v>
      </c>
      <c r="H648" s="296">
        <v>45229</v>
      </c>
      <c r="I648" s="131" t="s">
        <v>1906</v>
      </c>
      <c r="J648" s="131" t="s">
        <v>1911</v>
      </c>
      <c r="L648" s="187">
        <v>1</v>
      </c>
      <c r="M648" s="187">
        <v>8</v>
      </c>
      <c r="N648" s="248" t="s">
        <v>1912</v>
      </c>
      <c r="S648" s="125">
        <v>1</v>
      </c>
      <c r="T648" s="125">
        <v>0</v>
      </c>
      <c r="U648" s="125">
        <v>0</v>
      </c>
      <c r="V648" s="125">
        <v>0</v>
      </c>
      <c r="W648" s="125">
        <v>0</v>
      </c>
      <c r="X648" s="125">
        <v>0</v>
      </c>
      <c r="Y648" s="125">
        <v>1</v>
      </c>
      <c r="Z648" s="131" t="s">
        <v>58</v>
      </c>
      <c r="AA648" s="125">
        <v>1</v>
      </c>
      <c r="AB648" s="114">
        <f t="shared" si="178"/>
        <v>1</v>
      </c>
      <c r="AC648" s="114">
        <f t="shared" si="179"/>
        <v>2</v>
      </c>
      <c r="AD648" s="114">
        <f t="shared" si="180"/>
        <v>1</v>
      </c>
      <c r="AE648" s="114">
        <f t="shared" si="181"/>
        <v>6</v>
      </c>
      <c r="AF648" s="131" t="s">
        <v>59</v>
      </c>
      <c r="AG648" s="125">
        <f>AT648/17.1</f>
        <v>0.847953216374269</v>
      </c>
      <c r="AH648" s="125">
        <f t="shared" si="182"/>
        <v>0.565610859728507</v>
      </c>
      <c r="AI648" s="125">
        <f>AR648</f>
        <v>1.28</v>
      </c>
      <c r="AJ648" s="240">
        <f t="shared" si="183"/>
        <v>9.16483287283309</v>
      </c>
      <c r="AK648" s="241">
        <f t="shared" si="184"/>
        <v>9.16483287283309</v>
      </c>
      <c r="AL648" s="241">
        <f t="shared" si="185"/>
        <v>9.16483287283309</v>
      </c>
      <c r="AM648" s="241">
        <f t="shared" si="186"/>
        <v>135</v>
      </c>
      <c r="AN648" s="125">
        <v>1</v>
      </c>
      <c r="AO648" s="125">
        <v>1</v>
      </c>
      <c r="AP648" s="125">
        <v>6.42</v>
      </c>
      <c r="AQ648" s="125">
        <v>97</v>
      </c>
      <c r="AR648" s="125">
        <v>1.28</v>
      </c>
      <c r="AS648" s="241">
        <v>28</v>
      </c>
      <c r="AT648" s="242">
        <v>14.5</v>
      </c>
      <c r="AU648" s="125">
        <v>50</v>
      </c>
      <c r="AV648" s="125">
        <v>138</v>
      </c>
      <c r="AZ648" s="131" t="s">
        <v>1913</v>
      </c>
    </row>
    <row r="649" s="123" customFormat="1" spans="1:52">
      <c r="A649" s="285" t="s">
        <v>206</v>
      </c>
      <c r="B649" s="132" t="s">
        <v>48</v>
      </c>
      <c r="C649" s="123">
        <v>64</v>
      </c>
      <c r="D649" s="176">
        <v>1.6</v>
      </c>
      <c r="E649" s="123">
        <v>71</v>
      </c>
      <c r="F649" s="189">
        <f>E649/(D649*D649)</f>
        <v>27.734375</v>
      </c>
      <c r="G649" s="309">
        <v>7</v>
      </c>
      <c r="H649" s="286">
        <v>45232</v>
      </c>
      <c r="I649" s="132" t="s">
        <v>1914</v>
      </c>
      <c r="J649" s="132" t="s">
        <v>1915</v>
      </c>
      <c r="L649" s="178">
        <v>5</v>
      </c>
      <c r="M649" s="178">
        <v>6</v>
      </c>
      <c r="N649" s="254" t="s">
        <v>1916</v>
      </c>
      <c r="Q649" s="132" t="s">
        <v>1083</v>
      </c>
      <c r="R649" s="123">
        <v>1</v>
      </c>
      <c r="T649" s="123">
        <v>1</v>
      </c>
      <c r="U649" s="123">
        <v>0</v>
      </c>
      <c r="V649" s="123">
        <v>1</v>
      </c>
      <c r="W649" s="123">
        <v>0</v>
      </c>
      <c r="X649" s="123">
        <v>1</v>
      </c>
      <c r="Y649" s="123">
        <v>1</v>
      </c>
      <c r="Z649" s="132" t="s">
        <v>307</v>
      </c>
      <c r="AA649" s="123">
        <v>3</v>
      </c>
      <c r="AB649" s="114">
        <f t="shared" si="178"/>
        <v>1</v>
      </c>
      <c r="AC649" s="114">
        <f t="shared" si="179"/>
        <v>3</v>
      </c>
      <c r="AD649" s="114">
        <f t="shared" si="180"/>
        <v>1</v>
      </c>
      <c r="AE649" s="114">
        <f t="shared" si="181"/>
        <v>9</v>
      </c>
      <c r="AF649" s="132" t="s">
        <v>63</v>
      </c>
      <c r="AG649" s="123">
        <f>AT649/17.1</f>
        <v>1.95906432748538</v>
      </c>
      <c r="AH649" s="123">
        <f t="shared" si="182"/>
        <v>0.82579185520362</v>
      </c>
      <c r="AI649" s="123">
        <f>AR649</f>
        <v>1.18</v>
      </c>
      <c r="AJ649" s="266">
        <f t="shared" si="183"/>
        <v>4.40913621717397</v>
      </c>
      <c r="AK649" s="267">
        <f t="shared" si="184"/>
        <v>4.40913621717397</v>
      </c>
      <c r="AL649" s="267">
        <f t="shared" si="185"/>
        <v>4.40913621717397</v>
      </c>
      <c r="AM649" s="267">
        <f t="shared" si="186"/>
        <v>135</v>
      </c>
      <c r="AN649" s="123">
        <v>0</v>
      </c>
      <c r="AO649" s="123">
        <v>1</v>
      </c>
      <c r="AP649" s="123">
        <v>4.32</v>
      </c>
      <c r="AQ649" s="123">
        <v>86</v>
      </c>
      <c r="AR649" s="123">
        <v>1.18</v>
      </c>
      <c r="AS649" s="267">
        <v>27</v>
      </c>
      <c r="AT649" s="268">
        <v>33.5</v>
      </c>
      <c r="AU649" s="123">
        <v>73</v>
      </c>
      <c r="AV649" s="123">
        <v>142</v>
      </c>
      <c r="AZ649" s="132" t="s">
        <v>1917</v>
      </c>
    </row>
    <row r="650" s="123" customFormat="1" spans="1:52">
      <c r="A650" s="285" t="s">
        <v>1918</v>
      </c>
      <c r="B650" s="132" t="s">
        <v>53</v>
      </c>
      <c r="C650" s="123">
        <v>61</v>
      </c>
      <c r="D650" s="176">
        <v>1.6</v>
      </c>
      <c r="E650" s="123">
        <v>53</v>
      </c>
      <c r="F650" s="189">
        <f>E650/(D650*D650)</f>
        <v>20.703125</v>
      </c>
      <c r="G650" s="309">
        <v>7</v>
      </c>
      <c r="H650" s="286">
        <v>45234</v>
      </c>
      <c r="I650" s="132" t="s">
        <v>1919</v>
      </c>
      <c r="J650" s="132" t="s">
        <v>1920</v>
      </c>
      <c r="L650" s="178">
        <v>1</v>
      </c>
      <c r="M650" s="178">
        <v>11</v>
      </c>
      <c r="N650" s="254" t="s">
        <v>1921</v>
      </c>
      <c r="O650" s="114"/>
      <c r="P650" s="114"/>
      <c r="Q650" s="114"/>
      <c r="R650" s="114"/>
      <c r="S650" s="114">
        <v>1</v>
      </c>
      <c r="T650" s="114">
        <v>1</v>
      </c>
      <c r="U650" s="114">
        <v>0</v>
      </c>
      <c r="V650" s="114">
        <v>1</v>
      </c>
      <c r="W650" s="114">
        <v>0</v>
      </c>
      <c r="X650" s="114">
        <v>1</v>
      </c>
      <c r="Y650" s="114">
        <v>1</v>
      </c>
      <c r="Z650" s="116" t="s">
        <v>321</v>
      </c>
      <c r="AA650" s="114">
        <v>3</v>
      </c>
      <c r="AB650" s="114">
        <f t="shared" si="178"/>
        <v>1</v>
      </c>
      <c r="AC650" s="114">
        <f t="shared" si="179"/>
        <v>2</v>
      </c>
      <c r="AD650" s="114">
        <f t="shared" si="180"/>
        <v>1</v>
      </c>
      <c r="AE650" s="114">
        <f t="shared" si="181"/>
        <v>8</v>
      </c>
      <c r="AF650" s="116" t="s">
        <v>63</v>
      </c>
      <c r="AG650" s="114">
        <f>AT650/17.1</f>
        <v>1.53216374269006</v>
      </c>
      <c r="AH650" s="114">
        <f t="shared" si="182"/>
        <v>0.509049773755656</v>
      </c>
      <c r="AI650" s="114">
        <f>AR650</f>
        <v>1.17</v>
      </c>
      <c r="AJ650" s="159">
        <f t="shared" si="183"/>
        <v>9.7798295862503</v>
      </c>
      <c r="AK650" s="160">
        <f t="shared" si="184"/>
        <v>9.7798295862503</v>
      </c>
      <c r="AL650" s="160">
        <f t="shared" si="185"/>
        <v>9.7798295862503</v>
      </c>
      <c r="AM650" s="160">
        <f t="shared" si="186"/>
        <v>135</v>
      </c>
      <c r="AN650" s="114">
        <v>1</v>
      </c>
      <c r="AO650" s="114">
        <v>1</v>
      </c>
      <c r="AP650" s="114">
        <v>2.55</v>
      </c>
      <c r="AQ650" s="114">
        <v>43</v>
      </c>
      <c r="AR650" s="114">
        <v>1.17</v>
      </c>
      <c r="AS650" s="160">
        <v>30</v>
      </c>
      <c r="AT650" s="161">
        <v>26.2</v>
      </c>
      <c r="AU650" s="114">
        <v>45</v>
      </c>
      <c r="AV650" s="114">
        <v>142</v>
      </c>
      <c r="AZ650" s="132" t="s">
        <v>1922</v>
      </c>
    </row>
    <row r="651" spans="1:52">
      <c r="A651" s="113" t="s">
        <v>1923</v>
      </c>
      <c r="B651" s="119" t="s">
        <v>53</v>
      </c>
      <c r="C651" s="117">
        <v>68</v>
      </c>
      <c r="D651" s="135">
        <v>1.6</v>
      </c>
      <c r="E651" s="117">
        <v>60</v>
      </c>
      <c r="F651" s="136">
        <f>E651/(D651*D651)</f>
        <v>23.4375</v>
      </c>
      <c r="G651" s="308">
        <v>7</v>
      </c>
      <c r="H651" s="281">
        <v>45236</v>
      </c>
      <c r="I651" s="119" t="s">
        <v>1924</v>
      </c>
      <c r="J651" s="119" t="s">
        <v>1915</v>
      </c>
      <c r="L651" s="137">
        <v>1</v>
      </c>
      <c r="M651" s="138">
        <v>2</v>
      </c>
      <c r="N651" s="270" t="s">
        <v>1925</v>
      </c>
      <c r="O651" s="114"/>
      <c r="P651" s="114"/>
      <c r="Q651" s="114"/>
      <c r="R651" s="114"/>
      <c r="S651" s="114">
        <v>1</v>
      </c>
      <c r="T651" s="114">
        <v>0</v>
      </c>
      <c r="U651" s="114">
        <v>0</v>
      </c>
      <c r="V651" s="114">
        <v>1</v>
      </c>
      <c r="W651" s="114">
        <v>0</v>
      </c>
      <c r="X651" s="114">
        <v>0</v>
      </c>
      <c r="Y651" s="114">
        <v>1</v>
      </c>
      <c r="Z651" s="116" t="s">
        <v>58</v>
      </c>
      <c r="AA651" s="114">
        <v>1</v>
      </c>
      <c r="AB651" s="114">
        <f t="shared" si="178"/>
        <v>1</v>
      </c>
      <c r="AC651" s="114">
        <f t="shared" si="179"/>
        <v>2</v>
      </c>
      <c r="AD651" s="114">
        <f t="shared" si="180"/>
        <v>1</v>
      </c>
      <c r="AE651" s="114">
        <f t="shared" si="181"/>
        <v>6</v>
      </c>
      <c r="AF651" s="116" t="s">
        <v>59</v>
      </c>
      <c r="AG651" s="114">
        <f>AT651/17.1</f>
        <v>1.29824561403509</v>
      </c>
      <c r="AH651" s="114">
        <f t="shared" si="182"/>
        <v>0.644796380090498</v>
      </c>
      <c r="AI651" s="114">
        <f>AR651</f>
        <v>1.18</v>
      </c>
      <c r="AJ651" s="159">
        <f t="shared" si="183"/>
        <v>9.24561424735337</v>
      </c>
      <c r="AK651" s="160">
        <f t="shared" si="184"/>
        <v>9.24561424735337</v>
      </c>
      <c r="AL651" s="160">
        <f t="shared" si="185"/>
        <v>9.24561424735337</v>
      </c>
      <c r="AM651" s="160">
        <f t="shared" si="186"/>
        <v>135</v>
      </c>
      <c r="AN651" s="114">
        <v>1</v>
      </c>
      <c r="AO651" s="114">
        <v>1</v>
      </c>
      <c r="AP651" s="114">
        <v>4.66</v>
      </c>
      <c r="AQ651" s="114">
        <v>55</v>
      </c>
      <c r="AR651" s="114">
        <v>1.18</v>
      </c>
      <c r="AS651" s="160">
        <v>32</v>
      </c>
      <c r="AT651" s="161">
        <v>22.2</v>
      </c>
      <c r="AU651" s="114">
        <v>57</v>
      </c>
      <c r="AV651" s="114">
        <v>142</v>
      </c>
      <c r="AZ651" s="119" t="s">
        <v>58</v>
      </c>
    </row>
    <row r="652" s="125" customFormat="1" spans="1:52">
      <c r="A652" s="272" t="s">
        <v>1034</v>
      </c>
      <c r="B652" s="131" t="s">
        <v>48</v>
      </c>
      <c r="C652" s="125">
        <v>78</v>
      </c>
      <c r="D652" s="185">
        <v>1.7</v>
      </c>
      <c r="E652" s="125">
        <v>51</v>
      </c>
      <c r="F652" s="216">
        <f>E652/(D652*D652)</f>
        <v>17.6470588235294</v>
      </c>
      <c r="G652" s="310">
        <v>0</v>
      </c>
      <c r="H652" s="296">
        <v>45237</v>
      </c>
      <c r="I652" s="131" t="s">
        <v>1926</v>
      </c>
      <c r="J652" s="131" t="s">
        <v>1927</v>
      </c>
      <c r="L652" s="187">
        <v>7</v>
      </c>
      <c r="M652" s="187">
        <v>4</v>
      </c>
      <c r="N652" s="248" t="s">
        <v>1928</v>
      </c>
      <c r="S652" s="125">
        <v>1</v>
      </c>
      <c r="T652" s="125">
        <v>0</v>
      </c>
      <c r="U652" s="125">
        <v>0</v>
      </c>
      <c r="V652" s="125">
        <v>1</v>
      </c>
      <c r="W652" s="125">
        <v>0</v>
      </c>
      <c r="X652" s="125">
        <v>0</v>
      </c>
      <c r="Y652" s="125">
        <v>1</v>
      </c>
      <c r="Z652" s="131" t="s">
        <v>58</v>
      </c>
      <c r="AA652" s="125">
        <v>1</v>
      </c>
      <c r="AB652" s="114">
        <f t="shared" si="178"/>
        <v>1</v>
      </c>
      <c r="AC652" s="114">
        <f t="shared" si="179"/>
        <v>2</v>
      </c>
      <c r="AD652" s="114">
        <f t="shared" si="180"/>
        <v>1</v>
      </c>
      <c r="AE652" s="114">
        <f t="shared" si="181"/>
        <v>6</v>
      </c>
      <c r="AF652" s="131" t="s">
        <v>59</v>
      </c>
      <c r="AG652" s="125">
        <f>AT652/17.1</f>
        <v>1.22222222222222</v>
      </c>
      <c r="AH652" s="125">
        <f t="shared" si="182"/>
        <v>0.780542986425339</v>
      </c>
      <c r="AI652" s="125">
        <f>AR652</f>
        <v>1.15</v>
      </c>
      <c r="AJ652" s="240">
        <f t="shared" si="183"/>
        <v>8.72788239735795</v>
      </c>
      <c r="AK652" s="241">
        <f t="shared" si="184"/>
        <v>8.72788239735795</v>
      </c>
      <c r="AL652" s="241">
        <f t="shared" si="185"/>
        <v>8.72788239735795</v>
      </c>
      <c r="AM652" s="241">
        <f t="shared" si="186"/>
        <v>135</v>
      </c>
      <c r="AN652" s="125">
        <v>1</v>
      </c>
      <c r="AO652" s="125">
        <v>1</v>
      </c>
      <c r="AP652" s="125">
        <v>1.64</v>
      </c>
      <c r="AQ652" s="125">
        <v>63</v>
      </c>
      <c r="AR652" s="125">
        <v>1.15</v>
      </c>
      <c r="AS652" s="241">
        <v>30</v>
      </c>
      <c r="AT652" s="242">
        <v>20.9</v>
      </c>
      <c r="AU652" s="125">
        <v>69</v>
      </c>
      <c r="AV652" s="125">
        <v>140</v>
      </c>
      <c r="AZ652" s="131" t="s">
        <v>1929</v>
      </c>
    </row>
    <row r="653" s="114" customFormat="1" spans="1:52">
      <c r="A653" s="311" t="s">
        <v>1930</v>
      </c>
      <c r="B653" s="116" t="s">
        <v>48</v>
      </c>
      <c r="C653" s="114">
        <v>67</v>
      </c>
      <c r="D653" s="211">
        <v>1.65</v>
      </c>
      <c r="E653" s="114">
        <v>55</v>
      </c>
      <c r="F653" s="136">
        <f>E653/(D653*D653)</f>
        <v>20.2020202020202</v>
      </c>
      <c r="G653" s="312">
        <v>0</v>
      </c>
      <c r="H653" s="299">
        <v>45237</v>
      </c>
      <c r="I653" s="116" t="s">
        <v>1926</v>
      </c>
      <c r="J653" s="116" t="s">
        <v>1931</v>
      </c>
      <c r="L653" s="138">
        <v>1</v>
      </c>
      <c r="M653" s="138">
        <v>10</v>
      </c>
      <c r="N653" s="265" t="s">
        <v>1932</v>
      </c>
      <c r="S653" s="114">
        <v>1</v>
      </c>
      <c r="T653" s="114">
        <v>0</v>
      </c>
      <c r="U653" s="114">
        <v>0</v>
      </c>
      <c r="V653" s="114">
        <v>1</v>
      </c>
      <c r="W653" s="114">
        <v>0</v>
      </c>
      <c r="X653" s="114">
        <v>0</v>
      </c>
      <c r="Y653" s="114">
        <v>1</v>
      </c>
      <c r="Z653" s="116" t="s">
        <v>58</v>
      </c>
      <c r="AA653" s="114">
        <v>1</v>
      </c>
      <c r="AB653" s="114">
        <f t="shared" si="178"/>
        <v>1</v>
      </c>
      <c r="AC653" s="114">
        <f t="shared" si="179"/>
        <v>1</v>
      </c>
      <c r="AD653" s="114">
        <f t="shared" si="180"/>
        <v>1</v>
      </c>
      <c r="AE653" s="114">
        <f t="shared" si="181"/>
        <v>5</v>
      </c>
      <c r="AF653" s="116" t="s">
        <v>59</v>
      </c>
      <c r="AG653" s="114">
        <f>AT653/17.1</f>
        <v>0.280701754385965</v>
      </c>
      <c r="AH653" s="114">
        <f>AU653/88.4</f>
        <v>1.01809954751131</v>
      </c>
      <c r="AI653" s="114">
        <f>AR653</f>
        <v>0.99</v>
      </c>
      <c r="AJ653" s="159">
        <f t="shared" si="183"/>
        <v>6.57220192659201</v>
      </c>
      <c r="AK653" s="160">
        <f t="shared" si="184"/>
        <v>6.57220192659201</v>
      </c>
      <c r="AL653" s="160">
        <f t="shared" si="185"/>
        <v>6.57220192659201</v>
      </c>
      <c r="AM653" s="160">
        <f>IF(AV653&gt;135,135,IF(AV653&lt;120,120,AV653))</f>
        <v>135</v>
      </c>
      <c r="AN653" s="114">
        <v>1</v>
      </c>
      <c r="AO653" s="114">
        <v>1</v>
      </c>
      <c r="AP653" s="114">
        <v>2.91</v>
      </c>
      <c r="AQ653" s="114">
        <v>69</v>
      </c>
      <c r="AR653" s="114">
        <v>0.99</v>
      </c>
      <c r="AS653" s="160">
        <v>36</v>
      </c>
      <c r="AT653" s="161">
        <v>4.8</v>
      </c>
      <c r="AU653" s="114">
        <v>90</v>
      </c>
      <c r="AV653" s="114">
        <v>141</v>
      </c>
      <c r="AZ653" s="116" t="s">
        <v>1933</v>
      </c>
    </row>
    <row r="654" s="125" customFormat="1" spans="1:52">
      <c r="A654" s="272" t="s">
        <v>995</v>
      </c>
      <c r="B654" s="272" t="s">
        <v>48</v>
      </c>
      <c r="C654" s="272">
        <v>48</v>
      </c>
      <c r="D654" s="272">
        <v>1.75</v>
      </c>
      <c r="E654" s="272">
        <v>98</v>
      </c>
      <c r="F654" s="216">
        <f>E654/(D654*D654)</f>
        <v>32</v>
      </c>
      <c r="G654" s="272">
        <v>6</v>
      </c>
      <c r="H654" s="296">
        <v>45236</v>
      </c>
      <c r="I654" s="131" t="s">
        <v>1924</v>
      </c>
      <c r="J654" s="131" t="s">
        <v>1934</v>
      </c>
      <c r="L654" s="187">
        <v>2</v>
      </c>
      <c r="M654" s="187">
        <v>17</v>
      </c>
      <c r="N654" s="248" t="s">
        <v>1935</v>
      </c>
      <c r="O654" s="114"/>
      <c r="P654" s="114">
        <v>1</v>
      </c>
      <c r="Q654" s="114"/>
      <c r="R654" s="114"/>
      <c r="S654" s="114"/>
      <c r="T654" s="114">
        <v>0</v>
      </c>
      <c r="U654" s="114">
        <v>0</v>
      </c>
      <c r="V654" s="114">
        <v>1</v>
      </c>
      <c r="W654" s="114">
        <v>0</v>
      </c>
      <c r="X654" s="114">
        <v>0</v>
      </c>
      <c r="Y654" s="114">
        <v>1</v>
      </c>
      <c r="Z654" s="116" t="s">
        <v>58</v>
      </c>
      <c r="AA654" s="114">
        <v>1</v>
      </c>
      <c r="AB654" s="114">
        <f t="shared" si="178"/>
        <v>3</v>
      </c>
      <c r="AC654" s="114">
        <f t="shared" si="179"/>
        <v>2</v>
      </c>
      <c r="AD654" s="114">
        <f t="shared" si="180"/>
        <v>1</v>
      </c>
      <c r="AE654" s="114">
        <f t="shared" si="181"/>
        <v>8</v>
      </c>
      <c r="AF654" s="116" t="s">
        <v>63</v>
      </c>
      <c r="AG654" s="114">
        <f>AT654/17.1</f>
        <v>4.16374269005848</v>
      </c>
      <c r="AH654" s="114">
        <f>AU654/88.4</f>
        <v>0.712669683257918</v>
      </c>
      <c r="AI654" s="114">
        <f>AR654</f>
        <v>1.26</v>
      </c>
      <c r="AJ654" s="159">
        <f t="shared" si="183"/>
        <v>8.00882582344533</v>
      </c>
      <c r="AK654" s="160">
        <f t="shared" si="184"/>
        <v>8.00882582344533</v>
      </c>
      <c r="AL654" s="160">
        <f>AK654+1.59*(135-AM654)</f>
        <v>8.00882582344533</v>
      </c>
      <c r="AM654" s="160">
        <f>IF(AV654&gt;135,135,IF(AV654&lt;120,120,AV654))</f>
        <v>135</v>
      </c>
      <c r="AN654" s="114">
        <v>0</v>
      </c>
      <c r="AO654" s="114">
        <v>1</v>
      </c>
      <c r="AP654" s="114">
        <v>3.14</v>
      </c>
      <c r="AQ654" s="114">
        <v>40</v>
      </c>
      <c r="AR654" s="114">
        <v>1.26</v>
      </c>
      <c r="AS654" s="160">
        <v>30</v>
      </c>
      <c r="AT654" s="161">
        <v>71.2</v>
      </c>
      <c r="AU654" s="114">
        <v>63</v>
      </c>
      <c r="AV654" s="114">
        <v>142</v>
      </c>
      <c r="AZ654" s="131" t="s">
        <v>58</v>
      </c>
    </row>
    <row r="655" spans="1:52">
      <c r="A655" s="113" t="s">
        <v>1936</v>
      </c>
      <c r="B655" s="113" t="s">
        <v>48</v>
      </c>
      <c r="C655" s="113">
        <v>54</v>
      </c>
      <c r="D655" s="113">
        <v>1.7</v>
      </c>
      <c r="E655" s="113">
        <v>70</v>
      </c>
      <c r="F655" s="136">
        <f>E655/(D655*D655)</f>
        <v>24.2214532871972</v>
      </c>
      <c r="G655" s="113">
        <v>6</v>
      </c>
      <c r="H655" s="281">
        <v>45240</v>
      </c>
      <c r="I655" s="119" t="s">
        <v>1907</v>
      </c>
      <c r="J655" s="119" t="s">
        <v>1927</v>
      </c>
      <c r="L655" s="137">
        <v>1</v>
      </c>
      <c r="M655" s="313" t="s">
        <v>1937</v>
      </c>
      <c r="N655" s="270" t="s">
        <v>1938</v>
      </c>
      <c r="O655" s="114"/>
      <c r="P655" s="114">
        <v>1</v>
      </c>
      <c r="Q655" s="114"/>
      <c r="R655" s="114"/>
      <c r="S655" s="114"/>
      <c r="T655" s="114">
        <v>0</v>
      </c>
      <c r="U655" s="114">
        <v>0</v>
      </c>
      <c r="V655" s="114">
        <v>1</v>
      </c>
      <c r="W655" s="114">
        <v>0</v>
      </c>
      <c r="X655" s="114">
        <v>1</v>
      </c>
      <c r="Y655" s="114">
        <v>1</v>
      </c>
      <c r="Z655" s="116" t="s">
        <v>58</v>
      </c>
      <c r="AA655" s="114">
        <v>1</v>
      </c>
      <c r="AB655" s="114">
        <f t="shared" si="178"/>
        <v>1</v>
      </c>
      <c r="AC655" s="114">
        <f t="shared" si="179"/>
        <v>3</v>
      </c>
      <c r="AD655" s="114">
        <f t="shared" si="180"/>
        <v>1</v>
      </c>
      <c r="AE655" s="114">
        <f t="shared" si="181"/>
        <v>7</v>
      </c>
      <c r="AF655" s="116" t="s">
        <v>63</v>
      </c>
      <c r="AJ655" s="159"/>
      <c r="AK655" s="160" t="str">
        <f>IF(AND(AG655&gt;0,AH655&gt;0,AI655&gt;0),AJ655,"")</f>
        <v/>
      </c>
      <c r="AL655" s="160"/>
      <c r="AM655" s="160">
        <f>IF(AV655&gt;135,135,IF(AV655&lt;120,120,AV655))</f>
        <v>120</v>
      </c>
      <c r="AN655" s="114">
        <v>0</v>
      </c>
      <c r="AO655" s="114"/>
      <c r="AP655" s="114">
        <v>1.54</v>
      </c>
      <c r="AQ655" s="114">
        <v>64</v>
      </c>
      <c r="AR655" s="114"/>
      <c r="AS655" s="160"/>
      <c r="AT655" s="161"/>
      <c r="AU655" s="114"/>
      <c r="AV655" s="114"/>
      <c r="AZ655" s="119" t="s">
        <v>58</v>
      </c>
    </row>
    <row r="656" spans="1:52">
      <c r="A656" s="113" t="s">
        <v>1939</v>
      </c>
      <c r="B656" s="113" t="s">
        <v>48</v>
      </c>
      <c r="C656" s="113">
        <v>55</v>
      </c>
      <c r="D656" s="113">
        <v>1.78</v>
      </c>
      <c r="E656" s="113">
        <v>72</v>
      </c>
      <c r="F656" s="136">
        <f t="shared" ref="F656:F694" si="187">E656/(D656*D656)</f>
        <v>22.7244034844085</v>
      </c>
      <c r="G656" s="113">
        <v>0</v>
      </c>
      <c r="H656" s="281">
        <v>45241</v>
      </c>
      <c r="I656" s="119" t="s">
        <v>1927</v>
      </c>
      <c r="J656" s="119" t="s">
        <v>1934</v>
      </c>
      <c r="L656" s="137">
        <v>1</v>
      </c>
      <c r="M656" s="138">
        <v>12</v>
      </c>
      <c r="N656" s="270" t="s">
        <v>1940</v>
      </c>
      <c r="O656" s="114">
        <v>1</v>
      </c>
      <c r="P656" s="114"/>
      <c r="Q656" s="114"/>
      <c r="R656" s="114"/>
      <c r="S656" s="114"/>
      <c r="T656" s="114">
        <v>0</v>
      </c>
      <c r="U656" s="114">
        <v>0</v>
      </c>
      <c r="V656" s="114">
        <v>1</v>
      </c>
      <c r="W656" s="114">
        <v>0</v>
      </c>
      <c r="X656" s="114">
        <v>1</v>
      </c>
      <c r="Y656" s="114">
        <v>1</v>
      </c>
      <c r="Z656" s="116" t="s">
        <v>58</v>
      </c>
      <c r="AA656" s="114">
        <v>1</v>
      </c>
      <c r="AB656" s="114">
        <f>_xlfn.IFS(AT656&gt;51,3,AT656&gt;=34,2,AT656&lt;34,1)</f>
        <v>1</v>
      </c>
      <c r="AC656" s="114">
        <f>_xlfn.IFS(AS656&gt;35,1,AS656&gt;=28,2,AS656&lt;28,3)</f>
        <v>3</v>
      </c>
      <c r="AD656" s="114">
        <f>_xlfn.IFS(AR656&gt;2.3,3,AR656&gt;=1.7,2,AR656&lt;1.7,1)</f>
        <v>1</v>
      </c>
      <c r="AE656" s="114">
        <f>Y656+AA656+AB656+AC656+AD656</f>
        <v>7</v>
      </c>
      <c r="AF656" s="116" t="s">
        <v>63</v>
      </c>
      <c r="AG656" s="114">
        <f>AT656/17.1</f>
        <v>0.374269005847953</v>
      </c>
      <c r="AH656" s="114">
        <f>AU656/88.4</f>
        <v>0.882352941176471</v>
      </c>
      <c r="AI656" s="114">
        <f>AR656</f>
        <v>1.27</v>
      </c>
      <c r="AJ656" s="159">
        <f t="shared" ref="AJ656:AJ694" si="188">LN(IF(AG656&gt;=1,AG656,1))*3.8+LN(IF(AH656&gt;=1,AH656,1))*9.6+11.2*LN(IF(AI656&gt;=1,AI656,1))+6.4*AN656</f>
        <v>9.0769892852696</v>
      </c>
      <c r="AK656" s="160">
        <f t="shared" ref="AK656:AK694" si="189">IF(AND(AG656&gt;0,AH656&gt;0,AI656&gt;0),AJ656,"")</f>
        <v>9.0769892852696</v>
      </c>
      <c r="AL656" s="160">
        <f t="shared" ref="AL656:AL694" si="190">AK656+1.59*(135-AM656)</f>
        <v>9.0769892852696</v>
      </c>
      <c r="AM656" s="160">
        <f t="shared" ref="AM656:AM694" si="191">IF(AV656&gt;135,135,IF(AV656&lt;120,120,AV656))</f>
        <v>135</v>
      </c>
      <c r="AN656" s="114">
        <v>1</v>
      </c>
      <c r="AO656" s="114">
        <v>1</v>
      </c>
      <c r="AP656" s="114">
        <v>4.9</v>
      </c>
      <c r="AQ656" s="114">
        <v>57</v>
      </c>
      <c r="AR656" s="114">
        <v>1.27</v>
      </c>
      <c r="AS656" s="160">
        <v>26</v>
      </c>
      <c r="AT656" s="161">
        <v>6.4</v>
      </c>
      <c r="AU656" s="114">
        <v>78</v>
      </c>
      <c r="AV656" s="114">
        <v>143</v>
      </c>
      <c r="AZ656" s="119" t="s">
        <v>1941</v>
      </c>
    </row>
    <row r="657" spans="1:52">
      <c r="A657" s="113" t="s">
        <v>1942</v>
      </c>
      <c r="B657" s="113" t="s">
        <v>53</v>
      </c>
      <c r="C657" s="113">
        <v>81</v>
      </c>
      <c r="D657" s="113">
        <v>1.5</v>
      </c>
      <c r="E657" s="113">
        <v>50</v>
      </c>
      <c r="F657" s="136">
        <f t="shared" si="187"/>
        <v>22.2222222222222</v>
      </c>
      <c r="G657" s="113">
        <v>1</v>
      </c>
      <c r="H657" s="281">
        <v>45246</v>
      </c>
      <c r="I657" s="119" t="s">
        <v>1943</v>
      </c>
      <c r="J657" s="119" t="s">
        <v>1944</v>
      </c>
      <c r="L657" s="137">
        <v>1</v>
      </c>
      <c r="M657" s="138">
        <v>20</v>
      </c>
      <c r="N657" s="270" t="s">
        <v>1945</v>
      </c>
      <c r="O657" s="114"/>
      <c r="P657" s="114"/>
      <c r="Q657" s="114">
        <v>1</v>
      </c>
      <c r="R657" s="114"/>
      <c r="S657" s="114"/>
      <c r="T657" s="114">
        <v>0</v>
      </c>
      <c r="U657" s="114">
        <v>0</v>
      </c>
      <c r="V657" s="114">
        <v>0</v>
      </c>
      <c r="W657" s="114">
        <v>0</v>
      </c>
      <c r="X657" s="114">
        <v>1</v>
      </c>
      <c r="Y657" s="114">
        <v>1</v>
      </c>
      <c r="Z657" s="116" t="s">
        <v>58</v>
      </c>
      <c r="AA657" s="114">
        <v>1</v>
      </c>
      <c r="AB657" s="114">
        <f>_xlfn.IFS(AT657&gt;51,3,AT657&gt;=34,2,AT657&lt;34,1)</f>
        <v>1</v>
      </c>
      <c r="AC657" s="114">
        <f>_xlfn.IFS(AS657&gt;35,1,AS657&gt;=28,2,AS657&lt;28,3)</f>
        <v>3</v>
      </c>
      <c r="AD657" s="114">
        <f>_xlfn.IFS(AR657&gt;2.3,3,AR657&gt;=1.7,2,AR657&lt;1.7,1)</f>
        <v>1</v>
      </c>
      <c r="AE657" s="114">
        <f>Y657+AA657+AB657+AC657+AD657</f>
        <v>7</v>
      </c>
      <c r="AF657" s="116" t="s">
        <v>63</v>
      </c>
      <c r="AG657" s="114">
        <f>AT657/17.1</f>
        <v>1.91812865497076</v>
      </c>
      <c r="AH657" s="114">
        <f>AU657/88.4</f>
        <v>1.15384615384615</v>
      </c>
      <c r="AI657" s="114">
        <f>AR657</f>
        <v>1.57</v>
      </c>
      <c r="AJ657" s="159">
        <f t="shared" si="188"/>
        <v>15.3009452329345</v>
      </c>
      <c r="AK657" s="160">
        <f t="shared" si="189"/>
        <v>15.3009452329345</v>
      </c>
      <c r="AL657" s="160">
        <f t="shared" si="190"/>
        <v>15.3009452329345</v>
      </c>
      <c r="AM657" s="160">
        <f t="shared" si="191"/>
        <v>135</v>
      </c>
      <c r="AN657" s="114">
        <v>1</v>
      </c>
      <c r="AO657" s="116">
        <v>2</v>
      </c>
      <c r="AP657" s="114">
        <v>10.86</v>
      </c>
      <c r="AQ657" s="114">
        <v>56</v>
      </c>
      <c r="AR657" s="114">
        <v>1.57</v>
      </c>
      <c r="AS657" s="160">
        <v>21</v>
      </c>
      <c r="AT657" s="161">
        <v>32.8</v>
      </c>
      <c r="AU657" s="114">
        <v>102</v>
      </c>
      <c r="AV657" s="114">
        <v>147</v>
      </c>
      <c r="AZ657" s="119" t="s">
        <v>1946</v>
      </c>
    </row>
    <row r="658" spans="1:52">
      <c r="A658" s="113" t="s">
        <v>1947</v>
      </c>
      <c r="B658" s="113" t="s">
        <v>48</v>
      </c>
      <c r="C658" s="113">
        <v>70</v>
      </c>
      <c r="D658" s="113">
        <v>1.72</v>
      </c>
      <c r="E658" s="113">
        <v>84</v>
      </c>
      <c r="F658" s="136">
        <f t="shared" si="187"/>
        <v>28.3937263385614</v>
      </c>
      <c r="G658" s="113">
        <v>6</v>
      </c>
      <c r="H658" s="281">
        <v>45250</v>
      </c>
      <c r="I658" s="119" t="s">
        <v>1948</v>
      </c>
      <c r="J658" s="119" t="s">
        <v>1949</v>
      </c>
      <c r="L658" s="137">
        <v>1</v>
      </c>
      <c r="M658" s="138">
        <v>6</v>
      </c>
      <c r="N658" s="270" t="s">
        <v>1950</v>
      </c>
      <c r="O658" s="114"/>
      <c r="P658" s="114">
        <v>1</v>
      </c>
      <c r="Q658" s="114"/>
      <c r="R658" s="114"/>
      <c r="S658" s="114"/>
      <c r="T658" s="114">
        <v>0</v>
      </c>
      <c r="U658" s="114">
        <v>0</v>
      </c>
      <c r="V658" s="114">
        <v>1</v>
      </c>
      <c r="W658" s="114">
        <v>0</v>
      </c>
      <c r="X658" s="114">
        <v>1</v>
      </c>
      <c r="Y658" s="114">
        <v>1</v>
      </c>
      <c r="Z658" s="116" t="s">
        <v>58</v>
      </c>
      <c r="AA658" s="114">
        <v>1</v>
      </c>
      <c r="AB658" s="114">
        <f>_xlfn.IFS(AT658&gt;51,3,AT658&gt;=34,2,AT658&lt;34,1)</f>
        <v>1</v>
      </c>
      <c r="AC658" s="114">
        <f>_xlfn.IFS(AS658&gt;35,1,AS658&gt;=28,2,AS658&lt;28,3)</f>
        <v>2</v>
      </c>
      <c r="AD658" s="114">
        <f>_xlfn.IFS(AR658&gt;2.3,3,AR658&gt;=1.7,2,AR658&lt;1.7,1)</f>
        <v>1</v>
      </c>
      <c r="AE658" s="114">
        <f>Y658+AA658+AB658+AC658+AD658</f>
        <v>6</v>
      </c>
      <c r="AF658" s="116" t="s">
        <v>59</v>
      </c>
      <c r="AG658" s="114">
        <f>AT658/17.1</f>
        <v>1.01169590643275</v>
      </c>
      <c r="AH658" s="114">
        <f>AU658/88.4</f>
        <v>0.916289592760181</v>
      </c>
      <c r="AI658" s="114">
        <f>AR658</f>
        <v>1.2</v>
      </c>
      <c r="AJ658" s="159">
        <f t="shared" si="188"/>
        <v>2.08618798047374</v>
      </c>
      <c r="AK658" s="160">
        <f t="shared" si="189"/>
        <v>2.08618798047374</v>
      </c>
      <c r="AL658" s="160">
        <f t="shared" si="190"/>
        <v>2.08618798047374</v>
      </c>
      <c r="AM658" s="160">
        <f t="shared" si="191"/>
        <v>135</v>
      </c>
      <c r="AN658" s="114">
        <v>0</v>
      </c>
      <c r="AO658" s="114">
        <v>1</v>
      </c>
      <c r="AP658" s="114">
        <v>1.59</v>
      </c>
      <c r="AQ658" s="114">
        <v>67</v>
      </c>
      <c r="AR658" s="114">
        <v>1.2</v>
      </c>
      <c r="AS658" s="160">
        <v>34</v>
      </c>
      <c r="AT658" s="161">
        <v>17.3</v>
      </c>
      <c r="AU658" s="114">
        <v>81</v>
      </c>
      <c r="AV658" s="114">
        <v>141</v>
      </c>
      <c r="AZ658" s="119" t="s">
        <v>1951</v>
      </c>
    </row>
    <row r="659" spans="1:52">
      <c r="A659" s="113" t="s">
        <v>1952</v>
      </c>
      <c r="B659" s="113" t="s">
        <v>53</v>
      </c>
      <c r="C659" s="113">
        <v>75</v>
      </c>
      <c r="D659" s="113">
        <v>1.64</v>
      </c>
      <c r="E659" s="113">
        <v>50</v>
      </c>
      <c r="F659" s="136">
        <f t="shared" si="187"/>
        <v>18.5901249256395</v>
      </c>
      <c r="G659" s="113">
        <v>1</v>
      </c>
      <c r="H659" s="281">
        <v>45248</v>
      </c>
      <c r="I659" s="119" t="s">
        <v>1953</v>
      </c>
      <c r="J659" s="119" t="s">
        <v>1954</v>
      </c>
      <c r="L659" s="137">
        <v>1</v>
      </c>
      <c r="M659" s="138">
        <v>12</v>
      </c>
      <c r="N659" s="270" t="s">
        <v>1955</v>
      </c>
      <c r="O659" s="114"/>
      <c r="P659" s="114"/>
      <c r="Q659" s="114"/>
      <c r="R659" s="114">
        <v>1</v>
      </c>
      <c r="S659" s="114"/>
      <c r="T659" s="114">
        <v>0</v>
      </c>
      <c r="U659" s="114">
        <v>0</v>
      </c>
      <c r="V659" s="114">
        <v>1</v>
      </c>
      <c r="W659" s="114">
        <v>0</v>
      </c>
      <c r="X659" s="114">
        <v>1</v>
      </c>
      <c r="Y659" s="114">
        <v>1</v>
      </c>
      <c r="Z659" s="116" t="s">
        <v>58</v>
      </c>
      <c r="AA659" s="114">
        <v>1</v>
      </c>
      <c r="AB659" s="114">
        <f>_xlfn.IFS(AT659&gt;51,3,AT659&gt;=34,2,AT659&lt;34,1)</f>
        <v>1</v>
      </c>
      <c r="AC659" s="114">
        <f>_xlfn.IFS(AS659&gt;35,1,AS659&gt;=28,2,AS659&lt;28,3)</f>
        <v>2</v>
      </c>
      <c r="AD659" s="114">
        <f>_xlfn.IFS(AR659&gt;2.3,3,AR659&gt;=1.7,2,AR659&lt;1.7,1)</f>
        <v>1</v>
      </c>
      <c r="AE659" s="114">
        <f>Y659+AA659+AB659+AC659+AD659</f>
        <v>6</v>
      </c>
      <c r="AF659" s="116" t="s">
        <v>59</v>
      </c>
      <c r="AG659" s="114">
        <f>AT659/17.1</f>
        <v>1.05847953216374</v>
      </c>
      <c r="AH659" s="114">
        <f>AU659/88.4</f>
        <v>0.497737556561086</v>
      </c>
      <c r="AI659" s="114">
        <f>AR659</f>
        <v>1.13</v>
      </c>
      <c r="AJ659" s="159">
        <f t="shared" si="188"/>
        <v>1.58480469061162</v>
      </c>
      <c r="AK659" s="160">
        <f t="shared" si="189"/>
        <v>1.58480469061162</v>
      </c>
      <c r="AL659" s="160">
        <f t="shared" si="190"/>
        <v>1.58480469061162</v>
      </c>
      <c r="AM659" s="160">
        <f t="shared" si="191"/>
        <v>135</v>
      </c>
      <c r="AN659" s="114">
        <v>0</v>
      </c>
      <c r="AO659" s="114">
        <v>1</v>
      </c>
      <c r="AP659" s="114">
        <v>3.92</v>
      </c>
      <c r="AQ659" s="114">
        <v>76</v>
      </c>
      <c r="AR659" s="114">
        <v>1.13</v>
      </c>
      <c r="AS659" s="160">
        <v>31</v>
      </c>
      <c r="AT659" s="161">
        <v>18.1</v>
      </c>
      <c r="AU659" s="114">
        <v>44</v>
      </c>
      <c r="AV659" s="114">
        <v>136</v>
      </c>
      <c r="AZ659" s="119" t="s">
        <v>1956</v>
      </c>
    </row>
    <row r="660" s="125" customFormat="1" spans="1:52">
      <c r="A660" s="272" t="s">
        <v>848</v>
      </c>
      <c r="B660" s="272" t="s">
        <v>53</v>
      </c>
      <c r="C660" s="272">
        <v>68</v>
      </c>
      <c r="D660" s="272">
        <v>1.6</v>
      </c>
      <c r="E660" s="272">
        <v>40</v>
      </c>
      <c r="F660" s="216">
        <f t="shared" si="187"/>
        <v>15.625</v>
      </c>
      <c r="G660" s="272">
        <v>2</v>
      </c>
      <c r="H660" s="296">
        <v>45248</v>
      </c>
      <c r="I660" s="131" t="s">
        <v>1953</v>
      </c>
      <c r="J660" s="131" t="s">
        <v>1957</v>
      </c>
      <c r="L660" s="187">
        <v>7</v>
      </c>
      <c r="M660" s="187">
        <v>23</v>
      </c>
      <c r="N660" s="248" t="s">
        <v>1958</v>
      </c>
      <c r="Q660" s="125">
        <v>1</v>
      </c>
      <c r="R660" s="125">
        <v>1</v>
      </c>
      <c r="T660" s="125">
        <v>1</v>
      </c>
      <c r="U660" s="125">
        <v>0</v>
      </c>
      <c r="V660" s="125">
        <v>0</v>
      </c>
      <c r="W660" s="125">
        <v>1</v>
      </c>
      <c r="X660" s="125">
        <v>1</v>
      </c>
      <c r="Y660" s="125">
        <v>1</v>
      </c>
      <c r="Z660" s="131" t="s">
        <v>321</v>
      </c>
      <c r="AA660" s="125">
        <v>3</v>
      </c>
      <c r="AB660" s="114">
        <f>_xlfn.IFS(AT660&gt;51,3,AT660&gt;=34,2,AT660&lt;34,1)</f>
        <v>2</v>
      </c>
      <c r="AC660" s="114">
        <f>_xlfn.IFS(AS660&gt;35,1,AS660&gt;=28,2,AS660&lt;28,3)</f>
        <v>3</v>
      </c>
      <c r="AD660" s="114">
        <f>_xlfn.IFS(AR660&gt;2.3,3,AR660&gt;=1.7,2,AR660&lt;1.7,1)</f>
        <v>1</v>
      </c>
      <c r="AE660" s="114">
        <f>Y660+AA660+AB660+AC660+AD660</f>
        <v>10</v>
      </c>
      <c r="AF660" s="131" t="s">
        <v>50</v>
      </c>
      <c r="AG660" s="125">
        <f t="shared" ref="AG660:AG694" si="192">AT660/17.1</f>
        <v>2.04093567251462</v>
      </c>
      <c r="AH660" s="125">
        <f t="shared" ref="AH660:AH694" si="193">AU660/88.4</f>
        <v>1.18778280542986</v>
      </c>
      <c r="AI660" s="125">
        <f t="shared" ref="AI660:AI694" si="194">AR660</f>
        <v>1.43</v>
      </c>
      <c r="AJ660" s="240">
        <f t="shared" si="188"/>
        <v>8.36895401843714</v>
      </c>
      <c r="AK660" s="241">
        <f t="shared" si="189"/>
        <v>8.36895401843714</v>
      </c>
      <c r="AL660" s="241">
        <f t="shared" si="190"/>
        <v>11.5489540184371</v>
      </c>
      <c r="AM660" s="241">
        <f t="shared" si="191"/>
        <v>133</v>
      </c>
      <c r="AN660" s="125">
        <v>0</v>
      </c>
      <c r="AO660" s="125">
        <v>1</v>
      </c>
      <c r="AP660" s="125">
        <v>4.05</v>
      </c>
      <c r="AQ660" s="125">
        <v>80</v>
      </c>
      <c r="AR660" s="125">
        <v>1.43</v>
      </c>
      <c r="AS660" s="241">
        <v>27</v>
      </c>
      <c r="AT660" s="242">
        <v>34.9</v>
      </c>
      <c r="AU660" s="125">
        <v>105</v>
      </c>
      <c r="AV660" s="125">
        <v>133</v>
      </c>
      <c r="AZ660" s="131" t="s">
        <v>1959</v>
      </c>
    </row>
    <row r="661" spans="1:52">
      <c r="A661" s="113" t="s">
        <v>1641</v>
      </c>
      <c r="B661" s="113" t="s">
        <v>53</v>
      </c>
      <c r="C661" s="113">
        <v>61</v>
      </c>
      <c r="D661" s="113">
        <v>1.6</v>
      </c>
      <c r="E661" s="113">
        <v>45</v>
      </c>
      <c r="F661" s="136">
        <f t="shared" si="187"/>
        <v>17.578125</v>
      </c>
      <c r="G661" s="113">
        <v>0</v>
      </c>
      <c r="H661" s="281">
        <v>45250</v>
      </c>
      <c r="I661" s="119" t="s">
        <v>1948</v>
      </c>
      <c r="J661" s="119" t="s">
        <v>1954</v>
      </c>
      <c r="L661" s="137">
        <v>4</v>
      </c>
      <c r="M661" s="138">
        <v>10</v>
      </c>
      <c r="N661" s="270" t="s">
        <v>1960</v>
      </c>
      <c r="O661" s="114"/>
      <c r="P661" s="114"/>
      <c r="Q661" s="116" t="s">
        <v>1961</v>
      </c>
      <c r="R661" s="114"/>
      <c r="S661" s="114"/>
      <c r="T661" s="114">
        <v>0</v>
      </c>
      <c r="U661" s="114">
        <v>0</v>
      </c>
      <c r="V661" s="114">
        <v>1</v>
      </c>
      <c r="W661" s="114">
        <v>0</v>
      </c>
      <c r="X661" s="114">
        <v>1</v>
      </c>
      <c r="Y661" s="114">
        <v>1</v>
      </c>
      <c r="Z661" s="116" t="s">
        <v>58</v>
      </c>
      <c r="AA661" s="114">
        <v>1</v>
      </c>
      <c r="AB661" s="114">
        <f>_xlfn.IFS(AT661&gt;51,3,AT661&gt;=34,2,AT661&lt;34,1)</f>
        <v>1</v>
      </c>
      <c r="AC661" s="114">
        <f>_xlfn.IFS(AS661&gt;35,1,AS661&gt;=28,2,AS661&lt;28,3)</f>
        <v>2</v>
      </c>
      <c r="AD661" s="114">
        <f>_xlfn.IFS(AR661&gt;2.3,3,AR661&gt;=1.7,2,AR661&lt;1.7,1)</f>
        <v>1</v>
      </c>
      <c r="AE661" s="114">
        <f>Y661+AA661+AB661+AC661+AD661</f>
        <v>6</v>
      </c>
      <c r="AF661" s="116" t="s">
        <v>59</v>
      </c>
      <c r="AG661" s="114">
        <f t="shared" si="192"/>
        <v>0.526315789473684</v>
      </c>
      <c r="AH661" s="114">
        <f t="shared" si="193"/>
        <v>0.588235294117647</v>
      </c>
      <c r="AI661" s="114">
        <f t="shared" si="194"/>
        <v>1.13</v>
      </c>
      <c r="AJ661" s="159">
        <f t="shared" si="188"/>
        <v>7.76883748651159</v>
      </c>
      <c r="AK661" s="160">
        <f t="shared" si="189"/>
        <v>7.76883748651159</v>
      </c>
      <c r="AL661" s="160">
        <f t="shared" si="190"/>
        <v>7.76883748651159</v>
      </c>
      <c r="AM661" s="160">
        <f t="shared" si="191"/>
        <v>135</v>
      </c>
      <c r="AN661" s="114">
        <v>1</v>
      </c>
      <c r="AO661" s="114">
        <v>1</v>
      </c>
      <c r="AP661" s="114">
        <v>2.84</v>
      </c>
      <c r="AQ661" s="114">
        <v>75</v>
      </c>
      <c r="AR661" s="114">
        <v>1.13</v>
      </c>
      <c r="AS661" s="160">
        <v>34</v>
      </c>
      <c r="AT661" s="161">
        <v>9</v>
      </c>
      <c r="AU661" s="114">
        <v>52</v>
      </c>
      <c r="AV661" s="114">
        <v>139</v>
      </c>
      <c r="AZ661" s="119" t="s">
        <v>1962</v>
      </c>
    </row>
    <row r="662" spans="1:52">
      <c r="A662" s="113" t="s">
        <v>1963</v>
      </c>
      <c r="B662" s="113" t="s">
        <v>48</v>
      </c>
      <c r="C662" s="113">
        <v>74</v>
      </c>
      <c r="D662" s="113">
        <v>1.76</v>
      </c>
      <c r="E662" s="113">
        <v>60</v>
      </c>
      <c r="F662" s="136">
        <f t="shared" si="187"/>
        <v>19.3698347107438</v>
      </c>
      <c r="G662" s="113">
        <v>0</v>
      </c>
      <c r="H662" s="281">
        <v>45258</v>
      </c>
      <c r="I662" s="119" t="s">
        <v>1964</v>
      </c>
      <c r="J662" s="119" t="s">
        <v>1965</v>
      </c>
      <c r="L662" s="137">
        <v>1</v>
      </c>
      <c r="M662" s="138">
        <v>10</v>
      </c>
      <c r="N662" s="270" t="s">
        <v>1966</v>
      </c>
      <c r="O662" s="114"/>
      <c r="P662" s="114">
        <v>1</v>
      </c>
      <c r="Q662" s="114"/>
      <c r="R662" s="114"/>
      <c r="S662" s="114"/>
      <c r="T662" s="114">
        <v>0</v>
      </c>
      <c r="U662" s="114">
        <v>0</v>
      </c>
      <c r="V662" s="114">
        <v>1</v>
      </c>
      <c r="W662" s="114">
        <v>0</v>
      </c>
      <c r="X662" s="114">
        <v>1</v>
      </c>
      <c r="Y662" s="114">
        <v>1</v>
      </c>
      <c r="Z662" s="116" t="s">
        <v>58</v>
      </c>
      <c r="AA662" s="114">
        <v>1</v>
      </c>
      <c r="AB662" s="114">
        <f>_xlfn.IFS(AT662&gt;51,3,AT662&gt;=34,2,AT662&lt;34,1)</f>
        <v>1</v>
      </c>
      <c r="AC662" s="114">
        <f>_xlfn.IFS(AS662&gt;35,1,AS662&gt;=28,2,AS662&lt;28,3)</f>
        <v>1</v>
      </c>
      <c r="AD662" s="114">
        <f>_xlfn.IFS(AR662&gt;2.3,3,AR662&gt;=1.7,2,AR662&lt;1.7,1)</f>
        <v>1</v>
      </c>
      <c r="AE662" s="114">
        <f>Y662+AA662+AB662+AC662+AD662</f>
        <v>5</v>
      </c>
      <c r="AF662" s="116" t="s">
        <v>59</v>
      </c>
      <c r="AG662" s="114">
        <f t="shared" si="192"/>
        <v>0.637426900584795</v>
      </c>
      <c r="AH662" s="114">
        <f t="shared" si="193"/>
        <v>1.26696832579186</v>
      </c>
      <c r="AI662" s="114">
        <f t="shared" si="194"/>
        <v>0.99</v>
      </c>
      <c r="AJ662" s="159">
        <f t="shared" si="188"/>
        <v>2.27161825585437</v>
      </c>
      <c r="AK662" s="160">
        <f t="shared" si="189"/>
        <v>2.27161825585437</v>
      </c>
      <c r="AL662" s="160">
        <f t="shared" si="190"/>
        <v>2.27161825585437</v>
      </c>
      <c r="AM662" s="160">
        <f t="shared" si="191"/>
        <v>135</v>
      </c>
      <c r="AN662" s="114">
        <v>0</v>
      </c>
      <c r="AO662" s="114">
        <v>1</v>
      </c>
      <c r="AP662" s="114">
        <v>4.14</v>
      </c>
      <c r="AQ662" s="114">
        <v>65</v>
      </c>
      <c r="AR662" s="114">
        <v>0.99</v>
      </c>
      <c r="AS662" s="160">
        <v>39</v>
      </c>
      <c r="AT662" s="161">
        <v>10.9</v>
      </c>
      <c r="AU662" s="114">
        <v>112</v>
      </c>
      <c r="AV662" s="114">
        <v>143</v>
      </c>
      <c r="AZ662" s="119" t="s">
        <v>1967</v>
      </c>
    </row>
    <row r="663" spans="1:52">
      <c r="A663" s="113" t="s">
        <v>396</v>
      </c>
      <c r="B663" s="113" t="s">
        <v>48</v>
      </c>
      <c r="C663" s="113">
        <v>52</v>
      </c>
      <c r="D663" s="113">
        <v>1.75</v>
      </c>
      <c r="E663" s="113">
        <v>90</v>
      </c>
      <c r="F663" s="136">
        <f t="shared" si="187"/>
        <v>29.3877551020408</v>
      </c>
      <c r="G663" s="113">
        <v>1</v>
      </c>
      <c r="H663" s="281">
        <v>45260</v>
      </c>
      <c r="I663" s="119" t="s">
        <v>1954</v>
      </c>
      <c r="J663" s="119" t="s">
        <v>1968</v>
      </c>
      <c r="L663" s="137">
        <v>4</v>
      </c>
      <c r="M663" s="138">
        <v>7</v>
      </c>
      <c r="N663" s="270" t="s">
        <v>1969</v>
      </c>
      <c r="O663" s="114"/>
      <c r="P663" s="114">
        <v>1</v>
      </c>
      <c r="Q663" s="114"/>
      <c r="R663" s="114"/>
      <c r="S663" s="114"/>
      <c r="T663" s="114">
        <v>1</v>
      </c>
      <c r="U663" s="114">
        <v>0</v>
      </c>
      <c r="V663" s="114">
        <v>0</v>
      </c>
      <c r="W663" s="114">
        <v>0</v>
      </c>
      <c r="X663" s="114">
        <v>1</v>
      </c>
      <c r="Y663" s="114">
        <v>1</v>
      </c>
      <c r="Z663" s="116" t="s">
        <v>300</v>
      </c>
      <c r="AA663" s="114">
        <v>2</v>
      </c>
      <c r="AB663" s="114">
        <f t="shared" ref="AB663:AB671" si="195">_xlfn.IFS(AT663&gt;51,3,AT663&gt;=34,2,AT663&lt;34,1)</f>
        <v>3</v>
      </c>
      <c r="AC663" s="114">
        <f t="shared" ref="AC663:AC671" si="196">_xlfn.IFS(AS663&gt;35,1,AS663&gt;=28,2,AS663&lt;28,3)</f>
        <v>3</v>
      </c>
      <c r="AD663" s="114">
        <f t="shared" ref="AD663:AD671" si="197">_xlfn.IFS(AR663&gt;2.3,3,AR663&gt;=1.7,2,AR663&lt;1.7,1)</f>
        <v>1</v>
      </c>
      <c r="AE663" s="114">
        <f t="shared" ref="AE663:AE671" si="198">Y663+AA663+AB663+AC663+AD663</f>
        <v>10</v>
      </c>
      <c r="AF663" s="116" t="s">
        <v>50</v>
      </c>
      <c r="AG663" s="114">
        <f t="shared" si="192"/>
        <v>4.09941520467836</v>
      </c>
      <c r="AH663" s="114">
        <f t="shared" si="193"/>
        <v>0.995475113122172</v>
      </c>
      <c r="AI663" s="114">
        <f t="shared" si="194"/>
        <v>1.62</v>
      </c>
      <c r="AJ663" s="159">
        <f t="shared" si="188"/>
        <v>10.7643813275574</v>
      </c>
      <c r="AK663" s="160">
        <f t="shared" si="189"/>
        <v>10.7643813275574</v>
      </c>
      <c r="AL663" s="160">
        <f t="shared" si="190"/>
        <v>10.7643813275574</v>
      </c>
      <c r="AM663" s="160">
        <f t="shared" si="191"/>
        <v>135</v>
      </c>
      <c r="AN663" s="114">
        <v>0</v>
      </c>
      <c r="AO663" s="114">
        <v>1</v>
      </c>
      <c r="AP663" s="114">
        <v>3.18</v>
      </c>
      <c r="AQ663" s="114">
        <v>112</v>
      </c>
      <c r="AR663" s="114">
        <v>1.62</v>
      </c>
      <c r="AS663" s="160">
        <v>23</v>
      </c>
      <c r="AT663" s="161">
        <v>70.1</v>
      </c>
      <c r="AU663" s="114">
        <v>88</v>
      </c>
      <c r="AV663" s="114">
        <v>140</v>
      </c>
      <c r="AZ663" s="119" t="s">
        <v>1970</v>
      </c>
    </row>
    <row r="664" spans="1:52">
      <c r="A664" s="113" t="s">
        <v>1971</v>
      </c>
      <c r="B664" s="113" t="s">
        <v>48</v>
      </c>
      <c r="C664" s="113">
        <v>61</v>
      </c>
      <c r="D664" s="113">
        <v>1.74</v>
      </c>
      <c r="E664" s="113">
        <v>76</v>
      </c>
      <c r="F664" s="136">
        <f t="shared" si="187"/>
        <v>25.1023913330691</v>
      </c>
      <c r="G664" s="113">
        <v>3</v>
      </c>
      <c r="H664" s="281">
        <v>45262</v>
      </c>
      <c r="I664" s="119" t="s">
        <v>1972</v>
      </c>
      <c r="J664" s="119" t="s">
        <v>1973</v>
      </c>
      <c r="L664" s="137">
        <v>1</v>
      </c>
      <c r="M664" s="138">
        <v>3</v>
      </c>
      <c r="N664" s="270" t="s">
        <v>1974</v>
      </c>
      <c r="O664" s="114"/>
      <c r="P664" s="114"/>
      <c r="Q664" s="116" t="s">
        <v>1083</v>
      </c>
      <c r="R664" s="114">
        <v>1</v>
      </c>
      <c r="S664" s="114"/>
      <c r="T664" s="114">
        <v>0</v>
      </c>
      <c r="U664" s="114">
        <v>0</v>
      </c>
      <c r="V664" s="114">
        <v>0</v>
      </c>
      <c r="W664" s="114">
        <v>0</v>
      </c>
      <c r="X664" s="114">
        <v>0</v>
      </c>
      <c r="Y664" s="114">
        <v>1</v>
      </c>
      <c r="Z664" s="116" t="s">
        <v>58</v>
      </c>
      <c r="AA664" s="114">
        <v>1</v>
      </c>
      <c r="AB664" s="114">
        <f t="shared" si="195"/>
        <v>1</v>
      </c>
      <c r="AC664" s="114">
        <f t="shared" si="196"/>
        <v>1</v>
      </c>
      <c r="AD664" s="114">
        <f t="shared" si="197"/>
        <v>1</v>
      </c>
      <c r="AE664" s="114">
        <f t="shared" si="198"/>
        <v>5</v>
      </c>
      <c r="AF664" s="116" t="s">
        <v>59</v>
      </c>
      <c r="AG664" s="114">
        <f t="shared" si="192"/>
        <v>1.55555555555556</v>
      </c>
      <c r="AH664" s="114">
        <f t="shared" si="193"/>
        <v>0.80316742081448</v>
      </c>
      <c r="AI664" s="114">
        <f t="shared" si="194"/>
        <v>1.17</v>
      </c>
      <c r="AJ664" s="159">
        <f t="shared" si="188"/>
        <v>3.43740644532859</v>
      </c>
      <c r="AK664" s="160">
        <f t="shared" si="189"/>
        <v>3.43740644532859</v>
      </c>
      <c r="AL664" s="160">
        <f t="shared" si="190"/>
        <v>3.43740644532859</v>
      </c>
      <c r="AM664" s="160">
        <f t="shared" si="191"/>
        <v>135</v>
      </c>
      <c r="AN664" s="114">
        <v>0</v>
      </c>
      <c r="AO664" s="114">
        <v>1</v>
      </c>
      <c r="AP664" s="114">
        <v>3.48</v>
      </c>
      <c r="AQ664" s="114">
        <v>156</v>
      </c>
      <c r="AR664" s="114">
        <v>1.17</v>
      </c>
      <c r="AS664" s="160">
        <v>42</v>
      </c>
      <c r="AT664" s="161">
        <v>26.6</v>
      </c>
      <c r="AU664" s="114">
        <v>71</v>
      </c>
      <c r="AV664" s="114">
        <v>145</v>
      </c>
      <c r="AZ664" s="119" t="s">
        <v>1975</v>
      </c>
    </row>
    <row r="665" spans="1:52">
      <c r="A665" s="113" t="s">
        <v>1976</v>
      </c>
      <c r="B665" s="113" t="s">
        <v>53</v>
      </c>
      <c r="C665" s="113">
        <v>68</v>
      </c>
      <c r="D665" s="113">
        <v>1.59</v>
      </c>
      <c r="E665" s="113">
        <v>65</v>
      </c>
      <c r="F665" s="136">
        <f t="shared" si="187"/>
        <v>25.711008267078</v>
      </c>
      <c r="G665" s="113">
        <v>6</v>
      </c>
      <c r="H665" s="281">
        <v>45264</v>
      </c>
      <c r="I665" s="119" t="s">
        <v>1977</v>
      </c>
      <c r="J665" s="119" t="s">
        <v>1978</v>
      </c>
      <c r="L665" s="137">
        <v>1</v>
      </c>
      <c r="M665" s="138">
        <v>8</v>
      </c>
      <c r="N665" s="270" t="s">
        <v>1979</v>
      </c>
      <c r="O665" s="114"/>
      <c r="P665" s="114">
        <v>1</v>
      </c>
      <c r="Q665" s="114"/>
      <c r="R665" s="114"/>
      <c r="S665" s="114"/>
      <c r="T665" s="114">
        <v>0</v>
      </c>
      <c r="U665" s="114">
        <v>0</v>
      </c>
      <c r="V665" s="114">
        <v>1</v>
      </c>
      <c r="W665" s="114">
        <v>0</v>
      </c>
      <c r="X665" s="114">
        <v>1</v>
      </c>
      <c r="Y665" s="114">
        <v>1</v>
      </c>
      <c r="Z665" s="116" t="s">
        <v>58</v>
      </c>
      <c r="AA665" s="114">
        <v>1</v>
      </c>
      <c r="AB665" s="114">
        <f t="shared" si="195"/>
        <v>1</v>
      </c>
      <c r="AC665" s="114">
        <f t="shared" si="196"/>
        <v>2</v>
      </c>
      <c r="AD665" s="114">
        <f t="shared" si="197"/>
        <v>1</v>
      </c>
      <c r="AE665" s="114">
        <f t="shared" si="198"/>
        <v>6</v>
      </c>
      <c r="AF665" s="116" t="s">
        <v>59</v>
      </c>
      <c r="AG665" s="114">
        <f t="shared" si="192"/>
        <v>0.391812865497076</v>
      </c>
      <c r="AH665" s="114">
        <f t="shared" si="193"/>
        <v>0.429864253393665</v>
      </c>
      <c r="AI665" s="114">
        <f t="shared" si="194"/>
        <v>1.05</v>
      </c>
      <c r="AJ665" s="159">
        <f t="shared" si="188"/>
        <v>0.546449838697639</v>
      </c>
      <c r="AK665" s="160">
        <f t="shared" si="189"/>
        <v>0.546449838697639</v>
      </c>
      <c r="AL665" s="160">
        <f t="shared" si="190"/>
        <v>0.546449838697639</v>
      </c>
      <c r="AM665" s="160">
        <f t="shared" si="191"/>
        <v>135</v>
      </c>
      <c r="AN665" s="114">
        <v>0</v>
      </c>
      <c r="AO665" s="114">
        <v>1</v>
      </c>
      <c r="AP665" s="114">
        <v>2.95</v>
      </c>
      <c r="AQ665" s="114">
        <v>68</v>
      </c>
      <c r="AR665" s="114">
        <v>1.05</v>
      </c>
      <c r="AS665" s="160">
        <v>34</v>
      </c>
      <c r="AT665" s="161">
        <v>6.7</v>
      </c>
      <c r="AU665" s="114">
        <v>38</v>
      </c>
      <c r="AV665" s="114">
        <v>139</v>
      </c>
      <c r="AZ665" s="119" t="s">
        <v>1980</v>
      </c>
    </row>
    <row r="666" spans="1:52">
      <c r="A666" s="113" t="s">
        <v>1872</v>
      </c>
      <c r="B666" s="113" t="s">
        <v>48</v>
      </c>
      <c r="C666" s="113">
        <v>72</v>
      </c>
      <c r="D666" s="113">
        <v>1.71</v>
      </c>
      <c r="E666" s="113">
        <v>82</v>
      </c>
      <c r="F666" s="136">
        <f t="shared" si="187"/>
        <v>28.0428165931398</v>
      </c>
      <c r="G666" s="113">
        <v>1</v>
      </c>
      <c r="H666" s="281">
        <v>45264</v>
      </c>
      <c r="I666" s="119" t="s">
        <v>1977</v>
      </c>
      <c r="J666" s="119" t="s">
        <v>1957</v>
      </c>
      <c r="L666" s="137">
        <v>3</v>
      </c>
      <c r="M666" s="138">
        <v>7</v>
      </c>
      <c r="N666" s="270" t="s">
        <v>1981</v>
      </c>
      <c r="O666" s="114"/>
      <c r="P666" s="114"/>
      <c r="Q666" s="114"/>
      <c r="R666" s="114"/>
      <c r="S666" s="114">
        <v>1</v>
      </c>
      <c r="T666" s="114">
        <v>0</v>
      </c>
      <c r="U666" s="114">
        <v>0</v>
      </c>
      <c r="V666" s="114">
        <v>1</v>
      </c>
      <c r="W666" s="114">
        <v>0</v>
      </c>
      <c r="X666" s="114">
        <v>1</v>
      </c>
      <c r="Y666" s="114">
        <v>1</v>
      </c>
      <c r="Z666" s="116" t="s">
        <v>58</v>
      </c>
      <c r="AA666" s="114">
        <v>1</v>
      </c>
      <c r="AB666" s="114">
        <f t="shared" si="195"/>
        <v>1</v>
      </c>
      <c r="AC666" s="114">
        <f t="shared" si="196"/>
        <v>1</v>
      </c>
      <c r="AD666" s="114">
        <f t="shared" si="197"/>
        <v>1</v>
      </c>
      <c r="AE666" s="114">
        <f t="shared" si="198"/>
        <v>5</v>
      </c>
      <c r="AF666" s="116" t="s">
        <v>59</v>
      </c>
      <c r="AG666" s="114">
        <f t="shared" si="192"/>
        <v>1.01754385964912</v>
      </c>
      <c r="AH666" s="114">
        <f t="shared" si="193"/>
        <v>0.916289592760181</v>
      </c>
      <c r="AI666" s="114">
        <f t="shared" si="194"/>
        <v>1.03</v>
      </c>
      <c r="AJ666" s="159">
        <f t="shared" si="188"/>
        <v>6.7971472074104</v>
      </c>
      <c r="AK666" s="160">
        <f t="shared" si="189"/>
        <v>6.7971472074104</v>
      </c>
      <c r="AL666" s="160">
        <f t="shared" si="190"/>
        <v>6.7971472074104</v>
      </c>
      <c r="AM666" s="160">
        <f t="shared" si="191"/>
        <v>135</v>
      </c>
      <c r="AN666" s="114">
        <v>1</v>
      </c>
      <c r="AO666" s="114">
        <v>1</v>
      </c>
      <c r="AP666" s="114">
        <v>1.94</v>
      </c>
      <c r="AQ666" s="114">
        <v>50</v>
      </c>
      <c r="AR666" s="114">
        <v>1.03</v>
      </c>
      <c r="AS666" s="160">
        <v>37</v>
      </c>
      <c r="AT666" s="161">
        <v>17.4</v>
      </c>
      <c r="AU666" s="114">
        <v>81</v>
      </c>
      <c r="AV666" s="114">
        <v>143</v>
      </c>
      <c r="AZ666" s="119" t="s">
        <v>1982</v>
      </c>
    </row>
    <row r="667" spans="1:52">
      <c r="A667" s="113" t="s">
        <v>1983</v>
      </c>
      <c r="B667" s="113" t="s">
        <v>48</v>
      </c>
      <c r="C667" s="113">
        <v>75</v>
      </c>
      <c r="D667" s="113">
        <v>1.57</v>
      </c>
      <c r="E667" s="113">
        <v>65</v>
      </c>
      <c r="F667" s="136">
        <f t="shared" si="187"/>
        <v>26.3702381435352</v>
      </c>
      <c r="G667" s="113">
        <v>3</v>
      </c>
      <c r="H667" s="281">
        <v>45264</v>
      </c>
      <c r="I667" s="119" t="s">
        <v>1977</v>
      </c>
      <c r="J667" s="119" t="s">
        <v>1984</v>
      </c>
      <c r="L667" s="137">
        <v>1</v>
      </c>
      <c r="M667" s="138">
        <v>5</v>
      </c>
      <c r="N667" s="270" t="s">
        <v>1985</v>
      </c>
      <c r="O667" s="114"/>
      <c r="P667" s="114"/>
      <c r="Q667" s="114"/>
      <c r="R667" s="114"/>
      <c r="S667" s="114">
        <v>1</v>
      </c>
      <c r="T667" s="114">
        <v>1</v>
      </c>
      <c r="U667" s="114">
        <v>0</v>
      </c>
      <c r="V667" s="114">
        <v>1</v>
      </c>
      <c r="W667" s="114">
        <v>0</v>
      </c>
      <c r="X667" s="114">
        <v>1</v>
      </c>
      <c r="Y667" s="114">
        <v>1</v>
      </c>
      <c r="Z667" s="116" t="s">
        <v>300</v>
      </c>
      <c r="AA667" s="114">
        <v>2</v>
      </c>
      <c r="AB667" s="114">
        <f t="shared" si="195"/>
        <v>1</v>
      </c>
      <c r="AC667" s="114">
        <f t="shared" si="196"/>
        <v>2</v>
      </c>
      <c r="AD667" s="114">
        <f t="shared" si="197"/>
        <v>1</v>
      </c>
      <c r="AE667" s="114">
        <f t="shared" si="198"/>
        <v>7</v>
      </c>
      <c r="AF667" s="116" t="s">
        <v>63</v>
      </c>
      <c r="AG667" s="114">
        <f t="shared" si="192"/>
        <v>1.32163742690058</v>
      </c>
      <c r="AH667" s="114">
        <f t="shared" si="193"/>
        <v>0.85972850678733</v>
      </c>
      <c r="AJ667" s="159"/>
      <c r="AK667" s="160" t="str">
        <f t="shared" si="189"/>
        <v/>
      </c>
      <c r="AL667" s="160"/>
      <c r="AM667" s="160">
        <f t="shared" si="191"/>
        <v>135</v>
      </c>
      <c r="AN667" s="114">
        <v>1</v>
      </c>
      <c r="AO667" s="114"/>
      <c r="AP667" s="114">
        <v>2.75</v>
      </c>
      <c r="AQ667" s="114">
        <v>103</v>
      </c>
      <c r="AR667" s="114"/>
      <c r="AS667" s="160">
        <v>33</v>
      </c>
      <c r="AT667" s="161">
        <v>22.6</v>
      </c>
      <c r="AU667" s="114">
        <v>76</v>
      </c>
      <c r="AV667" s="114">
        <v>143</v>
      </c>
      <c r="AZ667" s="119" t="s">
        <v>1986</v>
      </c>
    </row>
    <row r="668" spans="1:52">
      <c r="A668" s="113" t="s">
        <v>1987</v>
      </c>
      <c r="B668" s="113" t="s">
        <v>53</v>
      </c>
      <c r="C668" s="113">
        <v>73</v>
      </c>
      <c r="D668" s="113">
        <v>1.68</v>
      </c>
      <c r="E668" s="113">
        <v>75</v>
      </c>
      <c r="F668" s="136">
        <f t="shared" si="187"/>
        <v>26.5731292517007</v>
      </c>
      <c r="G668" s="113">
        <v>0</v>
      </c>
      <c r="H668" s="281">
        <v>45259</v>
      </c>
      <c r="I668" s="119" t="s">
        <v>1988</v>
      </c>
      <c r="J668" s="119" t="s">
        <v>1957</v>
      </c>
      <c r="L668" s="137">
        <v>1</v>
      </c>
      <c r="M668" s="138">
        <v>12</v>
      </c>
      <c r="N668" s="270" t="s">
        <v>1989</v>
      </c>
      <c r="O668" s="114"/>
      <c r="P668" s="114"/>
      <c r="Q668" s="114"/>
      <c r="R668" s="114"/>
      <c r="S668" s="116" t="s">
        <v>1990</v>
      </c>
      <c r="T668" s="114">
        <v>0</v>
      </c>
      <c r="U668" s="114">
        <v>0</v>
      </c>
      <c r="V668" s="114">
        <v>1</v>
      </c>
      <c r="W668" s="114">
        <v>0</v>
      </c>
      <c r="X668" s="114">
        <v>1</v>
      </c>
      <c r="Y668" s="114">
        <v>1</v>
      </c>
      <c r="Z668" s="116" t="s">
        <v>58</v>
      </c>
      <c r="AA668" s="114">
        <v>1</v>
      </c>
      <c r="AB668" s="114">
        <f t="shared" si="195"/>
        <v>1</v>
      </c>
      <c r="AC668" s="114">
        <f t="shared" si="196"/>
        <v>2</v>
      </c>
      <c r="AD668" s="114">
        <f t="shared" si="197"/>
        <v>1</v>
      </c>
      <c r="AE668" s="114">
        <f t="shared" si="198"/>
        <v>6</v>
      </c>
      <c r="AF668" s="116" t="s">
        <v>59</v>
      </c>
      <c r="AG668" s="114">
        <f t="shared" si="192"/>
        <v>0.830409356725146</v>
      </c>
      <c r="AH668" s="114">
        <f t="shared" si="193"/>
        <v>0.633484162895928</v>
      </c>
      <c r="AI668" s="114">
        <f t="shared" si="194"/>
        <v>1.3</v>
      </c>
      <c r="AJ668" s="159">
        <f t="shared" si="188"/>
        <v>9.3384797620359</v>
      </c>
      <c r="AK668" s="160">
        <f t="shared" si="189"/>
        <v>9.3384797620359</v>
      </c>
      <c r="AL668" s="160">
        <f t="shared" si="190"/>
        <v>9.3384797620359</v>
      </c>
      <c r="AM668" s="160">
        <f t="shared" si="191"/>
        <v>135</v>
      </c>
      <c r="AN668" s="114">
        <v>1</v>
      </c>
      <c r="AO668" s="114">
        <v>1</v>
      </c>
      <c r="AP668" s="114">
        <v>5.52</v>
      </c>
      <c r="AQ668" s="114">
        <v>73</v>
      </c>
      <c r="AR668" s="114">
        <v>1.3</v>
      </c>
      <c r="AS668" s="160">
        <v>30</v>
      </c>
      <c r="AT668" s="161">
        <v>14.2</v>
      </c>
      <c r="AU668" s="114">
        <v>56</v>
      </c>
      <c r="AV668" s="114">
        <v>139</v>
      </c>
      <c r="AZ668" s="119" t="s">
        <v>1991</v>
      </c>
    </row>
    <row r="669" s="123" customFormat="1" spans="1:52">
      <c r="A669" s="285" t="s">
        <v>662</v>
      </c>
      <c r="B669" s="285" t="s">
        <v>53</v>
      </c>
      <c r="C669" s="285">
        <v>65</v>
      </c>
      <c r="D669" s="285">
        <v>1.5</v>
      </c>
      <c r="E669" s="285">
        <v>60</v>
      </c>
      <c r="F669" s="189">
        <f t="shared" si="187"/>
        <v>26.6666666666667</v>
      </c>
      <c r="G669" s="285">
        <v>0</v>
      </c>
      <c r="H669" s="286">
        <v>45268</v>
      </c>
      <c r="I669" s="132" t="s">
        <v>1965</v>
      </c>
      <c r="J669" s="132" t="s">
        <v>1992</v>
      </c>
      <c r="L669" s="178">
        <v>5</v>
      </c>
      <c r="M669" s="178">
        <v>7</v>
      </c>
      <c r="N669" s="254" t="s">
        <v>1993</v>
      </c>
      <c r="O669" s="114"/>
      <c r="P669" s="114"/>
      <c r="Q669" s="114"/>
      <c r="R669" s="114"/>
      <c r="S669" s="114">
        <v>1</v>
      </c>
      <c r="T669" s="114">
        <v>0</v>
      </c>
      <c r="U669" s="114">
        <v>0</v>
      </c>
      <c r="V669" s="114">
        <v>1</v>
      </c>
      <c r="W669" s="114">
        <v>0</v>
      </c>
      <c r="X669" s="114">
        <v>1</v>
      </c>
      <c r="Y669" s="114">
        <v>1</v>
      </c>
      <c r="Z669" s="116" t="s">
        <v>58</v>
      </c>
      <c r="AA669" s="114">
        <v>1</v>
      </c>
      <c r="AB669" s="114">
        <f t="shared" si="195"/>
        <v>1</v>
      </c>
      <c r="AC669" s="114">
        <f t="shared" si="196"/>
        <v>3</v>
      </c>
      <c r="AD669" s="114">
        <f t="shared" si="197"/>
        <v>1</v>
      </c>
      <c r="AE669" s="114">
        <f t="shared" si="198"/>
        <v>7</v>
      </c>
      <c r="AF669" s="116" t="s">
        <v>63</v>
      </c>
      <c r="AG669" s="114">
        <f t="shared" si="192"/>
        <v>1.22222222222222</v>
      </c>
      <c r="AH669" s="114">
        <f t="shared" si="193"/>
        <v>0.622171945701357</v>
      </c>
      <c r="AI669" s="114">
        <f t="shared" si="194"/>
        <v>1.28</v>
      </c>
      <c r="AJ669" s="159">
        <f t="shared" si="188"/>
        <v>9.92738151558926</v>
      </c>
      <c r="AK669" s="160">
        <f t="shared" si="189"/>
        <v>9.92738151558926</v>
      </c>
      <c r="AL669" s="160">
        <f t="shared" si="190"/>
        <v>9.92738151558926</v>
      </c>
      <c r="AM669" s="160">
        <f t="shared" si="191"/>
        <v>135</v>
      </c>
      <c r="AN669" s="114">
        <v>1</v>
      </c>
      <c r="AO669" s="114">
        <v>1</v>
      </c>
      <c r="AP669" s="114">
        <v>3.63</v>
      </c>
      <c r="AQ669" s="114">
        <v>92</v>
      </c>
      <c r="AR669" s="114">
        <v>1.28</v>
      </c>
      <c r="AS669" s="160">
        <v>24</v>
      </c>
      <c r="AT669" s="161">
        <v>20.9</v>
      </c>
      <c r="AU669" s="114">
        <v>55</v>
      </c>
      <c r="AV669" s="114">
        <v>140</v>
      </c>
      <c r="AZ669" s="132" t="s">
        <v>1994</v>
      </c>
    </row>
    <row r="670" spans="1:52">
      <c r="A670" s="113" t="s">
        <v>706</v>
      </c>
      <c r="B670" s="113" t="s">
        <v>53</v>
      </c>
      <c r="C670" s="113">
        <v>50</v>
      </c>
      <c r="D670" s="113">
        <v>1.62</v>
      </c>
      <c r="E670" s="113">
        <v>70</v>
      </c>
      <c r="F670" s="136">
        <f t="shared" si="187"/>
        <v>26.6727632982777</v>
      </c>
      <c r="G670" s="113">
        <v>0</v>
      </c>
      <c r="H670" s="281">
        <v>45262</v>
      </c>
      <c r="I670" s="119" t="s">
        <v>1972</v>
      </c>
      <c r="J670" s="119" t="s">
        <v>1995</v>
      </c>
      <c r="L670" s="137">
        <v>3</v>
      </c>
      <c r="M670" s="138">
        <v>15</v>
      </c>
      <c r="N670" s="270" t="s">
        <v>1996</v>
      </c>
      <c r="O670" s="114"/>
      <c r="P670" s="114"/>
      <c r="Q670" s="114"/>
      <c r="R670" s="114">
        <v>1</v>
      </c>
      <c r="S670" s="114"/>
      <c r="T670" s="114">
        <v>0</v>
      </c>
      <c r="U670" s="114">
        <v>0</v>
      </c>
      <c r="V670" s="114">
        <v>1</v>
      </c>
      <c r="W670" s="114">
        <v>0</v>
      </c>
      <c r="X670" s="114">
        <v>1</v>
      </c>
      <c r="Y670" s="114">
        <v>1</v>
      </c>
      <c r="Z670" s="116" t="s">
        <v>58</v>
      </c>
      <c r="AA670" s="114">
        <v>1</v>
      </c>
      <c r="AB670" s="114">
        <f t="shared" si="195"/>
        <v>1</v>
      </c>
      <c r="AC670" s="114">
        <f t="shared" si="196"/>
        <v>2</v>
      </c>
      <c r="AD670" s="114">
        <f t="shared" si="197"/>
        <v>1</v>
      </c>
      <c r="AE670" s="114">
        <f t="shared" si="198"/>
        <v>6</v>
      </c>
      <c r="AF670" s="116" t="s">
        <v>59</v>
      </c>
      <c r="AG670" s="114">
        <f t="shared" si="192"/>
        <v>0.818713450292398</v>
      </c>
      <c r="AH670" s="114">
        <f t="shared" si="193"/>
        <v>0.588235294117647</v>
      </c>
      <c r="AI670" s="114">
        <f t="shared" si="194"/>
        <v>1.25</v>
      </c>
      <c r="AJ670" s="159">
        <f t="shared" si="188"/>
        <v>2.49920777471915</v>
      </c>
      <c r="AK670" s="160">
        <f t="shared" si="189"/>
        <v>2.49920777471915</v>
      </c>
      <c r="AL670" s="160">
        <f t="shared" si="190"/>
        <v>2.49920777471915</v>
      </c>
      <c r="AM670" s="160">
        <f t="shared" si="191"/>
        <v>135</v>
      </c>
      <c r="AN670" s="114">
        <v>0</v>
      </c>
      <c r="AO670" s="114">
        <v>1</v>
      </c>
      <c r="AP670" s="114">
        <v>2.88</v>
      </c>
      <c r="AQ670" s="114">
        <v>110</v>
      </c>
      <c r="AR670" s="114">
        <v>1.25</v>
      </c>
      <c r="AS670" s="160">
        <v>35</v>
      </c>
      <c r="AT670" s="161">
        <v>14</v>
      </c>
      <c r="AU670" s="114">
        <v>52</v>
      </c>
      <c r="AV670" s="114">
        <v>145</v>
      </c>
      <c r="AZ670" s="119" t="s">
        <v>1997</v>
      </c>
    </row>
    <row r="671" spans="1:52">
      <c r="A671" s="113" t="s">
        <v>1998</v>
      </c>
      <c r="B671" s="113" t="s">
        <v>48</v>
      </c>
      <c r="C671" s="113">
        <v>53</v>
      </c>
      <c r="D671" s="113">
        <v>1.65</v>
      </c>
      <c r="E671" s="113">
        <v>60</v>
      </c>
      <c r="F671" s="136">
        <f t="shared" si="187"/>
        <v>22.038567493113</v>
      </c>
      <c r="G671" s="113">
        <v>1</v>
      </c>
      <c r="H671" s="281">
        <v>45271</v>
      </c>
      <c r="I671" s="119" t="s">
        <v>1957</v>
      </c>
      <c r="J671" s="119" t="s">
        <v>1999</v>
      </c>
      <c r="L671" s="137">
        <v>1</v>
      </c>
      <c r="M671" s="138">
        <v>12</v>
      </c>
      <c r="N671" s="270" t="s">
        <v>2000</v>
      </c>
      <c r="O671" s="114">
        <v>1</v>
      </c>
      <c r="P671" s="114"/>
      <c r="Q671" s="114"/>
      <c r="R671" s="114"/>
      <c r="S671" s="114"/>
      <c r="T671" s="114">
        <v>1</v>
      </c>
      <c r="U671" s="114">
        <v>0</v>
      </c>
      <c r="V671" s="114">
        <v>1</v>
      </c>
      <c r="W671" s="114">
        <v>0</v>
      </c>
      <c r="X671" s="114">
        <v>1</v>
      </c>
      <c r="Y671" s="114">
        <v>1</v>
      </c>
      <c r="Z671" s="116" t="s">
        <v>300</v>
      </c>
      <c r="AA671" s="114">
        <v>2</v>
      </c>
      <c r="AB671" s="114">
        <f t="shared" si="195"/>
        <v>1</v>
      </c>
      <c r="AC671" s="114">
        <f t="shared" si="196"/>
        <v>2</v>
      </c>
      <c r="AD671" s="114">
        <f t="shared" si="197"/>
        <v>1</v>
      </c>
      <c r="AE671" s="114">
        <f t="shared" si="198"/>
        <v>7</v>
      </c>
      <c r="AF671" s="116" t="s">
        <v>63</v>
      </c>
      <c r="AG671" s="114">
        <f t="shared" si="192"/>
        <v>0.666666666666667</v>
      </c>
      <c r="AH671" s="114">
        <f t="shared" si="193"/>
        <v>0.927601809954751</v>
      </c>
      <c r="AI671" s="114">
        <f t="shared" si="194"/>
        <v>1.31</v>
      </c>
      <c r="AJ671" s="159">
        <f t="shared" si="188"/>
        <v>9.42430393678627</v>
      </c>
      <c r="AK671" s="160">
        <f t="shared" si="189"/>
        <v>9.42430393678627</v>
      </c>
      <c r="AL671" s="160">
        <f t="shared" si="190"/>
        <v>9.42430393678627</v>
      </c>
      <c r="AM671" s="160">
        <f t="shared" si="191"/>
        <v>135</v>
      </c>
      <c r="AN671" s="114">
        <v>1</v>
      </c>
      <c r="AO671" s="114">
        <v>1</v>
      </c>
      <c r="AP671" s="114">
        <v>1.78</v>
      </c>
      <c r="AQ671" s="114">
        <v>82</v>
      </c>
      <c r="AR671" s="114">
        <v>1.31</v>
      </c>
      <c r="AS671" s="160">
        <v>35</v>
      </c>
      <c r="AT671" s="161">
        <v>11.4</v>
      </c>
      <c r="AU671" s="114">
        <v>82</v>
      </c>
      <c r="AV671" s="114">
        <v>140</v>
      </c>
      <c r="AZ671" s="119" t="s">
        <v>2001</v>
      </c>
    </row>
    <row r="672" spans="1:52">
      <c r="A672" s="113" t="s">
        <v>2002</v>
      </c>
      <c r="B672" s="113" t="s">
        <v>53</v>
      </c>
      <c r="C672" s="113">
        <v>53</v>
      </c>
      <c r="D672" s="113">
        <v>1.62</v>
      </c>
      <c r="E672" s="113">
        <v>57</v>
      </c>
      <c r="F672" s="136">
        <f t="shared" si="187"/>
        <v>21.7192501143118</v>
      </c>
      <c r="G672" s="113">
        <v>0</v>
      </c>
      <c r="H672" s="281">
        <v>45274</v>
      </c>
      <c r="I672" s="119" t="s">
        <v>2003</v>
      </c>
      <c r="J672" s="119" t="s">
        <v>2004</v>
      </c>
      <c r="L672" s="137">
        <v>1</v>
      </c>
      <c r="M672" s="138">
        <v>7</v>
      </c>
      <c r="N672" s="270" t="s">
        <v>2005</v>
      </c>
      <c r="O672" s="114"/>
      <c r="P672" s="114"/>
      <c r="Q672" s="114"/>
      <c r="R672" s="114">
        <v>1</v>
      </c>
      <c r="S672" s="114"/>
      <c r="T672" s="114">
        <v>1</v>
      </c>
      <c r="U672" s="114">
        <v>0</v>
      </c>
      <c r="V672" s="114">
        <v>1</v>
      </c>
      <c r="W672" s="114">
        <v>0</v>
      </c>
      <c r="X672" s="114">
        <v>1</v>
      </c>
      <c r="Y672" s="114">
        <v>1</v>
      </c>
      <c r="Z672" s="116" t="s">
        <v>300</v>
      </c>
      <c r="AA672" s="114">
        <v>2</v>
      </c>
      <c r="AB672" s="114">
        <f>_xlfn.IFS(AT672&gt;51,3,AT672&gt;=34,2,AT672&lt;34,1)</f>
        <v>1</v>
      </c>
      <c r="AC672" s="114">
        <f>_xlfn.IFS(AS672&gt;35,1,AS672&gt;=28,2,AS672&lt;28,3)</f>
        <v>1</v>
      </c>
      <c r="AD672" s="114">
        <f>_xlfn.IFS(AR672&gt;2.3,3,AR672&gt;=1.7,2,AR672&lt;1.7,1)</f>
        <v>1</v>
      </c>
      <c r="AE672" s="114">
        <f>Y672+AA672+AB672+AC672+AD672</f>
        <v>6</v>
      </c>
      <c r="AF672" s="116" t="s">
        <v>59</v>
      </c>
      <c r="AG672" s="114">
        <f t="shared" si="192"/>
        <v>0.690058479532164</v>
      </c>
      <c r="AH672" s="114">
        <f t="shared" si="193"/>
        <v>1.07466063348416</v>
      </c>
      <c r="AI672" s="114">
        <f t="shared" si="194"/>
        <v>1.02</v>
      </c>
      <c r="AJ672" s="159">
        <f t="shared" si="188"/>
        <v>0.913036676503866</v>
      </c>
      <c r="AK672" s="160">
        <f t="shared" si="189"/>
        <v>0.913036676503866</v>
      </c>
      <c r="AL672" s="160">
        <f t="shared" si="190"/>
        <v>0.913036676503866</v>
      </c>
      <c r="AM672" s="160">
        <f t="shared" si="191"/>
        <v>135</v>
      </c>
      <c r="AN672" s="114">
        <v>0</v>
      </c>
      <c r="AO672" s="114">
        <v>1</v>
      </c>
      <c r="AP672" s="114">
        <v>4.38</v>
      </c>
      <c r="AQ672" s="114">
        <v>112</v>
      </c>
      <c r="AR672" s="114">
        <v>1.02</v>
      </c>
      <c r="AS672" s="160">
        <v>41</v>
      </c>
      <c r="AT672" s="161">
        <v>11.8</v>
      </c>
      <c r="AU672" s="114">
        <v>95</v>
      </c>
      <c r="AV672" s="114">
        <v>141</v>
      </c>
      <c r="AZ672" s="119" t="s">
        <v>2006</v>
      </c>
    </row>
    <row r="673" spans="1:52">
      <c r="A673" s="113" t="s">
        <v>2007</v>
      </c>
      <c r="B673" s="113" t="s">
        <v>48</v>
      </c>
      <c r="C673" s="113">
        <v>65</v>
      </c>
      <c r="D673" s="113">
        <v>1.74</v>
      </c>
      <c r="E673" s="113">
        <v>65</v>
      </c>
      <c r="F673" s="136">
        <f t="shared" si="187"/>
        <v>21.4691504822301</v>
      </c>
      <c r="G673" s="113">
        <v>1</v>
      </c>
      <c r="H673" s="281">
        <v>45278</v>
      </c>
      <c r="I673" s="119" t="s">
        <v>2008</v>
      </c>
      <c r="J673" s="119" t="s">
        <v>2009</v>
      </c>
      <c r="L673" s="137">
        <v>3</v>
      </c>
      <c r="M673" s="138">
        <v>16</v>
      </c>
      <c r="N673" s="270" t="s">
        <v>2010</v>
      </c>
      <c r="O673" s="114"/>
      <c r="P673" s="114"/>
      <c r="Q673" s="114"/>
      <c r="R673" s="114"/>
      <c r="S673" s="116" t="s">
        <v>1990</v>
      </c>
      <c r="T673" s="114">
        <v>0</v>
      </c>
      <c r="U673" s="114">
        <v>0</v>
      </c>
      <c r="V673" s="114">
        <v>1</v>
      </c>
      <c r="W673" s="114">
        <v>0</v>
      </c>
      <c r="X673" s="114">
        <v>1</v>
      </c>
      <c r="Y673" s="114">
        <v>1</v>
      </c>
      <c r="Z673" s="116" t="s">
        <v>58</v>
      </c>
      <c r="AA673" s="114">
        <v>1</v>
      </c>
      <c r="AB673" s="114">
        <f>_xlfn.IFS(AT673&gt;51,3,AT673&gt;=34,2,AT673&lt;34,1)</f>
        <v>1</v>
      </c>
      <c r="AC673" s="114">
        <f>_xlfn.IFS(AS673&gt;35,1,AS673&gt;=28,2,AS673&lt;28,3)</f>
        <v>2</v>
      </c>
      <c r="AD673" s="114">
        <f>_xlfn.IFS(AR673&gt;2.3,3,AR673&gt;=1.7,2,AR673&lt;1.7,1)</f>
        <v>1</v>
      </c>
      <c r="AE673" s="114">
        <f>Y673+AA673+AB673+AC673+AD673</f>
        <v>6</v>
      </c>
      <c r="AF673" s="116" t="s">
        <v>59</v>
      </c>
      <c r="AG673" s="114">
        <f t="shared" si="192"/>
        <v>0.263157894736842</v>
      </c>
      <c r="AH673" s="114">
        <f t="shared" si="193"/>
        <v>0.882352941176471</v>
      </c>
      <c r="AI673" s="114">
        <f t="shared" si="194"/>
        <v>1.11</v>
      </c>
      <c r="AJ673" s="159">
        <f t="shared" si="188"/>
        <v>7.56883217163152</v>
      </c>
      <c r="AK673" s="160">
        <f t="shared" si="189"/>
        <v>7.56883217163152</v>
      </c>
      <c r="AL673" s="160">
        <f t="shared" si="190"/>
        <v>7.56883217163152</v>
      </c>
      <c r="AM673" s="160">
        <f t="shared" si="191"/>
        <v>135</v>
      </c>
      <c r="AN673" s="114">
        <v>1</v>
      </c>
      <c r="AO673" s="114">
        <v>1</v>
      </c>
      <c r="AP673" s="114">
        <v>4.1</v>
      </c>
      <c r="AQ673" s="114">
        <v>43</v>
      </c>
      <c r="AR673" s="114">
        <v>1.11</v>
      </c>
      <c r="AS673" s="160">
        <v>28</v>
      </c>
      <c r="AT673" s="161">
        <v>4.5</v>
      </c>
      <c r="AU673" s="114">
        <v>78</v>
      </c>
      <c r="AV673" s="114">
        <v>144</v>
      </c>
      <c r="AZ673" s="119" t="s">
        <v>2011</v>
      </c>
    </row>
    <row r="674" spans="1:52">
      <c r="A674" s="113" t="s">
        <v>2012</v>
      </c>
      <c r="B674" s="113" t="s">
        <v>53</v>
      </c>
      <c r="C674" s="113">
        <v>56</v>
      </c>
      <c r="D674" s="113">
        <v>1.55</v>
      </c>
      <c r="E674" s="113">
        <v>56</v>
      </c>
      <c r="F674" s="136">
        <f t="shared" si="187"/>
        <v>23.309053069719</v>
      </c>
      <c r="G674" s="113">
        <v>0</v>
      </c>
      <c r="H674" s="281">
        <v>45279</v>
      </c>
      <c r="I674" s="119" t="s">
        <v>2013</v>
      </c>
      <c r="J674" s="119" t="s">
        <v>2014</v>
      </c>
      <c r="L674" s="137">
        <v>1</v>
      </c>
      <c r="M674" s="138">
        <v>14</v>
      </c>
      <c r="N674" s="270" t="s">
        <v>2015</v>
      </c>
      <c r="O674" s="114"/>
      <c r="P674" s="114"/>
      <c r="Q674" s="114"/>
      <c r="R674" s="114"/>
      <c r="S674" s="116" t="s">
        <v>1990</v>
      </c>
      <c r="T674" s="114">
        <v>1</v>
      </c>
      <c r="U674" s="114">
        <v>0</v>
      </c>
      <c r="V674" s="114">
        <v>1</v>
      </c>
      <c r="W674" s="114">
        <v>0</v>
      </c>
      <c r="X674" s="114">
        <v>1</v>
      </c>
      <c r="Y674" s="114">
        <v>1</v>
      </c>
      <c r="Z674" s="116" t="s">
        <v>300</v>
      </c>
      <c r="AA674" s="114">
        <v>2</v>
      </c>
      <c r="AB674" s="114">
        <f>_xlfn.IFS(AT674&gt;51,3,AT674&gt;=34,2,AT674&lt;34,1)</f>
        <v>1</v>
      </c>
      <c r="AC674" s="114">
        <f>_xlfn.IFS(AS674&gt;35,1,AS674&gt;=28,2,AS674&lt;28,3)</f>
        <v>2</v>
      </c>
      <c r="AD674" s="114">
        <f>_xlfn.IFS(AR674&gt;2.3,3,AR674&gt;=1.7,2,AR674&lt;1.7,1)</f>
        <v>1</v>
      </c>
      <c r="AE674" s="114">
        <f>Y674+AA674+AB674+AC674+AD674</f>
        <v>7</v>
      </c>
      <c r="AF674" s="116" t="s">
        <v>63</v>
      </c>
      <c r="AG674" s="114">
        <f t="shared" si="192"/>
        <v>0.941520467836257</v>
      </c>
      <c r="AH674" s="114">
        <f t="shared" si="193"/>
        <v>0.622171945701357</v>
      </c>
      <c r="AI674" s="114">
        <f t="shared" si="194"/>
        <v>1.55</v>
      </c>
      <c r="AJ674" s="159">
        <f t="shared" si="188"/>
        <v>11.3084552264289</v>
      </c>
      <c r="AK674" s="160">
        <f t="shared" si="189"/>
        <v>11.3084552264289</v>
      </c>
      <c r="AL674" s="160">
        <f t="shared" si="190"/>
        <v>11.3084552264289</v>
      </c>
      <c r="AM674" s="160">
        <f t="shared" si="191"/>
        <v>135</v>
      </c>
      <c r="AN674" s="114">
        <v>1</v>
      </c>
      <c r="AO674" s="114">
        <v>1</v>
      </c>
      <c r="AP674" s="114">
        <v>1.61</v>
      </c>
      <c r="AQ674" s="114">
        <v>70</v>
      </c>
      <c r="AR674" s="114">
        <v>1.55</v>
      </c>
      <c r="AS674" s="160">
        <v>32</v>
      </c>
      <c r="AT674" s="161">
        <v>16.1</v>
      </c>
      <c r="AU674" s="114">
        <v>55</v>
      </c>
      <c r="AV674" s="114">
        <v>141</v>
      </c>
      <c r="AZ674" s="119" t="s">
        <v>58</v>
      </c>
    </row>
    <row r="675" spans="1:52">
      <c r="A675" s="113" t="s">
        <v>2016</v>
      </c>
      <c r="B675" s="113" t="s">
        <v>48</v>
      </c>
      <c r="C675" s="113">
        <v>58</v>
      </c>
      <c r="D675" s="113">
        <v>1.75</v>
      </c>
      <c r="E675" s="113">
        <v>58</v>
      </c>
      <c r="F675" s="136">
        <f t="shared" si="187"/>
        <v>18.9387755102041</v>
      </c>
      <c r="G675" s="113">
        <v>0</v>
      </c>
      <c r="H675" s="281">
        <v>45287</v>
      </c>
      <c r="I675" s="119" t="s">
        <v>2017</v>
      </c>
      <c r="J675" s="119" t="s">
        <v>2014</v>
      </c>
      <c r="L675" s="137">
        <v>1</v>
      </c>
      <c r="M675" s="138">
        <v>6</v>
      </c>
      <c r="N675" s="270" t="s">
        <v>2018</v>
      </c>
      <c r="O675" s="114"/>
      <c r="P675" s="114">
        <v>1</v>
      </c>
      <c r="Q675" s="114"/>
      <c r="R675" s="114"/>
      <c r="S675" s="114"/>
      <c r="T675" s="114">
        <v>0</v>
      </c>
      <c r="U675" s="114">
        <v>1</v>
      </c>
      <c r="V675" s="114">
        <v>1</v>
      </c>
      <c r="W675" s="114">
        <v>0</v>
      </c>
      <c r="X675" s="114">
        <v>1</v>
      </c>
      <c r="Y675" s="114">
        <v>3</v>
      </c>
      <c r="Z675" s="116" t="s">
        <v>58</v>
      </c>
      <c r="AA675" s="114">
        <v>1</v>
      </c>
      <c r="AB675" s="114">
        <f>_xlfn.IFS(AT675&gt;51,3,AT675&gt;=34,2,AT675&lt;34,1)</f>
        <v>2</v>
      </c>
      <c r="AC675" s="114">
        <f>_xlfn.IFS(AS675&gt;35,1,AS675&gt;=28,2,AS675&lt;28,3)</f>
        <v>2</v>
      </c>
      <c r="AD675" s="114">
        <f>_xlfn.IFS(AR675&gt;2.3,3,AR675&gt;=1.7,2,AR675&lt;1.7,1)</f>
        <v>1</v>
      </c>
      <c r="AE675" s="114">
        <f>Y675+AA675+AB675+AC675+AD675</f>
        <v>9</v>
      </c>
      <c r="AF675" s="116" t="s">
        <v>63</v>
      </c>
      <c r="AG675" s="114">
        <f t="shared" si="192"/>
        <v>2.4327485380117</v>
      </c>
      <c r="AH675" s="114">
        <f t="shared" si="193"/>
        <v>0.746606334841629</v>
      </c>
      <c r="AI675" s="114">
        <f t="shared" si="194"/>
        <v>1.61</v>
      </c>
      <c r="AJ675" s="159">
        <f t="shared" si="188"/>
        <v>8.71210527904206</v>
      </c>
      <c r="AK675" s="160">
        <f t="shared" si="189"/>
        <v>8.71210527904206</v>
      </c>
      <c r="AL675" s="160">
        <f t="shared" si="190"/>
        <v>8.71210527904206</v>
      </c>
      <c r="AM675" s="160">
        <f t="shared" si="191"/>
        <v>135</v>
      </c>
      <c r="AN675" s="114">
        <v>0</v>
      </c>
      <c r="AO675" s="114">
        <v>1</v>
      </c>
      <c r="AP675" s="114">
        <v>3.06</v>
      </c>
      <c r="AQ675" s="114">
        <v>110</v>
      </c>
      <c r="AR675" s="114">
        <v>1.61</v>
      </c>
      <c r="AS675" s="160">
        <v>29</v>
      </c>
      <c r="AT675" s="161">
        <v>41.6</v>
      </c>
      <c r="AU675" s="114">
        <v>66</v>
      </c>
      <c r="AV675" s="114">
        <v>140</v>
      </c>
      <c r="AZ675" s="119" t="s">
        <v>2019</v>
      </c>
    </row>
    <row r="676" spans="1:52">
      <c r="A676" s="113" t="s">
        <v>1707</v>
      </c>
      <c r="B676" s="113" t="s">
        <v>48</v>
      </c>
      <c r="C676" s="113">
        <v>66</v>
      </c>
      <c r="D676" s="113">
        <v>1.62</v>
      </c>
      <c r="E676" s="113">
        <v>70</v>
      </c>
      <c r="F676" s="136">
        <f t="shared" si="187"/>
        <v>26.6727632982777</v>
      </c>
      <c r="G676" s="113">
        <v>6</v>
      </c>
      <c r="H676" s="281">
        <v>45279</v>
      </c>
      <c r="I676" s="119" t="s">
        <v>2013</v>
      </c>
      <c r="J676" s="119" t="s">
        <v>2017</v>
      </c>
      <c r="L676" s="137">
        <v>3</v>
      </c>
      <c r="M676" s="138">
        <v>8</v>
      </c>
      <c r="N676" s="270" t="s">
        <v>2020</v>
      </c>
      <c r="O676" s="114">
        <v>1</v>
      </c>
      <c r="P676" s="114">
        <v>1</v>
      </c>
      <c r="Q676" s="114"/>
      <c r="R676" s="114"/>
      <c r="S676" s="114"/>
      <c r="T676" s="114">
        <v>0</v>
      </c>
      <c r="U676" s="114">
        <v>1</v>
      </c>
      <c r="V676" s="114">
        <v>1</v>
      </c>
      <c r="W676" s="114">
        <v>1</v>
      </c>
      <c r="X676" s="114">
        <v>1</v>
      </c>
      <c r="Y676" s="114">
        <v>2</v>
      </c>
      <c r="Z676" s="116" t="s">
        <v>58</v>
      </c>
      <c r="AA676" s="114">
        <v>1</v>
      </c>
      <c r="AB676" s="114">
        <f>_xlfn.IFS(AT676&gt;51,3,AT676&gt;=34,2,AT676&lt;34,1)</f>
        <v>1</v>
      </c>
      <c r="AC676" s="114">
        <f>_xlfn.IFS(AS676&gt;35,1,AS676&gt;=28,2,AS676&lt;28,3)</f>
        <v>2</v>
      </c>
      <c r="AD676" s="114">
        <f>_xlfn.IFS(AR676&gt;2.3,3,AR676&gt;=1.7,2,AR676&lt;1.7,1)</f>
        <v>1</v>
      </c>
      <c r="AE676" s="114">
        <f>Y676+AA676+AB676+AC676+AD676</f>
        <v>7</v>
      </c>
      <c r="AF676" s="116" t="s">
        <v>63</v>
      </c>
      <c r="AG676" s="114">
        <f t="shared" si="192"/>
        <v>0.906432748538012</v>
      </c>
      <c r="AH676" s="114">
        <f t="shared" si="193"/>
        <v>0.972850678733032</v>
      </c>
      <c r="AI676" s="114">
        <f t="shared" si="194"/>
        <v>1.2</v>
      </c>
      <c r="AJ676" s="159">
        <f t="shared" si="188"/>
        <v>2.04200143609229</v>
      </c>
      <c r="AK676" s="160">
        <f t="shared" si="189"/>
        <v>2.04200143609229</v>
      </c>
      <c r="AL676" s="160">
        <f t="shared" si="190"/>
        <v>2.04200143609229</v>
      </c>
      <c r="AM676" s="160">
        <f t="shared" si="191"/>
        <v>135</v>
      </c>
      <c r="AN676" s="114">
        <v>0</v>
      </c>
      <c r="AO676" s="114">
        <v>1</v>
      </c>
      <c r="AP676" s="114">
        <v>5.54</v>
      </c>
      <c r="AQ676" s="114">
        <v>111</v>
      </c>
      <c r="AR676" s="114">
        <v>1.2</v>
      </c>
      <c r="AS676" s="160">
        <v>31</v>
      </c>
      <c r="AT676" s="161">
        <v>15.5</v>
      </c>
      <c r="AU676" s="114">
        <v>86</v>
      </c>
      <c r="AV676" s="114">
        <v>136</v>
      </c>
      <c r="AZ676" s="119" t="s">
        <v>2021</v>
      </c>
    </row>
    <row r="677" spans="1:52">
      <c r="A677" s="113" t="s">
        <v>2022</v>
      </c>
      <c r="B677" s="113" t="s">
        <v>53</v>
      </c>
      <c r="C677" s="113">
        <v>49</v>
      </c>
      <c r="D677" s="113">
        <v>1.6</v>
      </c>
      <c r="E677" s="113">
        <v>72</v>
      </c>
      <c r="F677" s="136">
        <f t="shared" si="187"/>
        <v>28.125</v>
      </c>
      <c r="G677" s="113">
        <v>7</v>
      </c>
      <c r="H677" s="281">
        <v>45269</v>
      </c>
      <c r="I677" s="119" t="s">
        <v>1984</v>
      </c>
      <c r="J677" s="119" t="s">
        <v>2023</v>
      </c>
      <c r="L677" s="137">
        <v>1</v>
      </c>
      <c r="M677" s="138">
        <v>30</v>
      </c>
      <c r="N677" s="270" t="s">
        <v>2024</v>
      </c>
      <c r="O677" s="114"/>
      <c r="P677" s="114"/>
      <c r="Q677" s="114"/>
      <c r="R677" s="116" t="s">
        <v>1083</v>
      </c>
      <c r="S677" s="114"/>
      <c r="T677" s="114">
        <v>1</v>
      </c>
      <c r="U677" s="114">
        <v>0</v>
      </c>
      <c r="V677" s="114">
        <v>1</v>
      </c>
      <c r="W677" s="114">
        <v>0</v>
      </c>
      <c r="X677" s="114">
        <v>1</v>
      </c>
      <c r="Y677" s="114">
        <v>1</v>
      </c>
      <c r="Z677" s="116" t="s">
        <v>307</v>
      </c>
      <c r="AA677" s="114">
        <v>3</v>
      </c>
      <c r="AB677" s="114">
        <f>_xlfn.IFS(AT677&gt;51,3,AT677&gt;=34,2,AT677&lt;34,1)</f>
        <v>3</v>
      </c>
      <c r="AC677" s="114">
        <f>_xlfn.IFS(AS677&gt;35,1,AS677&gt;=28,2,AS677&lt;28,3)</f>
        <v>3</v>
      </c>
      <c r="AD677" s="114">
        <f>_xlfn.IFS(AR677&gt;2.3,3,AR677&gt;=1.7,2,AR677&lt;1.7,1)</f>
        <v>1</v>
      </c>
      <c r="AE677" s="114">
        <f>Y677+AA677+AB677+AC677+AD677</f>
        <v>11</v>
      </c>
      <c r="AF677" s="116" t="s">
        <v>50</v>
      </c>
      <c r="AG677" s="114">
        <f t="shared" si="192"/>
        <v>16.093567251462</v>
      </c>
      <c r="AH677" s="114">
        <f t="shared" si="193"/>
        <v>0.395927601809955</v>
      </c>
      <c r="AI677" s="114">
        <f t="shared" si="194"/>
        <v>1.01</v>
      </c>
      <c r="AJ677" s="159">
        <f t="shared" si="188"/>
        <v>10.6694383472477</v>
      </c>
      <c r="AK677" s="160">
        <f t="shared" si="189"/>
        <v>10.6694383472477</v>
      </c>
      <c r="AL677" s="160">
        <f t="shared" si="190"/>
        <v>10.6694383472477</v>
      </c>
      <c r="AM677" s="160">
        <f t="shared" si="191"/>
        <v>135</v>
      </c>
      <c r="AN677" s="114">
        <v>0</v>
      </c>
      <c r="AO677" s="114">
        <v>1</v>
      </c>
      <c r="AP677" s="114">
        <v>5.33</v>
      </c>
      <c r="AQ677" s="114">
        <v>87</v>
      </c>
      <c r="AR677" s="114">
        <v>1.01</v>
      </c>
      <c r="AS677" s="160">
        <v>24</v>
      </c>
      <c r="AT677" s="161">
        <v>275.2</v>
      </c>
      <c r="AU677" s="114">
        <v>35</v>
      </c>
      <c r="AV677" s="114">
        <v>140</v>
      </c>
      <c r="AZ677" s="119" t="s">
        <v>2025</v>
      </c>
    </row>
    <row r="678" spans="1:52">
      <c r="A678" s="113" t="s">
        <v>2026</v>
      </c>
      <c r="B678" s="113" t="s">
        <v>48</v>
      </c>
      <c r="C678" s="113">
        <v>53</v>
      </c>
      <c r="D678" s="113">
        <v>1.75</v>
      </c>
      <c r="E678" s="113">
        <v>53</v>
      </c>
      <c r="F678" s="136">
        <f>E678/(D678*D678)</f>
        <v>17.3061224489796</v>
      </c>
      <c r="G678" s="113">
        <v>6</v>
      </c>
      <c r="H678" s="281">
        <v>45281</v>
      </c>
      <c r="I678" s="119" t="s">
        <v>2027</v>
      </c>
      <c r="J678" s="119" t="s">
        <v>2028</v>
      </c>
      <c r="L678" s="137">
        <v>1</v>
      </c>
      <c r="M678" s="138">
        <v>6</v>
      </c>
      <c r="N678" s="270" t="s">
        <v>2029</v>
      </c>
      <c r="O678" s="114"/>
      <c r="P678" s="114">
        <v>1</v>
      </c>
      <c r="Q678" s="114"/>
      <c r="R678" s="114"/>
      <c r="S678" s="114"/>
      <c r="T678" s="114">
        <v>1</v>
      </c>
      <c r="U678" s="114">
        <v>1</v>
      </c>
      <c r="V678" s="114">
        <v>1</v>
      </c>
      <c r="W678" s="114">
        <v>0</v>
      </c>
      <c r="X678" s="114">
        <v>1</v>
      </c>
      <c r="Y678" s="114">
        <v>2</v>
      </c>
      <c r="Z678" s="116" t="s">
        <v>307</v>
      </c>
      <c r="AA678" s="114">
        <v>3</v>
      </c>
      <c r="AB678" s="114">
        <f>_xlfn.IFS(AT678&gt;51,3,AT678&gt;=34,2,AT678&lt;34,1)</f>
        <v>3</v>
      </c>
      <c r="AC678" s="114">
        <f>_xlfn.IFS(AS678&gt;35,1,AS678&gt;=28,2,AS678&lt;28,3)</f>
        <v>3</v>
      </c>
      <c r="AD678" s="114">
        <f>_xlfn.IFS(AR678&gt;2.3,3,AR678&gt;=1.7,2,AR678&lt;1.7,1)</f>
        <v>1</v>
      </c>
      <c r="AE678" s="114">
        <f>Y678+AA678+AB678+AC678+AD678</f>
        <v>12</v>
      </c>
      <c r="AF678" s="116" t="s">
        <v>50</v>
      </c>
      <c r="AG678" s="114">
        <f>AT678/17.1</f>
        <v>4.5906432748538</v>
      </c>
      <c r="AH678" s="114">
        <f>AU678/88.4</f>
        <v>0.780542986425339</v>
      </c>
      <c r="AI678" s="114">
        <f>AR678</f>
        <v>1.34</v>
      </c>
      <c r="AJ678" s="159">
        <f>LN(IF(AG678&gt;=1,AG678,1))*3.8+LN(IF(AH678&gt;=1,AH678,1))*9.6+11.2*LN(IF(AI678&gt;=1,AI678,1))+6.4*AN678</f>
        <v>9.06917628924663</v>
      </c>
      <c r="AK678" s="160">
        <f>IF(AND(AG678&gt;0,AH678&gt;0,AI678&gt;0),AJ678,"")</f>
        <v>9.06917628924663</v>
      </c>
      <c r="AL678" s="160">
        <f>AK678+1.59*(135-AM678)</f>
        <v>9.06917628924663</v>
      </c>
      <c r="AM678" s="160">
        <f>IF(AV678&gt;135,135,IF(AV678&lt;120,120,AV678))</f>
        <v>135</v>
      </c>
      <c r="AN678" s="114">
        <v>0</v>
      </c>
      <c r="AO678" s="114">
        <v>1</v>
      </c>
      <c r="AP678" s="114">
        <v>3.01</v>
      </c>
      <c r="AQ678" s="114">
        <v>98</v>
      </c>
      <c r="AR678" s="114">
        <v>1.34</v>
      </c>
      <c r="AS678" s="160">
        <v>25</v>
      </c>
      <c r="AT678" s="161">
        <v>78.5</v>
      </c>
      <c r="AU678" s="114">
        <v>69</v>
      </c>
      <c r="AV678" s="114">
        <v>140</v>
      </c>
      <c r="AZ678" s="119" t="s">
        <v>2030</v>
      </c>
    </row>
    <row r="679" spans="1:52">
      <c r="A679" s="113" t="s">
        <v>2031</v>
      </c>
      <c r="B679" s="113" t="s">
        <v>53</v>
      </c>
      <c r="C679" s="113">
        <v>62</v>
      </c>
      <c r="D679" s="113">
        <v>1.6</v>
      </c>
      <c r="E679" s="113">
        <v>65</v>
      </c>
      <c r="F679" s="136">
        <f>E679/(D679*D679)</f>
        <v>25.390625</v>
      </c>
      <c r="G679" s="113">
        <v>0</v>
      </c>
      <c r="H679" s="281">
        <v>45294</v>
      </c>
      <c r="I679" s="119" t="s">
        <v>2009</v>
      </c>
      <c r="J679" s="119" t="s">
        <v>2032</v>
      </c>
      <c r="L679" s="137">
        <v>2</v>
      </c>
      <c r="M679" s="138">
        <v>14</v>
      </c>
      <c r="N679" s="270" t="s">
        <v>2033</v>
      </c>
      <c r="O679" s="114"/>
      <c r="P679" s="114"/>
      <c r="Q679" s="114"/>
      <c r="R679" s="114">
        <v>1</v>
      </c>
      <c r="S679" s="114"/>
      <c r="T679" s="114">
        <v>0</v>
      </c>
      <c r="U679" s="114">
        <v>0</v>
      </c>
      <c r="V679" s="114">
        <v>1</v>
      </c>
      <c r="W679" s="114">
        <v>0</v>
      </c>
      <c r="X679" s="114">
        <v>1</v>
      </c>
      <c r="Y679" s="114">
        <v>1</v>
      </c>
      <c r="Z679" s="116" t="s">
        <v>58</v>
      </c>
      <c r="AA679" s="114">
        <v>1</v>
      </c>
      <c r="AB679" s="114">
        <f>_xlfn.IFS(AT679&gt;51,3,AT679&gt;=34,2,AT679&lt;34,1)</f>
        <v>1</v>
      </c>
      <c r="AC679" s="114">
        <f>_xlfn.IFS(AS679&gt;35,1,AS679&gt;=28,2,AS679&lt;28,3)</f>
        <v>2</v>
      </c>
      <c r="AD679" s="114">
        <f>_xlfn.IFS(AR679&gt;2.3,3,AR679&gt;=1.7,2,AR679&lt;1.7,1)</f>
        <v>1</v>
      </c>
      <c r="AE679" s="114">
        <f>Y679+AA679+AB679+AC679+AD679</f>
        <v>6</v>
      </c>
      <c r="AF679" s="116" t="s">
        <v>59</v>
      </c>
      <c r="AG679" s="114">
        <f>AT679/17.1</f>
        <v>1.16374269005848</v>
      </c>
      <c r="AH679" s="114">
        <f>AU679/88.4</f>
        <v>0.565610859728507</v>
      </c>
      <c r="AI679" s="114">
        <f>AR679</f>
        <v>1.19</v>
      </c>
      <c r="AJ679" s="159">
        <f>LN(IF(AG679&gt;=1,AG679,1))*3.8+LN(IF(AH679&gt;=1,AH679,1))*9.6+11.2*LN(IF(AI679&gt;=1,AI679,1))+6.4*AN679</f>
        <v>2.52451385902547</v>
      </c>
      <c r="AK679" s="160">
        <f>IF(AND(AG679&gt;0,AH679&gt;0,AI679&gt;0),AJ679,"")</f>
        <v>2.52451385902547</v>
      </c>
      <c r="AL679" s="160">
        <f>AK679+1.59*(135-AM679)</f>
        <v>2.52451385902547</v>
      </c>
      <c r="AM679" s="160">
        <f>IF(AV679&gt;135,135,IF(AV679&lt;120,120,AV679))</f>
        <v>135</v>
      </c>
      <c r="AN679" s="114">
        <v>0</v>
      </c>
      <c r="AO679" s="114">
        <v>1</v>
      </c>
      <c r="AP679" s="114">
        <v>2.94</v>
      </c>
      <c r="AQ679" s="114">
        <v>65</v>
      </c>
      <c r="AR679" s="114">
        <v>1.19</v>
      </c>
      <c r="AS679" s="160">
        <v>33</v>
      </c>
      <c r="AT679" s="161">
        <v>19.9</v>
      </c>
      <c r="AU679" s="114">
        <v>50</v>
      </c>
      <c r="AV679" s="114">
        <v>141</v>
      </c>
      <c r="AZ679" s="119" t="s">
        <v>2034</v>
      </c>
    </row>
    <row r="680" spans="1:52">
      <c r="A680" s="113" t="s">
        <v>2035</v>
      </c>
      <c r="B680" s="113" t="s">
        <v>48</v>
      </c>
      <c r="C680" s="113">
        <v>37</v>
      </c>
      <c r="D680" s="113">
        <v>1.72</v>
      </c>
      <c r="E680" s="113">
        <v>70</v>
      </c>
      <c r="F680" s="136">
        <f>E680/(D680*D680)</f>
        <v>23.6614386154678</v>
      </c>
      <c r="G680" s="113">
        <v>1</v>
      </c>
      <c r="H680" s="281">
        <v>45294</v>
      </c>
      <c r="I680" s="119" t="s">
        <v>2009</v>
      </c>
      <c r="J680" s="119" t="s">
        <v>2036</v>
      </c>
      <c r="L680" s="137">
        <v>2</v>
      </c>
      <c r="M680" s="138">
        <v>8</v>
      </c>
      <c r="N680" s="270" t="s">
        <v>2037</v>
      </c>
      <c r="O680" s="114"/>
      <c r="P680" s="114"/>
      <c r="Q680" s="114"/>
      <c r="R680" s="114"/>
      <c r="S680" s="114">
        <v>1</v>
      </c>
      <c r="T680" s="114">
        <v>1</v>
      </c>
      <c r="U680" s="114">
        <v>0</v>
      </c>
      <c r="V680" s="114">
        <v>1</v>
      </c>
      <c r="W680" s="114">
        <v>0</v>
      </c>
      <c r="X680" s="114">
        <v>1</v>
      </c>
      <c r="Y680" s="114">
        <v>1</v>
      </c>
      <c r="Z680" s="116" t="s">
        <v>300</v>
      </c>
      <c r="AA680" s="114">
        <v>2</v>
      </c>
      <c r="AB680" s="114">
        <f>_xlfn.IFS(AT680&gt;51,3,AT680&gt;=34,2,AT680&lt;34,1)</f>
        <v>1</v>
      </c>
      <c r="AC680" s="114">
        <f>_xlfn.IFS(AS680&gt;35,1,AS680&gt;=28,2,AS680&lt;28,3)</f>
        <v>2</v>
      </c>
      <c r="AD680" s="114">
        <f>_xlfn.IFS(AR680&gt;2.3,3,AR680&gt;=1.7,2,AR680&lt;1.7,1)</f>
        <v>1</v>
      </c>
      <c r="AE680" s="114">
        <f>Y680+AA680+AB680+AC680+AD680</f>
        <v>7</v>
      </c>
      <c r="AF680" s="116" t="s">
        <v>63</v>
      </c>
      <c r="AG680" s="114">
        <f>AT680/17.1</f>
        <v>0.228070175438596</v>
      </c>
      <c r="AH680" s="114">
        <f>AU680/88.4</f>
        <v>0.644796380090498</v>
      </c>
      <c r="AI680" s="114">
        <f>AR680</f>
        <v>1.25</v>
      </c>
      <c r="AJ680" s="159">
        <f>LN(IF(AG680&gt;=1,AG680,1))*3.8+LN(IF(AH680&gt;=1,AH680,1))*9.6+11.2*LN(IF(AI680&gt;=1,AI680,1))+6.4*AN680</f>
        <v>8.89920777471915</v>
      </c>
      <c r="AK680" s="160">
        <f>IF(AND(AG680&gt;0,AH680&gt;0,AI680&gt;0),AJ680,"")</f>
        <v>8.89920777471915</v>
      </c>
      <c r="AL680" s="160">
        <f>AK680+1.59*(135-AM680)</f>
        <v>8.89920777471915</v>
      </c>
      <c r="AM680" s="160">
        <f>IF(AV680&gt;135,135,IF(AV680&lt;120,120,AV680))</f>
        <v>135</v>
      </c>
      <c r="AN680" s="114">
        <v>1</v>
      </c>
      <c r="AO680" s="114">
        <v>1</v>
      </c>
      <c r="AP680" s="114">
        <v>6.21</v>
      </c>
      <c r="AQ680" s="114">
        <v>59</v>
      </c>
      <c r="AR680" s="114">
        <v>1.25</v>
      </c>
      <c r="AS680" s="160">
        <v>28</v>
      </c>
      <c r="AT680" s="161">
        <v>3.9</v>
      </c>
      <c r="AU680" s="114">
        <v>57</v>
      </c>
      <c r="AV680" s="114">
        <v>137</v>
      </c>
      <c r="AZ680" s="119" t="s">
        <v>2038</v>
      </c>
    </row>
    <row r="681" spans="1:52">
      <c r="A681" s="113" t="s">
        <v>2039</v>
      </c>
      <c r="B681" s="113" t="s">
        <v>53</v>
      </c>
      <c r="C681" s="113">
        <v>63</v>
      </c>
      <c r="D681" s="113">
        <v>1.56</v>
      </c>
      <c r="E681" s="113">
        <v>60</v>
      </c>
      <c r="F681" s="136">
        <f>E681/(D681*D681)</f>
        <v>24.65483234714</v>
      </c>
      <c r="G681" s="113">
        <v>1</v>
      </c>
      <c r="H681" s="281">
        <v>45296</v>
      </c>
      <c r="I681" s="158">
        <v>45327</v>
      </c>
      <c r="J681" s="158">
        <v>45332</v>
      </c>
      <c r="L681" s="137">
        <v>1</v>
      </c>
      <c r="M681" s="138">
        <v>5</v>
      </c>
      <c r="N681" s="270" t="s">
        <v>2040</v>
      </c>
      <c r="O681" s="114"/>
      <c r="P681" s="114"/>
      <c r="Q681" s="116" t="s">
        <v>1083</v>
      </c>
      <c r="R681" s="114"/>
      <c r="S681" s="114"/>
      <c r="T681" s="114">
        <v>0</v>
      </c>
      <c r="U681" s="114">
        <v>0</v>
      </c>
      <c r="V681" s="114">
        <v>1</v>
      </c>
      <c r="W681" s="114">
        <v>0</v>
      </c>
      <c r="X681" s="114">
        <v>1</v>
      </c>
      <c r="Y681" s="114">
        <v>1</v>
      </c>
      <c r="Z681" s="116" t="s">
        <v>58</v>
      </c>
      <c r="AA681" s="114">
        <v>1</v>
      </c>
      <c r="AB681" s="114">
        <f>_xlfn.IFS(AT681&gt;51,3,AT681&gt;=34,2,AT681&lt;34,1)</f>
        <v>1</v>
      </c>
      <c r="AC681" s="114">
        <f>_xlfn.IFS(AS681&gt;35,1,AS681&gt;=28,2,AS681&lt;28,3)</f>
        <v>1</v>
      </c>
      <c r="AD681" s="114">
        <f>_xlfn.IFS(AR681&gt;2.3,3,AR681&gt;=1.7,2,AR681&lt;1.7,1)</f>
        <v>1</v>
      </c>
      <c r="AE681" s="114">
        <f>Y681+AA681+AB681+AC681+AD681</f>
        <v>5</v>
      </c>
      <c r="AF681" s="116" t="s">
        <v>59</v>
      </c>
      <c r="AG681" s="114">
        <f>AT681/17.1</f>
        <v>0.421052631578947</v>
      </c>
      <c r="AI681" s="114">
        <f>AR681</f>
        <v>1.06</v>
      </c>
      <c r="AJ681" s="159"/>
      <c r="AK681" s="160" t="str">
        <f>IF(AND(AG681&gt;0,AH681&gt;0,AI681&gt;0),AJ681,"")</f>
        <v/>
      </c>
      <c r="AL681" s="160"/>
      <c r="AM681" s="160">
        <f>IF(AV681&gt;135,135,IF(AV681&lt;120,120,AV681))</f>
        <v>135</v>
      </c>
      <c r="AN681" s="114">
        <v>1</v>
      </c>
      <c r="AO681" s="114"/>
      <c r="AP681" s="114"/>
      <c r="AQ681" s="114"/>
      <c r="AR681" s="114">
        <v>1.06</v>
      </c>
      <c r="AS681" s="160">
        <v>38</v>
      </c>
      <c r="AT681" s="161">
        <v>7.2</v>
      </c>
      <c r="AU681" s="114"/>
      <c r="AV681" s="114">
        <v>142</v>
      </c>
      <c r="AZ681" s="119" t="s">
        <v>2041</v>
      </c>
    </row>
    <row r="682" spans="1:52">
      <c r="A682" s="113" t="s">
        <v>2042</v>
      </c>
      <c r="B682" s="113" t="s">
        <v>48</v>
      </c>
      <c r="C682" s="113">
        <v>68</v>
      </c>
      <c r="D682" s="113">
        <v>1.7</v>
      </c>
      <c r="E682" s="113">
        <v>85</v>
      </c>
      <c r="F682" s="136">
        <f>E682/(D682*D682)</f>
        <v>29.4117647058824</v>
      </c>
      <c r="G682" s="113">
        <v>6</v>
      </c>
      <c r="H682" s="281">
        <v>45296</v>
      </c>
      <c r="I682" s="158">
        <v>45296</v>
      </c>
      <c r="J682" s="158">
        <v>45308</v>
      </c>
      <c r="L682" s="137">
        <v>1</v>
      </c>
      <c r="M682" s="138">
        <v>12</v>
      </c>
      <c r="N682" s="270" t="s">
        <v>2043</v>
      </c>
      <c r="O682" s="114"/>
      <c r="P682" s="114">
        <v>1</v>
      </c>
      <c r="Q682" s="114"/>
      <c r="R682" s="114"/>
      <c r="S682" s="114"/>
      <c r="T682" s="114">
        <v>1</v>
      </c>
      <c r="U682" s="114">
        <v>1</v>
      </c>
      <c r="V682" s="114">
        <v>1</v>
      </c>
      <c r="W682" s="114">
        <v>1</v>
      </c>
      <c r="X682" s="114">
        <v>1</v>
      </c>
      <c r="Y682" s="114">
        <v>2</v>
      </c>
      <c r="Z682" s="116" t="s">
        <v>321</v>
      </c>
      <c r="AA682" s="114">
        <v>3</v>
      </c>
      <c r="AB682" s="114">
        <f>_xlfn.IFS(AT682&gt;51,3,AT682&gt;=34,2,AT682&lt;34,1)</f>
        <v>1</v>
      </c>
      <c r="AC682" s="114">
        <f>_xlfn.IFS(AS682&gt;35,1,AS682&gt;=28,2,AS682&lt;28,3)</f>
        <v>3</v>
      </c>
      <c r="AD682" s="114">
        <f>_xlfn.IFS(AR682&gt;2.3,3,AR682&gt;=1.7,2,AR682&lt;1.7,1)</f>
        <v>1</v>
      </c>
      <c r="AE682" s="114">
        <f>Y682+AA682+AB682+AC682+AD682</f>
        <v>10</v>
      </c>
      <c r="AF682" s="116" t="s">
        <v>50</v>
      </c>
      <c r="AG682" s="114">
        <f>AT682/17.1</f>
        <v>1.95906432748538</v>
      </c>
      <c r="AH682" s="114">
        <f>AU682/88.4</f>
        <v>0.950226244343891</v>
      </c>
      <c r="AI682" s="114">
        <f>AR682</f>
        <v>1.55</v>
      </c>
      <c r="AJ682" s="159">
        <f>LN(IF(AG682&gt;=1,AG682,1))*3.8+LN(IF(AH682&gt;=1,AH682,1))*9.6+11.2*LN(IF(AI682&gt;=1,AI682,1))+6.4*AN682</f>
        <v>7.46382973265408</v>
      </c>
      <c r="AK682" s="160">
        <f>IF(AND(AG682&gt;0,AH682&gt;0,AI682&gt;0),AJ682,"")</f>
        <v>7.46382973265408</v>
      </c>
      <c r="AL682" s="160">
        <f>AK682+1.59*(135-AM682)</f>
        <v>7.46382973265408</v>
      </c>
      <c r="AM682" s="160">
        <f>IF(AV682&gt;135,135,IF(AV682&lt;120,120,AV682))</f>
        <v>135</v>
      </c>
      <c r="AN682" s="114">
        <v>0</v>
      </c>
      <c r="AO682" s="114">
        <v>1</v>
      </c>
      <c r="AP682" s="114">
        <v>3.61</v>
      </c>
      <c r="AQ682" s="114">
        <v>80</v>
      </c>
      <c r="AR682" s="114">
        <v>1.55</v>
      </c>
      <c r="AS682" s="160">
        <v>23</v>
      </c>
      <c r="AT682" s="161">
        <v>33.5</v>
      </c>
      <c r="AU682" s="114">
        <v>84</v>
      </c>
      <c r="AV682" s="114">
        <v>135</v>
      </c>
      <c r="AZ682" s="119" t="s">
        <v>2044</v>
      </c>
    </row>
    <row r="683" spans="1:52">
      <c r="A683" s="113" t="s">
        <v>2045</v>
      </c>
      <c r="B683" s="113" t="s">
        <v>48</v>
      </c>
      <c r="C683" s="113">
        <v>74</v>
      </c>
      <c r="D683" s="113">
        <v>1.69</v>
      </c>
      <c r="E683" s="113">
        <v>64</v>
      </c>
      <c r="F683" s="136">
        <f>E683/(D683*D683)</f>
        <v>22.4081789853296</v>
      </c>
      <c r="G683" s="113">
        <v>7</v>
      </c>
      <c r="H683" s="281">
        <v>45307</v>
      </c>
      <c r="I683" s="158">
        <v>45307</v>
      </c>
      <c r="J683" s="158">
        <v>45314</v>
      </c>
      <c r="L683" s="137">
        <v>2</v>
      </c>
      <c r="M683" s="138">
        <v>7</v>
      </c>
      <c r="N683" s="270" t="s">
        <v>2046</v>
      </c>
      <c r="O683" s="114"/>
      <c r="P683" s="114"/>
      <c r="Q683" s="116" t="s">
        <v>1083</v>
      </c>
      <c r="R683" s="114"/>
      <c r="S683" s="114"/>
      <c r="T683" s="114">
        <v>1</v>
      </c>
      <c r="U683" s="114">
        <v>0</v>
      </c>
      <c r="V683" s="114">
        <v>1</v>
      </c>
      <c r="W683" s="114">
        <v>0</v>
      </c>
      <c r="X683" s="114">
        <v>1</v>
      </c>
      <c r="Y683" s="114">
        <v>1</v>
      </c>
      <c r="Z683" s="116" t="s">
        <v>300</v>
      </c>
      <c r="AA683" s="114">
        <v>2</v>
      </c>
      <c r="AB683" s="114">
        <f>_xlfn.IFS(AT683&gt;51,3,AT683&gt;=34,2,AT683&lt;34,1)</f>
        <v>2</v>
      </c>
      <c r="AC683" s="114">
        <f>_xlfn.IFS(AS683&gt;35,1,AS683&gt;=28,2,AS683&lt;28,3)</f>
        <v>2</v>
      </c>
      <c r="AD683" s="114">
        <f>_xlfn.IFS(AR683&gt;2.3,3,AR683&gt;=1.7,2,AR683&lt;1.7,1)</f>
        <v>1</v>
      </c>
      <c r="AE683" s="114">
        <f>Y683+AA683+AB683+AC683+AD683</f>
        <v>8</v>
      </c>
      <c r="AF683" s="116" t="s">
        <v>63</v>
      </c>
      <c r="AG683" s="114">
        <f>AT683/17.1</f>
        <v>2.22222222222222</v>
      </c>
      <c r="AH683" s="114">
        <f>AU683/88.4</f>
        <v>1.43665158371041</v>
      </c>
      <c r="AI683" s="114">
        <f>AR683</f>
        <v>1.57</v>
      </c>
      <c r="AJ683" s="159">
        <f>LN(IF(AG683&gt;=1,AG683,1))*3.8+LN(IF(AH683&gt;=1,AH683,1))*9.6+11.2*LN(IF(AI683&gt;=1,AI683,1))+6.4*AN683</f>
        <v>17.9646013038859</v>
      </c>
      <c r="AK683" s="160">
        <f>IF(AND(AG683&gt;0,AH683&gt;0,AI683&gt;0),AJ683,"")</f>
        <v>17.9646013038859</v>
      </c>
      <c r="AL683" s="160">
        <f>AK683+1.59*(135-AM683)</f>
        <v>17.9646013038859</v>
      </c>
      <c r="AM683" s="160">
        <f>IF(AV683&gt;135,135,IF(AV683&lt;120,120,AV683))</f>
        <v>135</v>
      </c>
      <c r="AN683" s="114">
        <v>1</v>
      </c>
      <c r="AO683" s="114">
        <v>2</v>
      </c>
      <c r="AP683" s="114">
        <v>6.79</v>
      </c>
      <c r="AQ683" s="114">
        <v>151</v>
      </c>
      <c r="AR683" s="114">
        <v>1.57</v>
      </c>
      <c r="AS683" s="160">
        <v>28</v>
      </c>
      <c r="AT683" s="161">
        <v>38</v>
      </c>
      <c r="AU683" s="114">
        <v>127</v>
      </c>
      <c r="AV683" s="114">
        <v>137</v>
      </c>
      <c r="AZ683" s="119" t="s">
        <v>2047</v>
      </c>
    </row>
    <row r="684" spans="1:52">
      <c r="A684" s="113" t="s">
        <v>2048</v>
      </c>
      <c r="B684" s="113" t="s">
        <v>53</v>
      </c>
      <c r="C684" s="113">
        <v>62</v>
      </c>
      <c r="D684" s="113">
        <v>1.58</v>
      </c>
      <c r="E684" s="113">
        <v>73</v>
      </c>
      <c r="F684" s="136">
        <f>E684/(D684*D684)</f>
        <v>29.2421086364365</v>
      </c>
      <c r="G684" s="113">
        <v>1</v>
      </c>
      <c r="H684" s="281">
        <v>45307</v>
      </c>
      <c r="I684" s="158">
        <v>45307</v>
      </c>
      <c r="J684" s="158">
        <v>45313</v>
      </c>
      <c r="L684" s="137">
        <v>1</v>
      </c>
      <c r="M684" s="138">
        <v>6</v>
      </c>
      <c r="N684" s="270" t="s">
        <v>2049</v>
      </c>
      <c r="O684" s="114"/>
      <c r="P684" s="114"/>
      <c r="Q684" s="114"/>
      <c r="R684" s="114"/>
      <c r="S684" s="114">
        <v>1</v>
      </c>
      <c r="T684" s="114">
        <v>1</v>
      </c>
      <c r="U684" s="114">
        <v>0</v>
      </c>
      <c r="V684" s="114">
        <v>1</v>
      </c>
      <c r="W684" s="114">
        <v>0</v>
      </c>
      <c r="X684" s="114">
        <v>1</v>
      </c>
      <c r="Y684" s="114">
        <v>1</v>
      </c>
      <c r="Z684" s="116" t="s">
        <v>307</v>
      </c>
      <c r="AA684" s="114">
        <v>3</v>
      </c>
      <c r="AB684" s="114">
        <f>_xlfn.IFS(AT684&gt;51,3,AT684&gt;=34,2,AT684&lt;34,1)</f>
        <v>1</v>
      </c>
      <c r="AC684" s="114">
        <f>_xlfn.IFS(AS684&gt;35,1,AS684&gt;=28,2,AS684&lt;28,3)</f>
        <v>2</v>
      </c>
      <c r="AD684" s="114">
        <f>_xlfn.IFS(AR684&gt;2.3,3,AR684&gt;=1.7,2,AR684&lt;1.7,1)</f>
        <v>1</v>
      </c>
      <c r="AE684" s="114">
        <f>Y684+AA684+AB684+AC684+AD684</f>
        <v>8</v>
      </c>
      <c r="AF684" s="116" t="s">
        <v>63</v>
      </c>
      <c r="AG684" s="114">
        <f>AT684/17.1</f>
        <v>0.543859649122807</v>
      </c>
      <c r="AH684" s="114">
        <f>AU684/88.4</f>
        <v>0.486425339366516</v>
      </c>
      <c r="AI684" s="114">
        <f>AR684</f>
        <v>1.28</v>
      </c>
      <c r="AJ684" s="159">
        <f>LN(IF(AG684&gt;=1,AG684,1))*3.8+LN(IF(AH684&gt;=1,AH684,1))*9.6+11.2*LN(IF(AI684&gt;=1,AI684,1))+6.4*AN684</f>
        <v>9.16483287283309</v>
      </c>
      <c r="AK684" s="160">
        <f>IF(AND(AG684&gt;0,AH684&gt;0,AI684&gt;0),AJ684,"")</f>
        <v>9.16483287283309</v>
      </c>
      <c r="AL684" s="160">
        <f>AK684+1.59*(135-AM684)</f>
        <v>9.16483287283309</v>
      </c>
      <c r="AM684" s="160">
        <f>IF(AV684&gt;135,135,IF(AV684&lt;120,120,AV684))</f>
        <v>135</v>
      </c>
      <c r="AN684" s="114">
        <v>1</v>
      </c>
      <c r="AO684" s="114">
        <v>1</v>
      </c>
      <c r="AP684" s="114">
        <v>3.09</v>
      </c>
      <c r="AQ684" s="114">
        <v>71</v>
      </c>
      <c r="AR684" s="114">
        <v>1.28</v>
      </c>
      <c r="AS684" s="160">
        <v>29</v>
      </c>
      <c r="AT684" s="161">
        <v>9.3</v>
      </c>
      <c r="AU684" s="114">
        <v>43</v>
      </c>
      <c r="AV684" s="114">
        <v>141</v>
      </c>
      <c r="AZ684" s="119" t="s">
        <v>2050</v>
      </c>
    </row>
    <row r="685" s="125" customFormat="1" spans="1:52">
      <c r="A685" s="272" t="s">
        <v>848</v>
      </c>
      <c r="B685" s="272" t="s">
        <v>53</v>
      </c>
      <c r="C685" s="272">
        <v>69</v>
      </c>
      <c r="D685" s="272">
        <v>1.6</v>
      </c>
      <c r="E685" s="272">
        <v>44</v>
      </c>
      <c r="F685" s="216">
        <f>E685/(D685*D685)</f>
        <v>17.1875</v>
      </c>
      <c r="G685" s="272">
        <v>3</v>
      </c>
      <c r="H685" s="296">
        <v>45307</v>
      </c>
      <c r="I685" s="186">
        <v>45307</v>
      </c>
      <c r="J685" s="186">
        <v>45331</v>
      </c>
      <c r="L685" s="187">
        <v>8</v>
      </c>
      <c r="M685" s="187">
        <v>24</v>
      </c>
      <c r="N685" s="248" t="s">
        <v>2051</v>
      </c>
      <c r="Q685" s="131" t="s">
        <v>1083</v>
      </c>
      <c r="R685" s="131" t="s">
        <v>1083</v>
      </c>
      <c r="T685" s="125">
        <v>1</v>
      </c>
      <c r="U685" s="125">
        <v>0</v>
      </c>
      <c r="V685" s="125">
        <v>1</v>
      </c>
      <c r="W685" s="125">
        <v>0</v>
      </c>
      <c r="X685" s="125">
        <v>1</v>
      </c>
      <c r="Y685" s="125">
        <v>1</v>
      </c>
      <c r="Z685" s="131" t="s">
        <v>307</v>
      </c>
      <c r="AA685" s="125">
        <v>3</v>
      </c>
      <c r="AB685" s="114">
        <f>_xlfn.IFS(AT685&gt;51,3,AT685&gt;=34,2,AT685&lt;34,1)</f>
        <v>1</v>
      </c>
      <c r="AC685" s="114">
        <f>_xlfn.IFS(AS685&gt;35,1,AS685&gt;=28,2,AS685&lt;28,3)</f>
        <v>2</v>
      </c>
      <c r="AD685" s="114">
        <f>_xlfn.IFS(AR685&gt;2.3,3,AR685&gt;=1.7,2,AR685&lt;1.7,1)</f>
        <v>1</v>
      </c>
      <c r="AE685" s="114">
        <f>Y685+AA685+AB685+AC685+AD685</f>
        <v>8</v>
      </c>
      <c r="AF685" s="131" t="s">
        <v>63</v>
      </c>
      <c r="AG685" s="125">
        <f>AT685/17.1</f>
        <v>1.92397660818713</v>
      </c>
      <c r="AH685" s="125">
        <f>AU685/88.4</f>
        <v>0.972850678733032</v>
      </c>
      <c r="AI685" s="125">
        <f>AR685</f>
        <v>1.47</v>
      </c>
      <c r="AJ685" s="240">
        <f>LN(IF(AG685&gt;=1,AG685,1))*3.8+LN(IF(AH685&gt;=1,AH685,1))*9.6+11.2*LN(IF(AI685&gt;=1,AI685,1))+6.4*AN685</f>
        <v>6.80163682705353</v>
      </c>
      <c r="AK685" s="241">
        <f>IF(AND(AG685&gt;0,AH685&gt;0,AI685&gt;0),AJ685,"")</f>
        <v>6.80163682705353</v>
      </c>
      <c r="AL685" s="241">
        <f>AK685+1.59*(135-AM685)</f>
        <v>6.80163682705353</v>
      </c>
      <c r="AM685" s="241">
        <f>IF(AV685&gt;135,135,IF(AV685&lt;120,120,AV685))</f>
        <v>135</v>
      </c>
      <c r="AN685" s="125">
        <v>0</v>
      </c>
      <c r="AO685" s="125">
        <v>1</v>
      </c>
      <c r="AP685" s="125">
        <v>5.21</v>
      </c>
      <c r="AQ685" s="125">
        <v>103</v>
      </c>
      <c r="AR685" s="125">
        <v>1.47</v>
      </c>
      <c r="AS685" s="241">
        <v>34</v>
      </c>
      <c r="AT685" s="242">
        <v>32.9</v>
      </c>
      <c r="AU685" s="125">
        <v>86</v>
      </c>
      <c r="AV685" s="125">
        <v>135</v>
      </c>
      <c r="AZ685" s="131" t="s">
        <v>2052</v>
      </c>
    </row>
    <row r="686" spans="1:52">
      <c r="A686" s="113" t="s">
        <v>2053</v>
      </c>
      <c r="B686" s="113" t="s">
        <v>53</v>
      </c>
      <c r="C686" s="113">
        <v>69</v>
      </c>
      <c r="D686" s="113">
        <v>1.55</v>
      </c>
      <c r="E686" s="113">
        <v>49</v>
      </c>
      <c r="F686" s="136">
        <f>E686/(D686*D686)</f>
        <v>20.3954214360042</v>
      </c>
      <c r="G686" s="113">
        <v>1</v>
      </c>
      <c r="H686" s="281">
        <v>45313</v>
      </c>
      <c r="I686" s="158">
        <v>44948</v>
      </c>
      <c r="J686" s="158">
        <v>45331</v>
      </c>
      <c r="L686" s="137">
        <v>1</v>
      </c>
      <c r="M686" s="138">
        <v>18</v>
      </c>
      <c r="N686" s="270" t="s">
        <v>2054</v>
      </c>
      <c r="O686" s="114"/>
      <c r="P686" s="114"/>
      <c r="Q686" s="116" t="s">
        <v>1083</v>
      </c>
      <c r="R686" s="116" t="s">
        <v>1083</v>
      </c>
      <c r="S686" s="114"/>
      <c r="T686" s="114">
        <v>1</v>
      </c>
      <c r="U686" s="114">
        <v>0</v>
      </c>
      <c r="V686" s="114">
        <v>1</v>
      </c>
      <c r="W686" s="114">
        <v>0</v>
      </c>
      <c r="X686" s="114">
        <v>1</v>
      </c>
      <c r="Y686" s="114">
        <v>1</v>
      </c>
      <c r="Z686" s="116" t="s">
        <v>321</v>
      </c>
      <c r="AA686" s="114">
        <v>3</v>
      </c>
      <c r="AB686" s="114">
        <f t="shared" ref="AB686:AB704" si="199">_xlfn.IFS(AT686&gt;51,3,AT686&gt;=34,2,AT686&lt;34,1)</f>
        <v>1</v>
      </c>
      <c r="AC686" s="114">
        <f t="shared" ref="AC686:AC704" si="200">_xlfn.IFS(AS686&gt;35,1,AS686&gt;=28,2,AS686&lt;28,3)</f>
        <v>3</v>
      </c>
      <c r="AD686" s="114">
        <f t="shared" ref="AD686:AD704" si="201">_xlfn.IFS(AR686&gt;2.3,3,AR686&gt;=1.7,2,AR686&lt;1.7,1)</f>
        <v>1</v>
      </c>
      <c r="AE686" s="114">
        <f t="shared" ref="AE686:AE704" si="202">Y686+AA686+AB686+AC686+AD686</f>
        <v>9</v>
      </c>
      <c r="AF686" s="116" t="s">
        <v>63</v>
      </c>
      <c r="AG686" s="114">
        <f>AT686/17.1</f>
        <v>0.771929824561403</v>
      </c>
      <c r="AH686" s="114">
        <f>AU686/88.4</f>
        <v>0.486425339366516</v>
      </c>
      <c r="AI686" s="114">
        <f>AR686</f>
        <v>1.48</v>
      </c>
      <c r="AJ686" s="159">
        <f>LN(IF(AG686&gt;=1,AG686,1))*3.8+LN(IF(AH686&gt;=1,AH686,1))*9.6+11.2*LN(IF(AI686&gt;=1,AI686,1))+6.4*AN686</f>
        <v>4.39087138309146</v>
      </c>
      <c r="AK686" s="160">
        <f>IF(AND(AG686&gt;0,AH686&gt;0,AI686&gt;0),AJ686,"")</f>
        <v>4.39087138309146</v>
      </c>
      <c r="AL686" s="160">
        <f>AK686+1.59*(135-AM686)</f>
        <v>4.39087138309146</v>
      </c>
      <c r="AM686" s="160">
        <f>IF(AV686&gt;135,135,IF(AV686&lt;120,120,AV686))</f>
        <v>135</v>
      </c>
      <c r="AN686" s="114">
        <v>0</v>
      </c>
      <c r="AO686" s="114">
        <v>1</v>
      </c>
      <c r="AP686" s="114">
        <v>5.08</v>
      </c>
      <c r="AQ686" s="114">
        <v>81</v>
      </c>
      <c r="AR686" s="114">
        <v>1.48</v>
      </c>
      <c r="AS686" s="160">
        <v>22</v>
      </c>
      <c r="AT686" s="161">
        <v>13.2</v>
      </c>
      <c r="AU686" s="114">
        <v>43</v>
      </c>
      <c r="AV686" s="114">
        <v>143</v>
      </c>
      <c r="AZ686" s="119" t="s">
        <v>2055</v>
      </c>
    </row>
    <row r="687" s="123" customFormat="1" spans="1:52">
      <c r="A687" s="285" t="s">
        <v>2056</v>
      </c>
      <c r="B687" s="285" t="s">
        <v>53</v>
      </c>
      <c r="C687" s="285">
        <v>72</v>
      </c>
      <c r="D687" s="285">
        <v>1.67</v>
      </c>
      <c r="E687" s="285">
        <v>52</v>
      </c>
      <c r="F687" s="189">
        <f>E687/(D687*D687)</f>
        <v>18.645344042454</v>
      </c>
      <c r="G687" s="285">
        <v>1</v>
      </c>
      <c r="H687" s="286">
        <v>45313</v>
      </c>
      <c r="I687" s="177">
        <v>45313</v>
      </c>
      <c r="J687" s="177">
        <v>45321</v>
      </c>
      <c r="L687" s="178">
        <v>6</v>
      </c>
      <c r="M687" s="178">
        <v>8</v>
      </c>
      <c r="N687" s="254" t="s">
        <v>2057</v>
      </c>
      <c r="O687" s="114"/>
      <c r="P687" s="114"/>
      <c r="Q687" s="114">
        <v>1</v>
      </c>
      <c r="R687" s="114"/>
      <c r="S687" s="114"/>
      <c r="T687" s="114">
        <v>1</v>
      </c>
      <c r="U687" s="114">
        <v>0</v>
      </c>
      <c r="V687" s="114">
        <v>1</v>
      </c>
      <c r="W687" s="114">
        <v>1</v>
      </c>
      <c r="X687" s="114">
        <v>1</v>
      </c>
      <c r="Y687" s="114">
        <v>1</v>
      </c>
      <c r="Z687" s="116" t="s">
        <v>300</v>
      </c>
      <c r="AA687" s="114">
        <v>2</v>
      </c>
      <c r="AB687" s="114">
        <f t="shared" si="199"/>
        <v>1</v>
      </c>
      <c r="AC687" s="114">
        <f t="shared" si="200"/>
        <v>2</v>
      </c>
      <c r="AD687" s="114">
        <f t="shared" si="201"/>
        <v>1</v>
      </c>
      <c r="AE687" s="114">
        <f t="shared" si="202"/>
        <v>7</v>
      </c>
      <c r="AF687" s="116" t="s">
        <v>63</v>
      </c>
      <c r="AG687" s="114">
        <f>AT687/17.1</f>
        <v>0.871345029239766</v>
      </c>
      <c r="AH687" s="114">
        <f>AU687/88.4</f>
        <v>0.644796380090498</v>
      </c>
      <c r="AI687" s="114">
        <f>AR687</f>
        <v>1.2</v>
      </c>
      <c r="AJ687" s="159">
        <f>LN(IF(AG687&gt;=1,AG687,1))*3.8+LN(IF(AH687&gt;=1,AH687,1))*9.6+11.2*LN(IF(AI687&gt;=1,AI687,1))+6.4*AN687</f>
        <v>8.44200143609229</v>
      </c>
      <c r="AK687" s="160">
        <f>IF(AND(AG687&gt;0,AH687&gt;0,AI687&gt;0),AJ687,"")</f>
        <v>8.44200143609229</v>
      </c>
      <c r="AL687" s="160">
        <f>AK687+1.59*(135-AM687)</f>
        <v>8.44200143609229</v>
      </c>
      <c r="AM687" s="160">
        <f>IF(AV687&gt;135,135,IF(AV687&lt;120,120,AV687))</f>
        <v>135</v>
      </c>
      <c r="AN687" s="114">
        <v>1</v>
      </c>
      <c r="AO687" s="114">
        <v>1</v>
      </c>
      <c r="AP687" s="114">
        <v>2.96</v>
      </c>
      <c r="AQ687" s="114">
        <v>74</v>
      </c>
      <c r="AR687" s="114">
        <v>1.2</v>
      </c>
      <c r="AS687" s="160">
        <v>31</v>
      </c>
      <c r="AT687" s="161">
        <v>14.9</v>
      </c>
      <c r="AU687" s="114">
        <v>57</v>
      </c>
      <c r="AV687" s="114">
        <v>142</v>
      </c>
      <c r="AZ687" s="132" t="s">
        <v>2058</v>
      </c>
    </row>
    <row r="688" spans="1:52">
      <c r="A688" s="113" t="s">
        <v>2059</v>
      </c>
      <c r="B688" s="113" t="s">
        <v>48</v>
      </c>
      <c r="C688" s="113">
        <v>64</v>
      </c>
      <c r="D688" s="113">
        <v>1.78</v>
      </c>
      <c r="E688" s="113">
        <v>100</v>
      </c>
      <c r="F688" s="136">
        <f>E688/(D688*D688)</f>
        <v>31.561671506123</v>
      </c>
      <c r="G688" s="113">
        <v>6</v>
      </c>
      <c r="H688" s="113" t="s">
        <v>1571</v>
      </c>
      <c r="I688" s="158">
        <v>45317</v>
      </c>
      <c r="J688" s="158">
        <v>45319</v>
      </c>
      <c r="L688" s="137">
        <v>1</v>
      </c>
      <c r="M688" s="138">
        <v>2</v>
      </c>
      <c r="N688" s="270" t="s">
        <v>2060</v>
      </c>
      <c r="O688" s="114"/>
      <c r="P688" s="114">
        <v>1</v>
      </c>
      <c r="Q688" s="114"/>
      <c r="R688" s="114"/>
      <c r="S688" s="114"/>
      <c r="T688" s="114">
        <v>0</v>
      </c>
      <c r="U688" s="114">
        <v>1</v>
      </c>
      <c r="V688" s="114">
        <v>0</v>
      </c>
      <c r="W688" s="114">
        <v>0</v>
      </c>
      <c r="X688" s="114">
        <v>1</v>
      </c>
      <c r="Y688" s="114">
        <v>1</v>
      </c>
      <c r="Z688" s="116" t="s">
        <v>58</v>
      </c>
      <c r="AA688" s="114">
        <v>1</v>
      </c>
      <c r="AB688" s="114">
        <f t="shared" si="199"/>
        <v>1</v>
      </c>
      <c r="AC688" s="114">
        <f t="shared" si="200"/>
        <v>2</v>
      </c>
      <c r="AD688" s="114">
        <f t="shared" si="201"/>
        <v>1</v>
      </c>
      <c r="AE688" s="114">
        <f t="shared" si="202"/>
        <v>6</v>
      </c>
      <c r="AF688" s="116" t="s">
        <v>59</v>
      </c>
      <c r="AG688" s="114">
        <f>AT688/17.1</f>
        <v>1.25730994152047</v>
      </c>
      <c r="AH688" s="114">
        <f>AU688/88.4</f>
        <v>0.938914027149321</v>
      </c>
      <c r="AI688" s="114">
        <f>AR688</f>
        <v>1.33</v>
      </c>
      <c r="AJ688" s="159">
        <f>LN(IF(AG688&gt;=1,AG688,1))*3.8+LN(IF(AH688&gt;=1,AH688,1))*9.6+11.2*LN(IF(AI688&gt;=1,AI688,1))+6.4*AN688</f>
        <v>4.06410714519203</v>
      </c>
      <c r="AK688" s="160">
        <f>IF(AND(AG688&gt;0,AH688&gt;0,AI688&gt;0),AJ688,"")</f>
        <v>4.06410714519203</v>
      </c>
      <c r="AL688" s="160">
        <f>AK688+1.59*(135-AM688)</f>
        <v>4.06410714519203</v>
      </c>
      <c r="AM688" s="160">
        <f>IF(AV688&gt;135,135,IF(AV688&lt;120,120,AV688))</f>
        <v>135</v>
      </c>
      <c r="AN688" s="114">
        <v>0</v>
      </c>
      <c r="AO688" s="114">
        <v>1</v>
      </c>
      <c r="AP688" s="114">
        <v>5.77</v>
      </c>
      <c r="AQ688" s="114">
        <v>110</v>
      </c>
      <c r="AR688" s="114">
        <v>1.33</v>
      </c>
      <c r="AS688" s="160">
        <v>30</v>
      </c>
      <c r="AT688" s="161">
        <v>21.5</v>
      </c>
      <c r="AU688" s="114">
        <v>83</v>
      </c>
      <c r="AV688" s="114">
        <v>135</v>
      </c>
      <c r="AZ688" s="119" t="s">
        <v>58</v>
      </c>
    </row>
    <row r="689" spans="1:52">
      <c r="A689" s="113" t="s">
        <v>990</v>
      </c>
      <c r="B689" s="113" t="s">
        <v>53</v>
      </c>
      <c r="C689" s="113">
        <v>85</v>
      </c>
      <c r="D689" s="113">
        <v>1.6</v>
      </c>
      <c r="E689" s="113">
        <v>45</v>
      </c>
      <c r="F689" s="136">
        <f>E689/(D689*D689)</f>
        <v>17.578125</v>
      </c>
      <c r="G689" s="113">
        <v>1</v>
      </c>
      <c r="H689" s="281">
        <v>45283</v>
      </c>
      <c r="I689" s="158">
        <v>45283</v>
      </c>
      <c r="J689" s="158">
        <v>45297</v>
      </c>
      <c r="L689" s="137">
        <v>3</v>
      </c>
      <c r="M689" s="138">
        <v>14</v>
      </c>
      <c r="N689" s="270" t="s">
        <v>2061</v>
      </c>
      <c r="O689" s="114"/>
      <c r="P689" s="114"/>
      <c r="Q689" s="114"/>
      <c r="R689" s="114">
        <v>1</v>
      </c>
      <c r="S689" s="114"/>
      <c r="T689" s="114">
        <v>1</v>
      </c>
      <c r="U689" s="114">
        <v>0</v>
      </c>
      <c r="V689" s="114">
        <v>1</v>
      </c>
      <c r="W689" s="114">
        <v>0</v>
      </c>
      <c r="X689" s="114">
        <v>1</v>
      </c>
      <c r="Y689" s="114">
        <v>1</v>
      </c>
      <c r="Z689" s="116" t="s">
        <v>300</v>
      </c>
      <c r="AA689" s="114">
        <v>2</v>
      </c>
      <c r="AB689" s="114">
        <f t="shared" si="199"/>
        <v>1</v>
      </c>
      <c r="AC689" s="114">
        <f t="shared" si="200"/>
        <v>2</v>
      </c>
      <c r="AD689" s="114">
        <f t="shared" si="201"/>
        <v>1</v>
      </c>
      <c r="AE689" s="114">
        <f t="shared" si="202"/>
        <v>7</v>
      </c>
      <c r="AF689" s="116" t="s">
        <v>63</v>
      </c>
      <c r="AG689" s="114">
        <f>AT689/17.1</f>
        <v>0.754385964912281</v>
      </c>
      <c r="AH689" s="114">
        <f>AU689/88.4</f>
        <v>1.83257918552036</v>
      </c>
      <c r="AI689" s="114">
        <f>AR689</f>
        <v>1.21</v>
      </c>
      <c r="AJ689" s="159">
        <f>LN(IF(AG689&gt;=1,AG689,1))*3.8+LN(IF(AH689&gt;=1,AH689,1))*9.6+11.2*LN(IF(AI689&gt;=1,AI689,1))+6.4*AN689</f>
        <v>7.94990193726922</v>
      </c>
      <c r="AK689" s="160">
        <f>IF(AND(AG689&gt;0,AH689&gt;0,AI689&gt;0),AJ689,"")</f>
        <v>7.94990193726922</v>
      </c>
      <c r="AL689" s="160">
        <f>AK689+1.59*(135-AM689)</f>
        <v>7.94990193726922</v>
      </c>
      <c r="AM689" s="160">
        <f>IF(AV689&gt;135,135,IF(AV689&lt;120,120,AV689))</f>
        <v>135</v>
      </c>
      <c r="AN689" s="114">
        <v>0</v>
      </c>
      <c r="AO689" s="114">
        <v>1</v>
      </c>
      <c r="AP689" s="114">
        <v>1.76</v>
      </c>
      <c r="AQ689" s="114">
        <v>46</v>
      </c>
      <c r="AR689" s="116">
        <v>1.21</v>
      </c>
      <c r="AS689" s="160">
        <v>32</v>
      </c>
      <c r="AT689" s="161">
        <v>12.9</v>
      </c>
      <c r="AU689" s="114">
        <v>162</v>
      </c>
      <c r="AV689" s="114">
        <v>141</v>
      </c>
      <c r="AZ689" s="119" t="s">
        <v>2062</v>
      </c>
    </row>
    <row r="690" spans="1:52">
      <c r="A690" s="113" t="s">
        <v>1347</v>
      </c>
      <c r="B690" s="113" t="s">
        <v>53</v>
      </c>
      <c r="C690" s="113">
        <v>60</v>
      </c>
      <c r="D690" s="113">
        <v>1.6</v>
      </c>
      <c r="E690" s="113">
        <v>65</v>
      </c>
      <c r="F690" s="136">
        <f>E690/(D690*D690)</f>
        <v>25.390625</v>
      </c>
      <c r="G690" s="113">
        <v>1</v>
      </c>
      <c r="H690" s="281">
        <v>45314</v>
      </c>
      <c r="I690" s="158">
        <v>45314</v>
      </c>
      <c r="J690" s="158">
        <v>45321</v>
      </c>
      <c r="L690" s="137">
        <v>3</v>
      </c>
      <c r="M690" s="138">
        <v>7</v>
      </c>
      <c r="N690" s="270" t="s">
        <v>2063</v>
      </c>
      <c r="O690" s="114"/>
      <c r="P690" s="114"/>
      <c r="Q690" s="114"/>
      <c r="R690" s="114"/>
      <c r="S690" s="114">
        <v>1</v>
      </c>
      <c r="T690" s="114">
        <v>1</v>
      </c>
      <c r="U690" s="114">
        <v>0</v>
      </c>
      <c r="V690" s="114">
        <v>1</v>
      </c>
      <c r="W690" s="114">
        <v>1</v>
      </c>
      <c r="X690" s="114">
        <v>1</v>
      </c>
      <c r="Y690" s="114">
        <v>1</v>
      </c>
      <c r="Z690" s="116" t="s">
        <v>300</v>
      </c>
      <c r="AA690" s="114">
        <v>2</v>
      </c>
      <c r="AB690" s="114">
        <f t="shared" si="199"/>
        <v>1</v>
      </c>
      <c r="AC690" s="114">
        <f t="shared" si="200"/>
        <v>2</v>
      </c>
      <c r="AD690" s="114">
        <f t="shared" si="201"/>
        <v>1</v>
      </c>
      <c r="AE690" s="114">
        <f t="shared" si="202"/>
        <v>7</v>
      </c>
      <c r="AF690" s="116" t="s">
        <v>63</v>
      </c>
      <c r="AG690" s="114">
        <f>AT690/17.1</f>
        <v>0.900584795321637</v>
      </c>
      <c r="AH690" s="114">
        <f>AU690/88.4</f>
        <v>0.497737556561086</v>
      </c>
      <c r="AI690" s="114">
        <f>AR690</f>
        <v>1.52</v>
      </c>
      <c r="AJ690" s="159">
        <f>LN(IF(AG690&gt;=1,AG690,1))*3.8+LN(IF(AH690&gt;=1,AH690,1))*9.6+11.2*LN(IF(AI690&gt;=1,AI690,1))+6.4*AN690</f>
        <v>11.0895557504117</v>
      </c>
      <c r="AK690" s="160">
        <f>IF(AND(AG690&gt;0,AH690&gt;0,AI690&gt;0),AJ690,"")</f>
        <v>11.0895557504117</v>
      </c>
      <c r="AL690" s="160">
        <f>AK690+1.59*(135-AM690)</f>
        <v>11.0895557504117</v>
      </c>
      <c r="AM690" s="160">
        <f>IF(AV690&gt;135,135,IF(AV690&lt;120,120,AV690))</f>
        <v>135</v>
      </c>
      <c r="AN690" s="114">
        <v>1</v>
      </c>
      <c r="AO690" s="114">
        <v>1</v>
      </c>
      <c r="AP690" s="114">
        <v>2.35</v>
      </c>
      <c r="AQ690" s="114">
        <v>61</v>
      </c>
      <c r="AR690" s="114">
        <v>1.52</v>
      </c>
      <c r="AS690" s="160">
        <v>30</v>
      </c>
      <c r="AT690" s="161">
        <v>15.4</v>
      </c>
      <c r="AU690" s="114">
        <v>44</v>
      </c>
      <c r="AV690" s="114">
        <v>142</v>
      </c>
      <c r="AZ690" s="119" t="s">
        <v>58</v>
      </c>
    </row>
    <row r="691" spans="1:52">
      <c r="A691" s="113" t="s">
        <v>234</v>
      </c>
      <c r="B691" s="113" t="s">
        <v>48</v>
      </c>
      <c r="C691" s="113">
        <v>67</v>
      </c>
      <c r="D691" s="113">
        <v>1.72</v>
      </c>
      <c r="E691" s="113">
        <v>82</v>
      </c>
      <c r="F691" s="136">
        <f>E691/(D691*D691)</f>
        <v>27.7176852352623</v>
      </c>
      <c r="G691" s="113">
        <v>6</v>
      </c>
      <c r="H691" s="281">
        <v>45318</v>
      </c>
      <c r="I691" s="158">
        <v>45318</v>
      </c>
      <c r="J691" s="158">
        <v>45323</v>
      </c>
      <c r="L691" s="137">
        <v>2</v>
      </c>
      <c r="M691" s="138">
        <v>5</v>
      </c>
      <c r="N691" s="270" t="s">
        <v>2064</v>
      </c>
      <c r="O691" s="114"/>
      <c r="P691" s="114">
        <v>1</v>
      </c>
      <c r="Q691" s="114"/>
      <c r="R691" s="114"/>
      <c r="S691" s="114"/>
      <c r="T691" s="114">
        <v>0</v>
      </c>
      <c r="U691" s="114">
        <v>0</v>
      </c>
      <c r="V691" s="114">
        <v>0</v>
      </c>
      <c r="W691" s="114">
        <v>0</v>
      </c>
      <c r="X691" s="114">
        <v>1</v>
      </c>
      <c r="Y691" s="114">
        <v>1</v>
      </c>
      <c r="Z691" s="116" t="s">
        <v>58</v>
      </c>
      <c r="AA691" s="114">
        <v>1</v>
      </c>
      <c r="AB691" s="114">
        <f t="shared" si="199"/>
        <v>3</v>
      </c>
      <c r="AC691" s="114">
        <f t="shared" si="200"/>
        <v>1</v>
      </c>
      <c r="AD691" s="114">
        <f t="shared" si="201"/>
        <v>1</v>
      </c>
      <c r="AE691" s="114">
        <f t="shared" si="202"/>
        <v>7</v>
      </c>
      <c r="AF691" s="116" t="s">
        <v>63</v>
      </c>
      <c r="AG691" s="114">
        <f>AT691/17.1</f>
        <v>3.48538011695906</v>
      </c>
      <c r="AH691" s="114">
        <f>AU691/88.4</f>
        <v>1.22171945701357</v>
      </c>
      <c r="AI691" s="114">
        <f>AR691</f>
        <v>1.06</v>
      </c>
      <c r="AJ691" s="159">
        <f>LN(IF(AG691&gt;=1,AG691,1))*3.8+LN(IF(AH691&gt;=1,AH691,1))*9.6+11.2*LN(IF(AI691&gt;=1,AI691,1))+6.4*AN691</f>
        <v>7.31969366294072</v>
      </c>
      <c r="AK691" s="160">
        <f>IF(AND(AG691&gt;0,AH691&gt;0,AI691&gt;0),AJ691,"")</f>
        <v>7.31969366294072</v>
      </c>
      <c r="AL691" s="160">
        <f>AK691+1.59*(135-AM691)</f>
        <v>8.90969366294072</v>
      </c>
      <c r="AM691" s="160">
        <f>IF(AV691&gt;135,135,IF(AV691&lt;120,120,AV691))</f>
        <v>134</v>
      </c>
      <c r="AN691" s="114">
        <v>0</v>
      </c>
      <c r="AO691" s="114">
        <v>1</v>
      </c>
      <c r="AP691" s="114">
        <v>5.21</v>
      </c>
      <c r="AQ691" s="114">
        <v>142</v>
      </c>
      <c r="AR691" s="114">
        <v>1.06</v>
      </c>
      <c r="AS691" s="160">
        <v>37</v>
      </c>
      <c r="AT691" s="161">
        <v>59.6</v>
      </c>
      <c r="AU691" s="114">
        <v>108</v>
      </c>
      <c r="AV691" s="114">
        <v>134</v>
      </c>
      <c r="AZ691" s="119" t="s">
        <v>2065</v>
      </c>
    </row>
    <row r="692" s="114" customFormat="1" spans="1:52">
      <c r="A692" s="298" t="s">
        <v>2066</v>
      </c>
      <c r="B692" s="298" t="s">
        <v>53</v>
      </c>
      <c r="C692" s="298">
        <v>77</v>
      </c>
      <c r="D692" s="298">
        <v>1.63</v>
      </c>
      <c r="E692" s="298">
        <v>55</v>
      </c>
      <c r="F692" s="136">
        <f>E692/(D692*D692)</f>
        <v>20.7008167413151</v>
      </c>
      <c r="G692" s="298">
        <v>7</v>
      </c>
      <c r="H692" s="299">
        <v>45317</v>
      </c>
      <c r="I692" s="210">
        <v>45317</v>
      </c>
      <c r="J692" s="210">
        <v>45325</v>
      </c>
      <c r="L692" s="138">
        <v>1</v>
      </c>
      <c r="M692" s="138">
        <v>1</v>
      </c>
      <c r="N692" s="265" t="s">
        <v>2067</v>
      </c>
      <c r="Q692" s="116" t="s">
        <v>1083</v>
      </c>
      <c r="R692" s="114">
        <v>1</v>
      </c>
      <c r="T692" s="114">
        <v>1</v>
      </c>
      <c r="U692" s="114">
        <v>0</v>
      </c>
      <c r="V692" s="114">
        <v>0</v>
      </c>
      <c r="W692" s="114">
        <v>0</v>
      </c>
      <c r="X692" s="114">
        <v>1</v>
      </c>
      <c r="Y692" s="114">
        <v>1</v>
      </c>
      <c r="Z692" s="116" t="s">
        <v>321</v>
      </c>
      <c r="AA692" s="114">
        <v>3</v>
      </c>
      <c r="AB692" s="114">
        <f t="shared" si="199"/>
        <v>2</v>
      </c>
      <c r="AC692" s="114">
        <f t="shared" si="200"/>
        <v>3</v>
      </c>
      <c r="AD692" s="114">
        <f t="shared" si="201"/>
        <v>1</v>
      </c>
      <c r="AE692" s="114">
        <f t="shared" si="202"/>
        <v>10</v>
      </c>
      <c r="AF692" s="116" t="s">
        <v>50</v>
      </c>
      <c r="AG692" s="114">
        <f>AT692/17.1</f>
        <v>2.50292397660819</v>
      </c>
      <c r="AH692" s="114">
        <f>AU692/88.4</f>
        <v>0.395927601809955</v>
      </c>
      <c r="AI692" s="114">
        <f>AR692</f>
        <v>1.34</v>
      </c>
      <c r="AJ692" s="159">
        <f>LN(IF(AG692&gt;=1,AG692,1))*3.8+LN(IF(AH692&gt;=1,AH692,1))*9.6+11.2*LN(IF(AI692&gt;=1,AI692,1))+6.4*AN692</f>
        <v>6.7642463048843</v>
      </c>
      <c r="AK692" s="160">
        <f>IF(AND(AG692&gt;0,AH692&gt;0,AI692&gt;0),AJ692,"")</f>
        <v>6.7642463048843</v>
      </c>
      <c r="AL692" s="160">
        <f>AK692+1.59*(135-AM692)</f>
        <v>11.5342463048843</v>
      </c>
      <c r="AM692" s="160">
        <f>IF(AV692&gt;135,135,IF(AV692&lt;120,120,AV692))</f>
        <v>132</v>
      </c>
      <c r="AN692" s="114">
        <v>0</v>
      </c>
      <c r="AO692" s="114">
        <v>1</v>
      </c>
      <c r="AP692" s="114">
        <v>1.88</v>
      </c>
      <c r="AQ692" s="114">
        <v>99</v>
      </c>
      <c r="AR692" s="114">
        <v>1.34</v>
      </c>
      <c r="AS692" s="160">
        <v>23</v>
      </c>
      <c r="AT692" s="161">
        <v>42.8</v>
      </c>
      <c r="AU692" s="114">
        <v>35</v>
      </c>
      <c r="AV692" s="114">
        <v>132</v>
      </c>
      <c r="AZ692" s="116" t="s">
        <v>2068</v>
      </c>
    </row>
    <row r="693" s="114" customFormat="1" ht="15.3" customHeight="1" spans="1:52">
      <c r="A693" s="114" t="s">
        <v>2069</v>
      </c>
      <c r="B693" s="114" t="s">
        <v>53</v>
      </c>
      <c r="C693" s="114">
        <v>52</v>
      </c>
      <c r="D693" s="211">
        <v>1.5</v>
      </c>
      <c r="E693" s="114">
        <v>52</v>
      </c>
      <c r="F693" s="136">
        <f>E693/(D693*D693)</f>
        <v>23.1111111111111</v>
      </c>
      <c r="G693" s="298">
        <v>0</v>
      </c>
      <c r="H693" s="299">
        <v>45340</v>
      </c>
      <c r="I693" s="210">
        <v>45339</v>
      </c>
      <c r="J693" s="210">
        <v>45343</v>
      </c>
      <c r="L693" s="138">
        <v>1</v>
      </c>
      <c r="M693" s="138">
        <v>4</v>
      </c>
      <c r="N693" s="265" t="s">
        <v>2070</v>
      </c>
      <c r="O693" s="116" t="s">
        <v>1083</v>
      </c>
      <c r="T693" s="114">
        <v>0</v>
      </c>
      <c r="U693" s="114">
        <v>0</v>
      </c>
      <c r="V693" s="114">
        <v>0</v>
      </c>
      <c r="W693" s="114">
        <v>0</v>
      </c>
      <c r="X693" s="114">
        <v>0</v>
      </c>
      <c r="Y693" s="114">
        <v>1</v>
      </c>
      <c r="Z693" s="116" t="s">
        <v>58</v>
      </c>
      <c r="AA693" s="114">
        <v>1</v>
      </c>
      <c r="AB693" s="114">
        <f t="shared" si="199"/>
        <v>1</v>
      </c>
      <c r="AC693" s="114">
        <f t="shared" si="200"/>
        <v>1</v>
      </c>
      <c r="AD693" s="114">
        <f t="shared" si="201"/>
        <v>1</v>
      </c>
      <c r="AE693" s="114">
        <f t="shared" si="202"/>
        <v>5</v>
      </c>
      <c r="AF693" s="116" t="s">
        <v>59</v>
      </c>
      <c r="AG693" s="114">
        <f>AT693/17.1</f>
        <v>0.619883040935672</v>
      </c>
      <c r="AH693" s="114">
        <f>AU693/88.4</f>
        <v>0.633484162895928</v>
      </c>
      <c r="AI693" s="114">
        <f>AR693</f>
        <v>1.09</v>
      </c>
      <c r="AJ693" s="159">
        <f>LN(IF(AG693&gt;=1,AG693,1))*3.8+LN(IF(AH693&gt;=1,AH693,1))*9.6+11.2*LN(IF(AI693&gt;=1,AI693,1))+6.4*AN693</f>
        <v>7.36519019789979</v>
      </c>
      <c r="AK693" s="160">
        <f>IF(AND(AG693&gt;0,AH693&gt;0,AI693&gt;0),AJ693,"")</f>
        <v>7.36519019789979</v>
      </c>
      <c r="AL693" s="160">
        <f>AK693+1.59*(135-AM693)</f>
        <v>7.36519019789979</v>
      </c>
      <c r="AM693" s="160">
        <f>IF(AV693&gt;135,135,IF(AV693&lt;120,120,AV693))</f>
        <v>135</v>
      </c>
      <c r="AN693" s="114">
        <v>1</v>
      </c>
      <c r="AO693" s="114">
        <v>1</v>
      </c>
      <c r="AP693" s="114">
        <v>2.46</v>
      </c>
      <c r="AQ693" s="114">
        <v>124</v>
      </c>
      <c r="AR693" s="114">
        <v>1.09</v>
      </c>
      <c r="AS693" s="160">
        <v>42</v>
      </c>
      <c r="AT693" s="161">
        <v>10.6</v>
      </c>
      <c r="AU693" s="114">
        <v>56</v>
      </c>
      <c r="AV693" s="114">
        <v>143</v>
      </c>
      <c r="AZ693" s="116" t="s">
        <v>2071</v>
      </c>
    </row>
    <row r="694" spans="1:52">
      <c r="A694" s="117" t="s">
        <v>2072</v>
      </c>
      <c r="B694" s="117" t="s">
        <v>48</v>
      </c>
      <c r="C694" s="117">
        <v>36</v>
      </c>
      <c r="D694" s="135">
        <v>1.83</v>
      </c>
      <c r="E694" s="117">
        <v>125</v>
      </c>
      <c r="F694" s="136">
        <f>E694/(D694*D694)</f>
        <v>37.3256890322195</v>
      </c>
      <c r="G694" s="113">
        <v>1</v>
      </c>
      <c r="H694" s="281">
        <v>45341</v>
      </c>
      <c r="I694" s="158">
        <v>45341</v>
      </c>
      <c r="J694" s="158">
        <v>45349</v>
      </c>
      <c r="L694" s="137">
        <v>1</v>
      </c>
      <c r="M694" s="138">
        <v>8</v>
      </c>
      <c r="N694" s="270" t="s">
        <v>2073</v>
      </c>
      <c r="Q694" s="119" t="s">
        <v>1083</v>
      </c>
      <c r="T694" s="117">
        <v>1</v>
      </c>
      <c r="U694" s="117">
        <v>0</v>
      </c>
      <c r="V694" s="117">
        <v>1</v>
      </c>
      <c r="W694" s="117">
        <v>0</v>
      </c>
      <c r="X694" s="117">
        <v>1</v>
      </c>
      <c r="Y694" s="117">
        <v>1</v>
      </c>
      <c r="Z694" s="119" t="s">
        <v>300</v>
      </c>
      <c r="AA694" s="117">
        <v>2</v>
      </c>
      <c r="AB694" s="114">
        <f t="shared" si="199"/>
        <v>1</v>
      </c>
      <c r="AC694" s="114">
        <f t="shared" si="200"/>
        <v>2</v>
      </c>
      <c r="AD694" s="114">
        <f t="shared" si="201"/>
        <v>1</v>
      </c>
      <c r="AE694" s="114">
        <f t="shared" si="202"/>
        <v>7</v>
      </c>
      <c r="AF694" s="119" t="s">
        <v>63</v>
      </c>
      <c r="AG694" s="114">
        <f>AT694/17.1</f>
        <v>0.923976608187134</v>
      </c>
      <c r="AH694" s="114">
        <f>AU694/88.4</f>
        <v>0.893665158371041</v>
      </c>
      <c r="AI694" s="114">
        <f>AR694</f>
        <v>1.28</v>
      </c>
      <c r="AJ694" s="159">
        <f>LN(IF(AG694&gt;=1,AG694,1))*3.8+LN(IF(AH694&gt;=1,AH694,1))*9.6+11.2*LN(IF(AI694&gt;=1,AI694,1))+6.4*AN694</f>
        <v>9.16483287283309</v>
      </c>
      <c r="AK694" s="160">
        <f>IF(AND(AG694&gt;0,AH694&gt;0,AI694&gt;0),AJ694,"")</f>
        <v>9.16483287283309</v>
      </c>
      <c r="AL694" s="160">
        <f>AK694+1.59*(135-AM694)</f>
        <v>9.16483287283309</v>
      </c>
      <c r="AM694" s="160">
        <f>IF(AV694&gt;135,135,IF(AV694&lt;120,120,AV694))</f>
        <v>135</v>
      </c>
      <c r="AN694" s="117">
        <v>1</v>
      </c>
      <c r="AO694" s="114">
        <v>1</v>
      </c>
      <c r="AP694" s="117">
        <v>2.44</v>
      </c>
      <c r="AQ694" s="117">
        <v>89</v>
      </c>
      <c r="AR694" s="117">
        <v>1.28</v>
      </c>
      <c r="AS694" s="141">
        <v>31</v>
      </c>
      <c r="AT694" s="142">
        <v>15.8</v>
      </c>
      <c r="AU694" s="117">
        <v>79</v>
      </c>
      <c r="AV694" s="117">
        <v>139</v>
      </c>
      <c r="AZ694" s="119" t="s">
        <v>2074</v>
      </c>
    </row>
    <row r="695" spans="1:52">
      <c r="A695" s="117" t="s">
        <v>2075</v>
      </c>
      <c r="B695" s="117" t="s">
        <v>53</v>
      </c>
      <c r="C695" s="117">
        <v>73</v>
      </c>
      <c r="D695" s="135">
        <v>1.68</v>
      </c>
      <c r="E695" s="117">
        <v>55</v>
      </c>
      <c r="F695" s="136">
        <f>E695/(D695*D695)</f>
        <v>19.4869614512472</v>
      </c>
      <c r="G695" s="113">
        <v>7</v>
      </c>
      <c r="H695" s="281">
        <v>45340</v>
      </c>
      <c r="I695" s="277">
        <v>45340</v>
      </c>
      <c r="J695" s="158">
        <v>45352</v>
      </c>
      <c r="L695" s="137">
        <v>1</v>
      </c>
      <c r="M695" s="138">
        <v>12</v>
      </c>
      <c r="N695" s="270" t="s">
        <v>2076</v>
      </c>
      <c r="Q695" s="117">
        <v>1</v>
      </c>
      <c r="T695" s="117">
        <v>1</v>
      </c>
      <c r="U695" s="117">
        <v>0</v>
      </c>
      <c r="V695" s="117">
        <v>0</v>
      </c>
      <c r="W695" s="117">
        <v>0</v>
      </c>
      <c r="X695" s="117">
        <v>0</v>
      </c>
      <c r="Y695" s="117">
        <v>1</v>
      </c>
      <c r="Z695" s="119" t="s">
        <v>307</v>
      </c>
      <c r="AA695" s="117">
        <v>3</v>
      </c>
      <c r="AB695" s="114">
        <f t="shared" si="199"/>
        <v>2</v>
      </c>
      <c r="AC695" s="114">
        <f t="shared" si="200"/>
        <v>3</v>
      </c>
      <c r="AD695" s="114">
        <f t="shared" si="201"/>
        <v>1</v>
      </c>
      <c r="AE695" s="114">
        <f t="shared" si="202"/>
        <v>10</v>
      </c>
      <c r="AF695" s="119" t="s">
        <v>63</v>
      </c>
      <c r="AG695" s="114">
        <f>AT695/17.1</f>
        <v>2.06432748538012</v>
      </c>
      <c r="AH695" s="114">
        <f>AU695/88.4</f>
        <v>0.8710407239819</v>
      </c>
      <c r="AI695" s="114">
        <f>AR695</f>
        <v>1.5</v>
      </c>
      <c r="AJ695" s="159">
        <f>LN(IF(AG695&gt;=1,AG695,1))*3.8+LN(IF(AH695&gt;=1,AH695,1))*9.6+11.2*LN(IF(AI695&gt;=1,AI695,1))+6.4*AN695</f>
        <v>13.6954663124479</v>
      </c>
      <c r="AK695" s="160">
        <f>IF(AND(AG695&gt;0,AH695&gt;0,AI695&gt;0),AJ695,"")</f>
        <v>13.6954663124479</v>
      </c>
      <c r="AL695" s="160">
        <f>AK695+1.59*(135-AM695)</f>
        <v>13.6954663124479</v>
      </c>
      <c r="AM695" s="160">
        <f>IF(AV695&gt;135,135,IF(AV695&lt;120,120,AV695))</f>
        <v>135</v>
      </c>
      <c r="AN695" s="117">
        <v>1</v>
      </c>
      <c r="AO695" s="114">
        <v>1</v>
      </c>
      <c r="AP695" s="117">
        <v>3.37</v>
      </c>
      <c r="AQ695" s="117">
        <v>106</v>
      </c>
      <c r="AR695" s="117">
        <v>1.5</v>
      </c>
      <c r="AS695" s="141">
        <v>22</v>
      </c>
      <c r="AT695" s="142">
        <v>35.3</v>
      </c>
      <c r="AU695" s="117">
        <v>77</v>
      </c>
      <c r="AV695" s="117">
        <v>140</v>
      </c>
      <c r="AZ695" s="119" t="s">
        <v>2077</v>
      </c>
    </row>
    <row r="696" spans="1:52">
      <c r="A696" s="117" t="s">
        <v>662</v>
      </c>
      <c r="B696" s="117" t="s">
        <v>53</v>
      </c>
      <c r="C696" s="117">
        <v>66</v>
      </c>
      <c r="D696" s="135">
        <v>1.5</v>
      </c>
      <c r="E696" s="117">
        <v>60</v>
      </c>
      <c r="F696" s="136">
        <f>E696/(D696*D696)</f>
        <v>26.6666666666667</v>
      </c>
      <c r="G696" s="113">
        <v>0</v>
      </c>
      <c r="H696" s="281">
        <v>45342</v>
      </c>
      <c r="I696" s="158">
        <v>45342</v>
      </c>
      <c r="J696" s="158">
        <v>45349</v>
      </c>
      <c r="L696" s="137">
        <v>6</v>
      </c>
      <c r="M696" s="138">
        <v>7</v>
      </c>
      <c r="N696" s="270" t="s">
        <v>2078</v>
      </c>
      <c r="S696" s="117">
        <v>1</v>
      </c>
      <c r="T696" s="117">
        <v>0</v>
      </c>
      <c r="U696" s="117">
        <v>0</v>
      </c>
      <c r="V696" s="117">
        <v>1</v>
      </c>
      <c r="W696" s="117">
        <v>0</v>
      </c>
      <c r="X696" s="117">
        <v>1</v>
      </c>
      <c r="Y696" s="117">
        <v>1</v>
      </c>
      <c r="Z696" s="119" t="s">
        <v>58</v>
      </c>
      <c r="AA696" s="117">
        <v>1</v>
      </c>
      <c r="AB696" s="114">
        <f t="shared" si="199"/>
        <v>1</v>
      </c>
      <c r="AC696" s="114">
        <f t="shared" si="200"/>
        <v>3</v>
      </c>
      <c r="AD696" s="114">
        <f t="shared" si="201"/>
        <v>1</v>
      </c>
      <c r="AE696" s="114">
        <f t="shared" si="202"/>
        <v>7</v>
      </c>
      <c r="AF696" s="116" t="s">
        <v>63</v>
      </c>
      <c r="AG696" s="114">
        <f>AT696/17.1</f>
        <v>1.09941520467836</v>
      </c>
      <c r="AH696" s="114">
        <f>AU696/88.4</f>
        <v>0.599547511312217</v>
      </c>
      <c r="AI696" s="114">
        <f>AR696</f>
        <v>1.15</v>
      </c>
      <c r="AJ696" s="159">
        <f>LN(IF(AG696&gt;=1,AG696,1))*3.8+LN(IF(AH696&gt;=1,AH696,1))*9.6+11.2*LN(IF(AI696&gt;=1,AI696,1))+6.4*AN696</f>
        <v>8.32549169864548</v>
      </c>
      <c r="AK696" s="160">
        <f>IF(AND(AG696&gt;0,AH696&gt;0,AI696&gt;0),AJ696,"")</f>
        <v>8.32549169864548</v>
      </c>
      <c r="AL696" s="160">
        <f>AK696+1.59*(135-AM696)</f>
        <v>8.32549169864548</v>
      </c>
      <c r="AM696" s="160">
        <f>IF(AV696&gt;135,135,IF(AV696&lt;120,120,AV696))</f>
        <v>135</v>
      </c>
      <c r="AN696" s="117">
        <v>1</v>
      </c>
      <c r="AO696" s="114">
        <v>1</v>
      </c>
      <c r="AP696" s="117">
        <v>5.24</v>
      </c>
      <c r="AQ696" s="117">
        <v>69</v>
      </c>
      <c r="AR696" s="117">
        <v>1.15</v>
      </c>
      <c r="AS696" s="141">
        <v>22</v>
      </c>
      <c r="AT696" s="142">
        <v>18.8</v>
      </c>
      <c r="AU696" s="117">
        <v>53</v>
      </c>
      <c r="AV696" s="117">
        <v>140</v>
      </c>
      <c r="AZ696" s="119" t="s">
        <v>2079</v>
      </c>
    </row>
    <row r="697" spans="1:52">
      <c r="A697" s="117" t="s">
        <v>1482</v>
      </c>
      <c r="B697" s="117" t="s">
        <v>53</v>
      </c>
      <c r="C697" s="117">
        <v>62</v>
      </c>
      <c r="D697" s="135">
        <v>1.62</v>
      </c>
      <c r="E697" s="117">
        <v>55</v>
      </c>
      <c r="F697" s="136">
        <f>E697/(D697*D697)</f>
        <v>20.9571711629325</v>
      </c>
      <c r="G697" s="113">
        <v>0</v>
      </c>
      <c r="H697" s="281">
        <v>45346</v>
      </c>
      <c r="I697" s="158">
        <v>45341</v>
      </c>
      <c r="J697" s="158">
        <v>45353</v>
      </c>
      <c r="L697" s="137">
        <v>2</v>
      </c>
      <c r="M697" s="138">
        <v>12</v>
      </c>
      <c r="N697" s="270" t="s">
        <v>2080</v>
      </c>
      <c r="R697" s="117">
        <v>1</v>
      </c>
      <c r="T697" s="117">
        <v>0</v>
      </c>
      <c r="U697" s="117">
        <v>0</v>
      </c>
      <c r="V697" s="117">
        <v>1</v>
      </c>
      <c r="W697" s="117">
        <v>0</v>
      </c>
      <c r="X697" s="117">
        <v>1</v>
      </c>
      <c r="Y697" s="117">
        <v>1</v>
      </c>
      <c r="Z697" s="119" t="s">
        <v>58</v>
      </c>
      <c r="AA697" s="117">
        <v>1</v>
      </c>
      <c r="AB697" s="114">
        <f>_xlfn.IFS(AT697&gt;51,3,AT697&gt;=34,2,AT697&lt;34,1)</f>
        <v>1</v>
      </c>
      <c r="AC697" s="114">
        <f>_xlfn.IFS(AS697&gt;35,1,AS697&gt;=28,2,AS697&lt;28,3)</f>
        <v>1</v>
      </c>
      <c r="AD697" s="114">
        <f>_xlfn.IFS(AR697&gt;2.3,3,AR697&gt;=1.7,2,AR697&lt;1.7,1)</f>
        <v>1</v>
      </c>
      <c r="AE697" s="114">
        <f>Y697+AA697+AB697+AC697+AD697</f>
        <v>5</v>
      </c>
      <c r="AF697" s="116" t="s">
        <v>59</v>
      </c>
      <c r="AG697" s="114">
        <f>AT697/17.1</f>
        <v>0.64327485380117</v>
      </c>
      <c r="AH697" s="114">
        <f>AU697/88.4</f>
        <v>0.678733031674208</v>
      </c>
      <c r="AI697" s="114">
        <f>AR697</f>
        <v>1.19</v>
      </c>
      <c r="AJ697" s="159">
        <f>LN(IF(AG697&gt;=1,AG697,1))*3.8+LN(IF(AH697&gt;=1,AH697,1))*9.6+11.2*LN(IF(AI697&gt;=1,AI697,1))+6.4*AN697</f>
        <v>1.94827703978251</v>
      </c>
      <c r="AK697" s="160">
        <f>IF(AND(AG697&gt;0,AH697&gt;0,AI697&gt;0),AJ697,"")</f>
        <v>1.94827703978251</v>
      </c>
      <c r="AL697" s="160">
        <f>AK697+1.59*(135-AM697)</f>
        <v>1.94827703978251</v>
      </c>
      <c r="AM697" s="160">
        <f>IF(AV697&gt;135,135,IF(AV697&lt;120,120,AV697))</f>
        <v>135</v>
      </c>
      <c r="AN697" s="117">
        <v>0</v>
      </c>
      <c r="AO697" s="114">
        <v>1</v>
      </c>
      <c r="AP697" s="117">
        <v>2.08</v>
      </c>
      <c r="AQ697" s="117">
        <v>97</v>
      </c>
      <c r="AR697" s="117">
        <v>1.19</v>
      </c>
      <c r="AS697" s="141">
        <v>36</v>
      </c>
      <c r="AT697" s="142">
        <v>11</v>
      </c>
      <c r="AU697" s="117">
        <v>60</v>
      </c>
      <c r="AV697" s="117">
        <v>146</v>
      </c>
      <c r="AZ697" s="119" t="s">
        <v>2081</v>
      </c>
    </row>
    <row r="698" spans="1:52">
      <c r="A698" s="117" t="s">
        <v>1854</v>
      </c>
      <c r="B698" s="117" t="s">
        <v>53</v>
      </c>
      <c r="C698" s="117">
        <v>63</v>
      </c>
      <c r="D698" s="135">
        <v>1.6</v>
      </c>
      <c r="E698" s="117">
        <v>55</v>
      </c>
      <c r="F698" s="136">
        <f>E698/(D698*D698)</f>
        <v>21.484375</v>
      </c>
      <c r="G698" s="113">
        <v>0</v>
      </c>
      <c r="H698" s="281">
        <v>45348</v>
      </c>
      <c r="I698" s="158">
        <v>45348</v>
      </c>
      <c r="J698" s="158">
        <v>45360</v>
      </c>
      <c r="L698" s="137">
        <v>3</v>
      </c>
      <c r="M698" s="138">
        <v>12</v>
      </c>
      <c r="N698" s="270" t="s">
        <v>2082</v>
      </c>
      <c r="Q698" s="117">
        <v>1</v>
      </c>
      <c r="T698" s="117">
        <v>1</v>
      </c>
      <c r="U698" s="117">
        <v>0</v>
      </c>
      <c r="V698" s="117">
        <v>1</v>
      </c>
      <c r="W698" s="117">
        <v>0</v>
      </c>
      <c r="X698" s="117">
        <v>1</v>
      </c>
      <c r="Y698" s="117">
        <v>1</v>
      </c>
      <c r="Z698" s="119" t="s">
        <v>300</v>
      </c>
      <c r="AA698" s="117">
        <v>2</v>
      </c>
      <c r="AB698" s="114">
        <f>_xlfn.IFS(AT698&gt;51,3,AT698&gt;=34,2,AT698&lt;34,1)</f>
        <v>1</v>
      </c>
      <c r="AC698" s="114">
        <f>_xlfn.IFS(AS698&gt;35,1,AS698&gt;=28,2,AS698&lt;28,3)</f>
        <v>1</v>
      </c>
      <c r="AD698" s="114">
        <f>_xlfn.IFS(AR698&gt;2.3,3,AR698&gt;=1.7,2,AR698&lt;1.7,1)</f>
        <v>1</v>
      </c>
      <c r="AE698" s="114">
        <f>Y698+AA698+AB698+AC698+AD698</f>
        <v>6</v>
      </c>
      <c r="AF698" s="116" t="s">
        <v>59</v>
      </c>
      <c r="AG698" s="114">
        <f>AT698/17.1</f>
        <v>0.403508771929825</v>
      </c>
      <c r="AH698" s="114">
        <f>AU698/88.4</f>
        <v>0.723981900452489</v>
      </c>
      <c r="AI698" s="114">
        <f>AR698</f>
        <v>1.05</v>
      </c>
      <c r="AJ698" s="159">
        <f>LN(IF(AG698&gt;=1,AG698,1))*3.8+LN(IF(AH698&gt;=1,AH698,1))*9.6+11.2*LN(IF(AI698&gt;=1,AI698,1))+6.4*AN698</f>
        <v>6.94644983869764</v>
      </c>
      <c r="AK698" s="160">
        <f>IF(AND(AG698&gt;0,AH698&gt;0,AI698&gt;0),AJ698,"")</f>
        <v>6.94644983869764</v>
      </c>
      <c r="AL698" s="160">
        <f>AK698+1.59*(135-AM698)</f>
        <v>6.94644983869764</v>
      </c>
      <c r="AM698" s="160">
        <f>IF(AV698&gt;135,135,IF(AV698&lt;120,120,AV698))</f>
        <v>135</v>
      </c>
      <c r="AN698" s="117">
        <v>1</v>
      </c>
      <c r="AO698" s="114">
        <v>1</v>
      </c>
      <c r="AP698" s="117">
        <v>5.6</v>
      </c>
      <c r="AQ698" s="117">
        <v>157</v>
      </c>
      <c r="AR698" s="117">
        <v>1.05</v>
      </c>
      <c r="AS698" s="141">
        <v>42</v>
      </c>
      <c r="AT698" s="142">
        <v>6.9</v>
      </c>
      <c r="AU698" s="117">
        <v>64</v>
      </c>
      <c r="AV698" s="117">
        <v>144</v>
      </c>
      <c r="AZ698" s="119" t="s">
        <v>2083</v>
      </c>
    </row>
    <row r="699" spans="1:52">
      <c r="A699" s="117" t="s">
        <v>2084</v>
      </c>
      <c r="B699" s="117" t="s">
        <v>48</v>
      </c>
      <c r="C699" s="117">
        <v>71</v>
      </c>
      <c r="D699" s="135">
        <v>1.75</v>
      </c>
      <c r="E699" s="117">
        <v>50</v>
      </c>
      <c r="F699" s="136">
        <f>E699/(D699*D699)</f>
        <v>16.3265306122449</v>
      </c>
      <c r="G699" s="113">
        <v>0</v>
      </c>
      <c r="H699" s="281">
        <v>45345</v>
      </c>
      <c r="I699" s="158">
        <v>45345</v>
      </c>
      <c r="J699" s="158">
        <v>45362</v>
      </c>
      <c r="L699" s="137">
        <v>4</v>
      </c>
      <c r="M699" s="138">
        <v>17</v>
      </c>
      <c r="N699" s="270" t="s">
        <v>2085</v>
      </c>
      <c r="R699" s="117">
        <v>1</v>
      </c>
      <c r="T699" s="117">
        <v>1</v>
      </c>
      <c r="U699" s="117">
        <v>0</v>
      </c>
      <c r="V699" s="117">
        <v>1</v>
      </c>
      <c r="W699" s="117">
        <v>0</v>
      </c>
      <c r="X699" s="117">
        <v>1</v>
      </c>
      <c r="Y699" s="117">
        <v>1</v>
      </c>
      <c r="Z699" s="119" t="s">
        <v>321</v>
      </c>
      <c r="AA699" s="117">
        <v>3</v>
      </c>
      <c r="AB699" s="114">
        <f>_xlfn.IFS(AT699&gt;51,3,AT699&gt;=34,2,AT699&lt;34,1)</f>
        <v>1</v>
      </c>
      <c r="AC699" s="114">
        <f>_xlfn.IFS(AS699&gt;35,1,AS699&gt;=28,2,AS699&lt;28,3)</f>
        <v>2</v>
      </c>
      <c r="AD699" s="114">
        <f>_xlfn.IFS(AR699&gt;2.3,3,AR699&gt;=1.7,2,AR699&lt;1.7,1)</f>
        <v>1</v>
      </c>
      <c r="AE699" s="114">
        <f>Y699+AA699+AB699+AC699+AD699</f>
        <v>8</v>
      </c>
      <c r="AF699" s="119" t="s">
        <v>63</v>
      </c>
      <c r="AG699" s="114">
        <f>AT699/17.1</f>
        <v>0.847953216374269</v>
      </c>
      <c r="AH699" s="114">
        <f>AU699/88.4</f>
        <v>1.17647058823529</v>
      </c>
      <c r="AI699" s="114">
        <f>AR699</f>
        <v>1.3</v>
      </c>
      <c r="AJ699" s="159">
        <f>LN(IF(AG699&gt;=1,AG699,1))*3.8+LN(IF(AH699&gt;=1,AH699,1))*9.6+11.2*LN(IF(AI699&gt;=1,AI699,1))+6.4*AN699</f>
        <v>4.49866148521454</v>
      </c>
      <c r="AK699" s="160">
        <f>IF(AND(AG699&gt;0,AH699&gt;0,AI699&gt;0),AJ699,"")</f>
        <v>4.49866148521454</v>
      </c>
      <c r="AL699" s="160">
        <f>AK699+1.59*(135-AM699)</f>
        <v>4.49866148521454</v>
      </c>
      <c r="AM699" s="160">
        <f>IF(AV699&gt;135,135,IF(AV699&lt;120,120,AV699))</f>
        <v>135</v>
      </c>
      <c r="AN699" s="117">
        <v>0</v>
      </c>
      <c r="AO699" s="116">
        <v>1</v>
      </c>
      <c r="AP699" s="117">
        <v>4.3</v>
      </c>
      <c r="AQ699" s="117">
        <v>54</v>
      </c>
      <c r="AR699" s="117">
        <v>1.3</v>
      </c>
      <c r="AS699" s="141">
        <v>30</v>
      </c>
      <c r="AT699" s="142">
        <v>14.5</v>
      </c>
      <c r="AU699" s="117">
        <v>104</v>
      </c>
      <c r="AV699" s="117">
        <v>149</v>
      </c>
      <c r="AZ699" s="119" t="s">
        <v>2086</v>
      </c>
    </row>
    <row r="700" spans="1:52">
      <c r="A700" s="117" t="s">
        <v>2087</v>
      </c>
      <c r="B700" s="117" t="s">
        <v>48</v>
      </c>
      <c r="C700" s="117">
        <v>55</v>
      </c>
      <c r="D700" s="135">
        <v>1.72</v>
      </c>
      <c r="E700" s="117">
        <v>65</v>
      </c>
      <c r="F700" s="136">
        <f>E700/(D700*D700)</f>
        <v>21.9713358572201</v>
      </c>
      <c r="G700" s="113">
        <v>0</v>
      </c>
      <c r="H700" s="281">
        <v>45344</v>
      </c>
      <c r="I700" s="158">
        <v>45342</v>
      </c>
      <c r="J700" s="158">
        <v>45349</v>
      </c>
      <c r="L700" s="137">
        <v>1</v>
      </c>
      <c r="M700" s="138">
        <v>7</v>
      </c>
      <c r="N700" s="270" t="s">
        <v>2088</v>
      </c>
      <c r="P700" s="119" t="s">
        <v>1083</v>
      </c>
      <c r="Q700" s="119" t="s">
        <v>1083</v>
      </c>
      <c r="T700" s="117">
        <v>1</v>
      </c>
      <c r="U700" s="117">
        <v>0</v>
      </c>
      <c r="V700" s="117">
        <v>1</v>
      </c>
      <c r="W700" s="117">
        <v>0</v>
      </c>
      <c r="X700" s="117">
        <v>1</v>
      </c>
      <c r="Y700" s="117">
        <v>1</v>
      </c>
      <c r="Z700" s="119" t="s">
        <v>300</v>
      </c>
      <c r="AA700" s="117">
        <v>2</v>
      </c>
      <c r="AB700" s="114">
        <f>_xlfn.IFS(AT700&gt;51,3,AT700&gt;=34,2,AT700&lt;34,1)</f>
        <v>1</v>
      </c>
      <c r="AC700" s="114">
        <f>_xlfn.IFS(AS700&gt;35,1,AS700&gt;=28,2,AS700&lt;28,3)</f>
        <v>2</v>
      </c>
      <c r="AD700" s="114">
        <f>_xlfn.IFS(AR700&gt;2.3,3,AR700&gt;=1.7,2,AR700&lt;1.7,1)</f>
        <v>1</v>
      </c>
      <c r="AE700" s="114">
        <f>Y700+AA700+AB700+AC700+AD700</f>
        <v>7</v>
      </c>
      <c r="AF700" s="119" t="s">
        <v>63</v>
      </c>
      <c r="AG700" s="114">
        <f>AT700/17.1</f>
        <v>0.350877192982456</v>
      </c>
      <c r="AH700" s="114">
        <f>AU700/88.4</f>
        <v>0.723981900452489</v>
      </c>
      <c r="AI700" s="114">
        <f>AR700</f>
        <v>1.15</v>
      </c>
      <c r="AJ700" s="159">
        <f>LN(IF(AG700&gt;=1,AG700,1))*3.8+LN(IF(AH700&gt;=1,AH700,1))*9.6+11.2*LN(IF(AI700&gt;=1,AI700,1))+6.4*AN700</f>
        <v>1.56533375460178</v>
      </c>
      <c r="AK700" s="160">
        <f>IF(AND(AG700&gt;0,AH700&gt;0,AI700&gt;0),AJ700,"")</f>
        <v>1.56533375460178</v>
      </c>
      <c r="AL700" s="160">
        <f>AK700+1.59*(135-AM700)</f>
        <v>1.56533375460178</v>
      </c>
      <c r="AM700" s="160">
        <f>IF(AV700&gt;135,135,IF(AV700&lt;120,120,AV700))</f>
        <v>135</v>
      </c>
      <c r="AN700" s="117">
        <v>0</v>
      </c>
      <c r="AO700" s="114">
        <v>1</v>
      </c>
      <c r="AP700" s="117">
        <v>2.6</v>
      </c>
      <c r="AQ700" s="117">
        <v>59</v>
      </c>
      <c r="AR700" s="117">
        <v>1.15</v>
      </c>
      <c r="AS700" s="141">
        <v>30</v>
      </c>
      <c r="AT700" s="142">
        <v>6</v>
      </c>
      <c r="AU700" s="117">
        <v>64</v>
      </c>
      <c r="AV700" s="117">
        <v>139</v>
      </c>
      <c r="AZ700" s="119" t="s">
        <v>2089</v>
      </c>
    </row>
    <row r="701" spans="1:52">
      <c r="A701" s="117" t="s">
        <v>1976</v>
      </c>
      <c r="B701" s="117" t="s">
        <v>53</v>
      </c>
      <c r="C701" s="117">
        <v>69</v>
      </c>
      <c r="D701" s="135">
        <v>1.59</v>
      </c>
      <c r="E701" s="117">
        <v>65</v>
      </c>
      <c r="F701" s="136">
        <f>E701/(D701*D701)</f>
        <v>25.711008267078</v>
      </c>
      <c r="G701" s="113">
        <v>5</v>
      </c>
      <c r="H701" s="281">
        <v>45348</v>
      </c>
      <c r="I701" s="158">
        <v>45348</v>
      </c>
      <c r="J701" s="158">
        <v>45357</v>
      </c>
      <c r="L701" s="137">
        <v>2</v>
      </c>
      <c r="M701" s="138">
        <v>9</v>
      </c>
      <c r="N701" s="270" t="s">
        <v>2090</v>
      </c>
      <c r="Q701" s="119" t="s">
        <v>1083</v>
      </c>
      <c r="T701" s="117">
        <v>0</v>
      </c>
      <c r="U701" s="117">
        <v>0</v>
      </c>
      <c r="V701" s="117">
        <v>0</v>
      </c>
      <c r="W701" s="117">
        <v>0</v>
      </c>
      <c r="X701" s="117">
        <v>1</v>
      </c>
      <c r="Y701" s="117">
        <v>1</v>
      </c>
      <c r="Z701" s="119" t="s">
        <v>58</v>
      </c>
      <c r="AA701" s="117">
        <v>1</v>
      </c>
      <c r="AB701" s="114">
        <f>_xlfn.IFS(AT701&gt;51,3,AT701&gt;=34,2,AT701&lt;34,1)</f>
        <v>1</v>
      </c>
      <c r="AC701" s="114">
        <f>_xlfn.IFS(AS701&gt;35,1,AS701&gt;=28,2,AS701&lt;28,3)</f>
        <v>2</v>
      </c>
      <c r="AD701" s="114">
        <f>_xlfn.IFS(AR701&gt;2.3,3,AR701&gt;=1.7,2,AR701&lt;1.7,1)</f>
        <v>1</v>
      </c>
      <c r="AE701" s="114">
        <f>Y701+AA701+AB701+AC701+AD701</f>
        <v>6</v>
      </c>
      <c r="AF701" s="116" t="s">
        <v>59</v>
      </c>
      <c r="AG701" s="114">
        <f>AT701/17.1</f>
        <v>0.947368421052631</v>
      </c>
      <c r="AH701" s="114">
        <f>AU701/88.4</f>
        <v>0.463800904977376</v>
      </c>
      <c r="AI701" s="114">
        <f>AR701</f>
        <v>1.25</v>
      </c>
      <c r="AJ701" s="159">
        <f>LN(IF(AG701&gt;=1,AG701,1))*3.8+LN(IF(AH701&gt;=1,AH701,1))*9.6+11.2*LN(IF(AI701&gt;=1,AI701,1))+6.4*AN701</f>
        <v>8.89920777471915</v>
      </c>
      <c r="AK701" s="160">
        <f>IF(AND(AG701&gt;0,AH701&gt;0,AI701&gt;0),AJ701,"")</f>
        <v>8.89920777471915</v>
      </c>
      <c r="AL701" s="160">
        <f>AK701+1.59*(135-AM701)</f>
        <v>8.89920777471915</v>
      </c>
      <c r="AM701" s="160">
        <f>IF(AV701&gt;135,135,IF(AV701&lt;120,120,AV701))</f>
        <v>135</v>
      </c>
      <c r="AN701" s="117">
        <v>1</v>
      </c>
      <c r="AO701" s="114">
        <v>1</v>
      </c>
      <c r="AP701" s="117">
        <v>2.04</v>
      </c>
      <c r="AQ701" s="117">
        <v>73</v>
      </c>
      <c r="AR701" s="117">
        <v>1.25</v>
      </c>
      <c r="AS701" s="141">
        <v>33</v>
      </c>
      <c r="AT701" s="142">
        <v>16.2</v>
      </c>
      <c r="AU701" s="117">
        <v>41</v>
      </c>
      <c r="AV701" s="117">
        <v>135</v>
      </c>
      <c r="AZ701" s="119" t="s">
        <v>2091</v>
      </c>
    </row>
    <row r="702" s="125" customFormat="1" spans="1:52">
      <c r="A702" s="125" t="s">
        <v>848</v>
      </c>
      <c r="B702" s="125" t="s">
        <v>53</v>
      </c>
      <c r="C702" s="125">
        <v>67</v>
      </c>
      <c r="D702" s="185">
        <v>1.6</v>
      </c>
      <c r="E702" s="125">
        <v>44</v>
      </c>
      <c r="F702" s="216">
        <f>E702/(D702*D702)</f>
        <v>17.1875</v>
      </c>
      <c r="G702" s="272">
        <v>1</v>
      </c>
      <c r="H702" s="296">
        <v>45344</v>
      </c>
      <c r="I702" s="186">
        <v>45344</v>
      </c>
      <c r="J702" s="186">
        <v>45364</v>
      </c>
      <c r="L702" s="187">
        <v>9</v>
      </c>
      <c r="M702" s="187">
        <v>20</v>
      </c>
      <c r="N702" s="248" t="s">
        <v>2092</v>
      </c>
      <c r="Q702" s="125">
        <v>1</v>
      </c>
      <c r="R702" s="125">
        <v>1</v>
      </c>
      <c r="T702" s="125">
        <v>1</v>
      </c>
      <c r="U702" s="125">
        <v>0</v>
      </c>
      <c r="V702" s="125">
        <v>1</v>
      </c>
      <c r="W702" s="125">
        <v>0</v>
      </c>
      <c r="X702" s="125">
        <v>1</v>
      </c>
      <c r="Y702" s="125">
        <v>1</v>
      </c>
      <c r="Z702" s="131" t="s">
        <v>321</v>
      </c>
      <c r="AA702" s="125">
        <v>3</v>
      </c>
      <c r="AB702" s="114">
        <f>_xlfn.IFS(AT702&gt;51,3,AT702&gt;=34,2,AT702&lt;34,1)</f>
        <v>1</v>
      </c>
      <c r="AC702" s="114">
        <f>_xlfn.IFS(AS702&gt;35,1,AS702&gt;=28,2,AS702&lt;28,3)</f>
        <v>2</v>
      </c>
      <c r="AD702" s="114">
        <f>_xlfn.IFS(AR702&gt;2.3,3,AR702&gt;=1.7,2,AR702&lt;1.7,1)</f>
        <v>3</v>
      </c>
      <c r="AE702" s="114">
        <f>Y702+AA702+AB702+AC702+AD702</f>
        <v>10</v>
      </c>
      <c r="AF702" s="131" t="s">
        <v>50</v>
      </c>
      <c r="AG702" s="125">
        <f>AT702/17.1</f>
        <v>1.2280701754386</v>
      </c>
      <c r="AH702" s="125">
        <f>AU702/88.4</f>
        <v>1.11990950226244</v>
      </c>
      <c r="AI702" s="125">
        <f>AR702</f>
        <v>2.74</v>
      </c>
      <c r="AJ702" s="240">
        <f>LN(IF(AG702&gt;=1,AG702,1))*3.8+LN(IF(AH702&gt;=1,AH702,1))*9.6+11.2*LN(IF(AI702&gt;=1,AI702,1))+6.4*AN702</f>
        <v>13.1569954632096</v>
      </c>
      <c r="AK702" s="241">
        <f>IF(AND(AG702&gt;0,AH702&gt;0,AI702&gt;0),AJ702,"")</f>
        <v>13.1569954632096</v>
      </c>
      <c r="AL702" s="241">
        <f>AK702+1.59*(135-AM702)</f>
        <v>17.9269954632096</v>
      </c>
      <c r="AM702" s="241">
        <f>IF(AV702&gt;135,135,IF(AV702&lt;120,120,AV702))</f>
        <v>132</v>
      </c>
      <c r="AN702" s="125">
        <v>0</v>
      </c>
      <c r="AO702" s="125">
        <v>1</v>
      </c>
      <c r="AP702" s="125">
        <v>3.9</v>
      </c>
      <c r="AQ702" s="125">
        <v>71</v>
      </c>
      <c r="AR702" s="125">
        <v>2.74</v>
      </c>
      <c r="AS702" s="241">
        <v>28</v>
      </c>
      <c r="AT702" s="242">
        <v>21</v>
      </c>
      <c r="AU702" s="125">
        <v>99</v>
      </c>
      <c r="AV702" s="125">
        <v>132</v>
      </c>
      <c r="AZ702" s="131" t="s">
        <v>2093</v>
      </c>
    </row>
    <row r="703" spans="1:52">
      <c r="A703" s="117" t="s">
        <v>2094</v>
      </c>
      <c r="B703" s="117" t="s">
        <v>48</v>
      </c>
      <c r="C703" s="117">
        <v>59</v>
      </c>
      <c r="D703" s="135">
        <v>1.7</v>
      </c>
      <c r="E703" s="117">
        <v>85</v>
      </c>
      <c r="F703" s="136">
        <f>E703/(D703*D703)</f>
        <v>29.4117647058824</v>
      </c>
      <c r="G703" s="113">
        <v>6</v>
      </c>
      <c r="H703" s="281">
        <v>45345</v>
      </c>
      <c r="I703" s="119" t="s">
        <v>2095</v>
      </c>
      <c r="J703" s="119" t="s">
        <v>2096</v>
      </c>
      <c r="L703" s="137">
        <v>1</v>
      </c>
      <c r="M703" s="138">
        <v>10</v>
      </c>
      <c r="N703" s="270" t="s">
        <v>2097</v>
      </c>
      <c r="P703" s="119" t="s">
        <v>2098</v>
      </c>
      <c r="T703" s="117">
        <v>1</v>
      </c>
      <c r="U703" s="117">
        <v>0</v>
      </c>
      <c r="V703" s="117">
        <v>1</v>
      </c>
      <c r="W703" s="117">
        <v>0</v>
      </c>
      <c r="X703" s="117">
        <v>1</v>
      </c>
      <c r="Y703" s="117">
        <v>1</v>
      </c>
      <c r="Z703" s="119" t="s">
        <v>321</v>
      </c>
      <c r="AA703" s="117">
        <v>3</v>
      </c>
      <c r="AB703" s="114">
        <f>_xlfn.IFS(AT703&gt;51,3,AT703&gt;=34,2,AT703&lt;34,1)</f>
        <v>2</v>
      </c>
      <c r="AC703" s="114">
        <f>_xlfn.IFS(AS703&gt;35,1,AS703&gt;=28,2,AS703&lt;28,3)</f>
        <v>2</v>
      </c>
      <c r="AD703" s="114">
        <f>_xlfn.IFS(AR703&gt;2.3,3,AR703&gt;=1.7,2,AR703&lt;1.7,1)</f>
        <v>1</v>
      </c>
      <c r="AE703" s="114">
        <f>Y703+AA703+AB703+AC703+AD703</f>
        <v>9</v>
      </c>
      <c r="AF703" s="116" t="s">
        <v>63</v>
      </c>
      <c r="AG703" s="114">
        <f>AT703/17.1</f>
        <v>2.77777777777778</v>
      </c>
      <c r="AH703" s="114">
        <f>AU703/88.4</f>
        <v>1.33484162895928</v>
      </c>
      <c r="AI703" s="114">
        <f>AR703</f>
        <v>1.54</v>
      </c>
      <c r="AJ703" s="159">
        <f>LN(IF(AG703&gt;=1,AG703,1))*3.8+LN(IF(AH703&gt;=1,AH703,1))*9.6+11.2*LN(IF(AI703&gt;=1,AI703,1))+6.4*AN703</f>
        <v>11.4908392908794</v>
      </c>
      <c r="AK703" s="160">
        <f>IF(AND(AG703&gt;0,AH703&gt;0,AI703&gt;0),AJ703,"")</f>
        <v>11.4908392908794</v>
      </c>
      <c r="AL703" s="160">
        <f>AK703+1.59*(135-AM703)</f>
        <v>11.4908392908794</v>
      </c>
      <c r="AM703" s="160">
        <f>IF(AV703&gt;135,135,IF(AV703&lt;120,120,AV703))</f>
        <v>135</v>
      </c>
      <c r="AN703" s="117">
        <v>0</v>
      </c>
      <c r="AO703" s="114">
        <v>1</v>
      </c>
      <c r="AP703" s="117">
        <v>8.28</v>
      </c>
      <c r="AQ703" s="117">
        <v>116</v>
      </c>
      <c r="AR703" s="117">
        <v>1.54</v>
      </c>
      <c r="AS703" s="141">
        <v>34</v>
      </c>
      <c r="AT703" s="142">
        <v>47.5</v>
      </c>
      <c r="AU703" s="117">
        <v>118</v>
      </c>
      <c r="AV703" s="117">
        <v>137</v>
      </c>
      <c r="AZ703" s="119" t="s">
        <v>2099</v>
      </c>
    </row>
    <row r="704" spans="1:52">
      <c r="A704" s="117" t="s">
        <v>2100</v>
      </c>
      <c r="B704" s="117" t="s">
        <v>48</v>
      </c>
      <c r="C704" s="117">
        <v>67</v>
      </c>
      <c r="D704" s="135">
        <v>1.73</v>
      </c>
      <c r="E704" s="117">
        <v>65</v>
      </c>
      <c r="F704" s="136">
        <f>E704/(D704*D704)</f>
        <v>21.7180660897457</v>
      </c>
      <c r="G704" s="113">
        <v>1</v>
      </c>
      <c r="H704" s="281">
        <v>45352</v>
      </c>
      <c r="I704" s="119" t="s">
        <v>2101</v>
      </c>
      <c r="J704" s="119" t="s">
        <v>2102</v>
      </c>
      <c r="L704" s="137">
        <v>1</v>
      </c>
      <c r="M704" s="138">
        <v>5</v>
      </c>
      <c r="N704" s="270" t="s">
        <v>2103</v>
      </c>
      <c r="P704" s="117">
        <v>1</v>
      </c>
      <c r="T704" s="117">
        <v>1</v>
      </c>
      <c r="U704" s="117">
        <v>0</v>
      </c>
      <c r="V704" s="117">
        <v>0</v>
      </c>
      <c r="W704" s="117">
        <v>0</v>
      </c>
      <c r="X704" s="117">
        <v>1</v>
      </c>
      <c r="Y704" s="117">
        <v>1</v>
      </c>
      <c r="Z704" s="119" t="s">
        <v>307</v>
      </c>
      <c r="AA704" s="117">
        <v>3</v>
      </c>
      <c r="AB704" s="114">
        <f>_xlfn.IFS(AT704&gt;51,3,AT704&gt;=34,2,AT704&lt;34,1)</f>
        <v>1</v>
      </c>
      <c r="AC704" s="114">
        <f>_xlfn.IFS(AS704&gt;35,1,AS704&gt;=28,2,AS704&lt;28,3)</f>
        <v>1</v>
      </c>
      <c r="AD704" s="114">
        <f>_xlfn.IFS(AR704&gt;2.3,3,AR704&gt;=1.7,2,AR704&lt;1.7,1)</f>
        <v>1</v>
      </c>
      <c r="AE704" s="114">
        <f>Y704+AA704+AB704+AC704+AD704</f>
        <v>7</v>
      </c>
      <c r="AF704" s="116" t="s">
        <v>63</v>
      </c>
      <c r="AG704" s="114">
        <f>AT704/17.1</f>
        <v>0.935672514619883</v>
      </c>
      <c r="AH704" s="114">
        <f>AU704/88.4</f>
        <v>0.667420814479638</v>
      </c>
      <c r="AI704" s="114">
        <f>AR704</f>
        <v>1.08</v>
      </c>
      <c r="AJ704" s="159">
        <f>LN(IF(AG704&gt;=1,AG704,1))*3.8+LN(IF(AH704&gt;=1,AH704,1))*9.6+11.2*LN(IF(AI704&gt;=1,AI704,1))+6.4*AN704</f>
        <v>0.861963660724638</v>
      </c>
      <c r="AK704" s="160">
        <f>IF(AND(AG704&gt;0,AH704&gt;0,AI704&gt;0),AJ704,"")</f>
        <v>0.861963660724638</v>
      </c>
      <c r="AL704" s="160">
        <f>AK704+1.59*(135-AM704)</f>
        <v>0.861963660724638</v>
      </c>
      <c r="AM704" s="160">
        <f>IF(AV704&gt;135,135,IF(AV704&lt;120,120,AV704))</f>
        <v>135</v>
      </c>
      <c r="AN704" s="117">
        <v>0</v>
      </c>
      <c r="AO704" s="114">
        <v>1</v>
      </c>
      <c r="AP704" s="117">
        <v>5.43</v>
      </c>
      <c r="AQ704" s="117">
        <v>110</v>
      </c>
      <c r="AR704" s="117">
        <v>1.08</v>
      </c>
      <c r="AS704" s="141">
        <v>36</v>
      </c>
      <c r="AT704" s="142">
        <v>16</v>
      </c>
      <c r="AU704" s="117">
        <v>59</v>
      </c>
      <c r="AV704" s="117">
        <v>142</v>
      </c>
      <c r="AZ704" s="119" t="s">
        <v>2104</v>
      </c>
    </row>
    <row r="705" s="125" customFormat="1" spans="1:52">
      <c r="A705" s="125" t="s">
        <v>2105</v>
      </c>
      <c r="B705" s="125" t="s">
        <v>53</v>
      </c>
      <c r="C705" s="125">
        <v>78</v>
      </c>
      <c r="D705" s="185">
        <v>1.54</v>
      </c>
      <c r="E705" s="125">
        <v>55</v>
      </c>
      <c r="F705" s="216">
        <f>E705/(D705*D705)</f>
        <v>23.191094619666</v>
      </c>
      <c r="G705" s="272">
        <v>7</v>
      </c>
      <c r="H705" s="296">
        <v>45352</v>
      </c>
      <c r="I705" s="131" t="s">
        <v>2101</v>
      </c>
      <c r="J705" s="131" t="s">
        <v>2106</v>
      </c>
      <c r="L705" s="187">
        <v>1</v>
      </c>
      <c r="M705" s="187">
        <v>8</v>
      </c>
      <c r="N705" s="248" t="s">
        <v>2107</v>
      </c>
      <c r="S705" s="125">
        <v>1</v>
      </c>
      <c r="T705" s="125">
        <v>1</v>
      </c>
      <c r="U705" s="125">
        <v>0</v>
      </c>
      <c r="V705" s="125">
        <v>1</v>
      </c>
      <c r="W705" s="125">
        <v>0</v>
      </c>
      <c r="X705" s="125">
        <v>1</v>
      </c>
      <c r="Y705" s="125">
        <v>1</v>
      </c>
      <c r="Z705" s="131" t="s">
        <v>321</v>
      </c>
      <c r="AA705" s="125">
        <v>3</v>
      </c>
      <c r="AB705" s="114">
        <f>_xlfn.IFS(AT705&gt;51,3,AT705&gt;=34,2,AT705&lt;34,1)</f>
        <v>1</v>
      </c>
      <c r="AC705" s="114">
        <f>_xlfn.IFS(AS705&gt;35,1,AS705&gt;=28,2,AS705&lt;28,3)</f>
        <v>2</v>
      </c>
      <c r="AD705" s="114">
        <f>_xlfn.IFS(AR705&gt;2.3,3,AR705&gt;=1.7,2,AR705&lt;1.7,1)</f>
        <v>1</v>
      </c>
      <c r="AE705" s="114">
        <f>Y705+AA705+AB705+AC705+AD705</f>
        <v>8</v>
      </c>
      <c r="AF705" s="131" t="s">
        <v>63</v>
      </c>
      <c r="AG705" s="125">
        <f>AT705/17.1</f>
        <v>0.584795321637427</v>
      </c>
      <c r="AH705" s="125">
        <f>AU705/88.4</f>
        <v>0.588235294117647</v>
      </c>
      <c r="AI705" s="125">
        <f>AR705</f>
        <v>1.09</v>
      </c>
      <c r="AJ705" s="240">
        <f>LN(IF(AG705&gt;=1,AG705,1))*3.8+LN(IF(AH705&gt;=1,AH705,1))*9.6+11.2*LN(IF(AI705&gt;=1,AI705,1))+6.4*AN705</f>
        <v>7.36519019789979</v>
      </c>
      <c r="AK705" s="241">
        <f>IF(AND(AG705&gt;0,AH705&gt;0,AI705&gt;0),AJ705,"")</f>
        <v>7.36519019789979</v>
      </c>
      <c r="AL705" s="241">
        <f>AK705+1.59*(135-AM705)</f>
        <v>7.36519019789979</v>
      </c>
      <c r="AM705" s="241">
        <f>IF(AV705&gt;135,135,IF(AV705&lt;120,120,AV705))</f>
        <v>135</v>
      </c>
      <c r="AN705" s="125">
        <v>1</v>
      </c>
      <c r="AO705" s="125">
        <v>1</v>
      </c>
      <c r="AP705" s="125">
        <v>1.9</v>
      </c>
      <c r="AQ705" s="125">
        <v>65</v>
      </c>
      <c r="AR705" s="125">
        <v>1.09</v>
      </c>
      <c r="AS705" s="241">
        <v>31</v>
      </c>
      <c r="AT705" s="242">
        <v>10</v>
      </c>
      <c r="AU705" s="125">
        <v>52</v>
      </c>
      <c r="AV705" s="125">
        <v>141</v>
      </c>
      <c r="AZ705" s="131" t="s">
        <v>2108</v>
      </c>
    </row>
    <row r="706" spans="1:52">
      <c r="A706" s="117" t="s">
        <v>2109</v>
      </c>
      <c r="B706" s="117" t="s">
        <v>48</v>
      </c>
      <c r="C706" s="117">
        <v>77</v>
      </c>
      <c r="D706" s="135">
        <v>1.7</v>
      </c>
      <c r="E706" s="117">
        <v>70</v>
      </c>
      <c r="F706" s="136">
        <f>E706/(D706*D706)</f>
        <v>24.2214532871972</v>
      </c>
      <c r="G706" s="113">
        <v>7</v>
      </c>
      <c r="H706" s="281">
        <v>45352</v>
      </c>
      <c r="I706" s="119" t="s">
        <v>2101</v>
      </c>
      <c r="J706" s="119" t="s">
        <v>2110</v>
      </c>
      <c r="L706" s="137">
        <v>1</v>
      </c>
      <c r="M706" s="138">
        <v>8</v>
      </c>
      <c r="N706" s="270" t="s">
        <v>2111</v>
      </c>
      <c r="S706" s="117">
        <v>1</v>
      </c>
      <c r="T706" s="117">
        <v>1</v>
      </c>
      <c r="U706" s="117">
        <v>0</v>
      </c>
      <c r="V706" s="117">
        <v>1</v>
      </c>
      <c r="W706" s="117">
        <v>0</v>
      </c>
      <c r="X706" s="117">
        <v>1</v>
      </c>
      <c r="Y706" s="117">
        <v>1</v>
      </c>
      <c r="Z706" s="119" t="s">
        <v>321</v>
      </c>
      <c r="AA706" s="117">
        <v>3</v>
      </c>
      <c r="AB706" s="114">
        <f>_xlfn.IFS(AT706&gt;51,3,AT706&gt;=34,2,AT706&lt;34,1)</f>
        <v>1</v>
      </c>
      <c r="AC706" s="114">
        <f>_xlfn.IFS(AS706&gt;35,1,AS706&gt;=28,2,AS706&lt;28,3)</f>
        <v>2</v>
      </c>
      <c r="AD706" s="114">
        <f>_xlfn.IFS(AR706&gt;2.3,3,AR706&gt;=1.7,2,AR706&lt;1.7,1)</f>
        <v>1</v>
      </c>
      <c r="AE706" s="114">
        <f>Y706+AA706+AB706+AC706+AD706</f>
        <v>8</v>
      </c>
      <c r="AF706" s="116" t="s">
        <v>63</v>
      </c>
      <c r="AG706" s="114">
        <f>AT706/17.1</f>
        <v>0.777777777777778</v>
      </c>
      <c r="AH706" s="114">
        <f>AU706/88.4</f>
        <v>0.723981900452489</v>
      </c>
      <c r="AI706" s="114">
        <f>AR706</f>
        <v>1.53</v>
      </c>
      <c r="AJ706" s="159">
        <f>LN(IF(AG706&gt;=1,AG706,1))*3.8+LN(IF(AH706&gt;=1,AH706,1))*9.6+11.2*LN(IF(AI706&gt;=1,AI706,1))+6.4*AN706</f>
        <v>11.1629986365287</v>
      </c>
      <c r="AK706" s="160">
        <f>IF(AND(AG706&gt;0,AH706&gt;0,AI706&gt;0),AJ706,"")</f>
        <v>11.1629986365287</v>
      </c>
      <c r="AL706" s="160">
        <f>AK706+1.59*(135-AM706)</f>
        <v>11.1629986365287</v>
      </c>
      <c r="AM706" s="160">
        <f>IF(AV706&gt;135,135,IF(AV706&lt;120,120,AV706))</f>
        <v>135</v>
      </c>
      <c r="AN706" s="117">
        <v>1</v>
      </c>
      <c r="AO706" s="114">
        <v>1</v>
      </c>
      <c r="AP706" s="117">
        <v>1.77</v>
      </c>
      <c r="AQ706" s="117">
        <v>57</v>
      </c>
      <c r="AR706" s="117">
        <v>1.53</v>
      </c>
      <c r="AS706" s="141">
        <v>30</v>
      </c>
      <c r="AT706" s="142">
        <v>13.3</v>
      </c>
      <c r="AU706" s="117">
        <v>64</v>
      </c>
      <c r="AV706" s="117">
        <v>137</v>
      </c>
      <c r="AZ706" s="119" t="s">
        <v>2112</v>
      </c>
    </row>
    <row r="707" spans="1:52">
      <c r="A707" s="117" t="s">
        <v>1872</v>
      </c>
      <c r="B707" s="117" t="s">
        <v>48</v>
      </c>
      <c r="C707" s="117">
        <v>73</v>
      </c>
      <c r="D707" s="135">
        <v>1.72</v>
      </c>
      <c r="E707" s="117">
        <v>70</v>
      </c>
      <c r="F707" s="136">
        <f>E707/(D707*D707)</f>
        <v>23.6614386154678</v>
      </c>
      <c r="G707" s="113">
        <v>0</v>
      </c>
      <c r="H707" s="281">
        <v>45355</v>
      </c>
      <c r="I707" s="119" t="s">
        <v>2096</v>
      </c>
      <c r="J707" s="119" t="s">
        <v>2113</v>
      </c>
      <c r="L707" s="137">
        <v>5</v>
      </c>
      <c r="M707" s="138">
        <v>14</v>
      </c>
      <c r="N707" s="270" t="s">
        <v>2114</v>
      </c>
      <c r="S707" s="117">
        <v>1</v>
      </c>
      <c r="T707" s="117">
        <v>0</v>
      </c>
      <c r="U707" s="117">
        <v>0</v>
      </c>
      <c r="V707" s="117">
        <v>1</v>
      </c>
      <c r="W707" s="117">
        <v>0</v>
      </c>
      <c r="X707" s="117">
        <v>1</v>
      </c>
      <c r="Y707" s="117">
        <v>1</v>
      </c>
      <c r="Z707" s="119" t="s">
        <v>58</v>
      </c>
      <c r="AA707" s="117">
        <v>1</v>
      </c>
      <c r="AB707" s="114">
        <f>_xlfn.IFS(AT707&gt;51,3,AT707&gt;=34,2,AT707&lt;34,1)</f>
        <v>1</v>
      </c>
      <c r="AC707" s="114">
        <f>_xlfn.IFS(AS707&gt;35,1,AS707&gt;=28,2,AS707&lt;28,3)</f>
        <v>1</v>
      </c>
      <c r="AD707" s="114">
        <f>_xlfn.IFS(AR707&gt;2.3,3,AR707&gt;=1.7,2,AR707&lt;1.7,1)</f>
        <v>1</v>
      </c>
      <c r="AE707" s="114">
        <f>Y707+AA707+AB707+AC707+AD707</f>
        <v>5</v>
      </c>
      <c r="AF707" s="114" t="s">
        <v>59</v>
      </c>
      <c r="AG707" s="114">
        <f>AT707/17.1</f>
        <v>1.28070175438596</v>
      </c>
      <c r="AH707" s="114">
        <f>AU707/88.4</f>
        <v>0.656108597285068</v>
      </c>
      <c r="AI707" s="114">
        <f>AR707</f>
        <v>1.18</v>
      </c>
      <c r="AJ707" s="159">
        <f>LN(IF(AG707&gt;=1,AG707,1))*3.8+LN(IF(AH707&gt;=1,AH707,1))*9.6+11.2*LN(IF(AI707&gt;=1,AI707,1))+6.4*AN707</f>
        <v>9.19391276954142</v>
      </c>
      <c r="AK707" s="160">
        <f>IF(AND(AG707&gt;0,AH707&gt;0,AI707&gt;0),AJ707,"")</f>
        <v>9.19391276954142</v>
      </c>
      <c r="AL707" s="160">
        <f>AK707+1.59*(135-AM707)</f>
        <v>9.19391276954142</v>
      </c>
      <c r="AM707" s="160">
        <f>IF(AV707&gt;135,135,IF(AV707&lt;120,120,AV707))</f>
        <v>135</v>
      </c>
      <c r="AN707" s="117">
        <v>1</v>
      </c>
      <c r="AO707" s="114">
        <v>1</v>
      </c>
      <c r="AP707" s="117">
        <v>1.21</v>
      </c>
      <c r="AQ707" s="117">
        <v>73</v>
      </c>
      <c r="AR707" s="117">
        <v>1.18</v>
      </c>
      <c r="AS707" s="141">
        <v>37</v>
      </c>
      <c r="AT707" s="142">
        <v>21.9</v>
      </c>
      <c r="AU707" s="117">
        <v>58</v>
      </c>
      <c r="AV707" s="117">
        <v>142</v>
      </c>
      <c r="AZ707" s="119" t="s">
        <v>2115</v>
      </c>
    </row>
    <row r="708" spans="1:52">
      <c r="A708" s="117" t="s">
        <v>922</v>
      </c>
      <c r="B708" s="117" t="s">
        <v>48</v>
      </c>
      <c r="C708" s="117">
        <v>65</v>
      </c>
      <c r="D708" s="135">
        <v>1.7</v>
      </c>
      <c r="E708" s="117">
        <v>80</v>
      </c>
      <c r="F708" s="136">
        <f>E708/(D708*D708)</f>
        <v>27.681660899654</v>
      </c>
      <c r="G708" s="113">
        <v>6</v>
      </c>
      <c r="H708" s="281">
        <v>45357</v>
      </c>
      <c r="I708" s="119" t="s">
        <v>2116</v>
      </c>
      <c r="J708" s="119" t="s">
        <v>2117</v>
      </c>
      <c r="L708" s="137">
        <v>8</v>
      </c>
      <c r="M708" s="138">
        <v>8</v>
      </c>
      <c r="N708" s="270" t="s">
        <v>2118</v>
      </c>
      <c r="P708" s="117">
        <v>1</v>
      </c>
      <c r="T708" s="117">
        <v>1</v>
      </c>
      <c r="U708" s="117">
        <v>0</v>
      </c>
      <c r="V708" s="117">
        <v>0</v>
      </c>
      <c r="W708" s="117">
        <v>0</v>
      </c>
      <c r="X708" s="117">
        <v>1</v>
      </c>
      <c r="Y708" s="117">
        <v>1</v>
      </c>
      <c r="Z708" s="119" t="s">
        <v>321</v>
      </c>
      <c r="AA708" s="117">
        <v>3</v>
      </c>
      <c r="AB708" s="114">
        <f>_xlfn.IFS(AT708&gt;51,3,AT708&gt;=34,2,AT708&lt;34,1)</f>
        <v>1</v>
      </c>
      <c r="AC708" s="114">
        <f>_xlfn.IFS(AS708&gt;35,1,AS708&gt;=28,2,AS708&lt;28,3)</f>
        <v>3</v>
      </c>
      <c r="AD708" s="114">
        <f>_xlfn.IFS(AR708&gt;2.3,3,AR708&gt;=1.7,2,AR708&lt;1.7,1)</f>
        <v>1</v>
      </c>
      <c r="AE708" s="114">
        <f>Y708+AA708+AB708+AC708+AD708</f>
        <v>9</v>
      </c>
      <c r="AF708" s="116" t="s">
        <v>63</v>
      </c>
      <c r="AG708" s="114">
        <f>AT708/17.1</f>
        <v>1.45029239766082</v>
      </c>
      <c r="AH708" s="114">
        <f>AU708/88.4</f>
        <v>0.791855203619909</v>
      </c>
      <c r="AI708" s="114">
        <f>AR708</f>
        <v>1.27</v>
      </c>
      <c r="AJ708" s="159">
        <f>LN(IF(AG708&gt;=1,AG708,1))*3.8+LN(IF(AH708&gt;=1,AH708,1))*9.6+11.2*LN(IF(AI708&gt;=1,AI708,1))+6.4*AN708</f>
        <v>4.08969700598642</v>
      </c>
      <c r="AK708" s="160">
        <f>IF(AND(AG708&gt;0,AH708&gt;0,AI708&gt;0),AJ708,"")</f>
        <v>4.08969700598642</v>
      </c>
      <c r="AL708" s="160">
        <f>AK708+1.59*(135-AM708)</f>
        <v>4.08969700598642</v>
      </c>
      <c r="AM708" s="160">
        <f>IF(AV708&gt;135,135,IF(AV708&lt;120,120,AV708))</f>
        <v>135</v>
      </c>
      <c r="AN708" s="117">
        <v>0</v>
      </c>
      <c r="AO708" s="114">
        <v>1</v>
      </c>
      <c r="AP708" s="117">
        <v>4.65</v>
      </c>
      <c r="AQ708" s="117">
        <v>101</v>
      </c>
      <c r="AR708" s="117">
        <v>1.27</v>
      </c>
      <c r="AS708" s="141">
        <v>27</v>
      </c>
      <c r="AT708" s="142">
        <v>24.8</v>
      </c>
      <c r="AU708" s="117">
        <v>70</v>
      </c>
      <c r="AV708" s="117">
        <v>145</v>
      </c>
      <c r="AZ708" s="119" t="s">
        <v>2119</v>
      </c>
    </row>
    <row r="709" spans="1:52">
      <c r="A709" s="117" t="s">
        <v>1384</v>
      </c>
      <c r="B709" s="117" t="s">
        <v>53</v>
      </c>
      <c r="C709" s="117">
        <v>67</v>
      </c>
      <c r="D709" s="135">
        <v>1.6</v>
      </c>
      <c r="E709" s="117">
        <v>50</v>
      </c>
      <c r="F709" s="136">
        <f t="shared" ref="F709:F723" si="203">E709/(D709*D709)</f>
        <v>19.53125</v>
      </c>
      <c r="G709" s="113">
        <v>0</v>
      </c>
      <c r="H709" s="281">
        <v>45356</v>
      </c>
      <c r="I709" s="119" t="s">
        <v>2120</v>
      </c>
      <c r="J709" s="119" t="s">
        <v>2121</v>
      </c>
      <c r="L709" s="137">
        <v>3</v>
      </c>
      <c r="M709" s="138">
        <v>17</v>
      </c>
      <c r="N709" s="270" t="s">
        <v>2122</v>
      </c>
      <c r="Q709" s="117">
        <v>1</v>
      </c>
      <c r="T709" s="117">
        <v>0</v>
      </c>
      <c r="U709" s="117">
        <v>0</v>
      </c>
      <c r="V709" s="117">
        <v>1</v>
      </c>
      <c r="W709" s="117">
        <v>1</v>
      </c>
      <c r="X709" s="117">
        <v>1</v>
      </c>
      <c r="Y709" s="117">
        <v>1</v>
      </c>
      <c r="Z709" s="119" t="s">
        <v>58</v>
      </c>
      <c r="AA709" s="117">
        <v>1</v>
      </c>
      <c r="AB709" s="114">
        <f t="shared" ref="AB709:AB727" si="204">_xlfn.IFS(AT709&gt;51,3,AT709&gt;=34,2,AT709&lt;34,1)</f>
        <v>1</v>
      </c>
      <c r="AC709" s="114">
        <f t="shared" ref="AC709:AC727" si="205">_xlfn.IFS(AS709&gt;35,1,AS709&gt;=28,2,AS709&lt;28,3)</f>
        <v>2</v>
      </c>
      <c r="AD709" s="114">
        <f t="shared" ref="AD709:AD727" si="206">_xlfn.IFS(AR709&gt;2.3,3,AR709&gt;=1.7,2,AR709&lt;1.7,1)</f>
        <v>1</v>
      </c>
      <c r="AE709" s="114">
        <f t="shared" ref="AE709:AE727" si="207">Y709+AA709+AB709+AC709+AD709</f>
        <v>6</v>
      </c>
      <c r="AF709" s="119" t="s">
        <v>59</v>
      </c>
      <c r="AG709" s="114">
        <f t="shared" ref="AG709:AG724" si="208">AT709/17.1</f>
        <v>0.982456140350877</v>
      </c>
      <c r="AH709" s="114">
        <f t="shared" ref="AH709:AH724" si="209">AU709/88.4</f>
        <v>0.610859728506787</v>
      </c>
      <c r="AI709" s="114">
        <f t="shared" ref="AI709:AI724" si="210">AR709</f>
        <v>1.25</v>
      </c>
      <c r="AJ709" s="159">
        <f t="shared" ref="AJ709:AJ725" si="211">LN(IF(AG709&gt;=1,AG709,1))*3.8+LN(IF(AH709&gt;=1,AH709,1))*9.6+11.2*LN(IF(AI709&gt;=1,AI709,1))+6.4*AN709</f>
        <v>8.89920777471915</v>
      </c>
      <c r="AK709" s="160">
        <f t="shared" ref="AK709:AK725" si="212">IF(AND(AG709&gt;0,AH709&gt;0,AI709&gt;0),AJ709,"")</f>
        <v>8.89920777471915</v>
      </c>
      <c r="AL709" s="160">
        <f t="shared" ref="AL709:AL725" si="213">AK709+1.59*(135-AM709)</f>
        <v>8.89920777471915</v>
      </c>
      <c r="AM709" s="160">
        <f t="shared" ref="AM709:AM725" si="214">IF(AV709&gt;135,135,IF(AV709&lt;120,120,AV709))</f>
        <v>135</v>
      </c>
      <c r="AN709" s="117">
        <v>1</v>
      </c>
      <c r="AO709" s="114">
        <v>1</v>
      </c>
      <c r="AP709" s="117">
        <v>3.52</v>
      </c>
      <c r="AQ709" s="117">
        <v>89</v>
      </c>
      <c r="AR709" s="117">
        <v>1.25</v>
      </c>
      <c r="AS709" s="141">
        <v>30</v>
      </c>
      <c r="AT709" s="142">
        <v>16.8</v>
      </c>
      <c r="AU709" s="117">
        <v>54</v>
      </c>
      <c r="AV709" s="117">
        <v>152</v>
      </c>
      <c r="AZ709" s="119" t="s">
        <v>2123</v>
      </c>
    </row>
    <row r="710" spans="1:52">
      <c r="A710" s="117" t="s">
        <v>1309</v>
      </c>
      <c r="B710" s="117" t="s">
        <v>53</v>
      </c>
      <c r="C710" s="117">
        <v>69</v>
      </c>
      <c r="D710" s="135">
        <v>1.62</v>
      </c>
      <c r="E710" s="117">
        <v>60</v>
      </c>
      <c r="F710" s="136">
        <f t="shared" si="203"/>
        <v>22.8623685413809</v>
      </c>
      <c r="G710" s="113">
        <v>1</v>
      </c>
      <c r="H710" s="281">
        <v>45358</v>
      </c>
      <c r="I710" s="119" t="s">
        <v>2124</v>
      </c>
      <c r="J710" s="119" t="s">
        <v>1479</v>
      </c>
      <c r="L710" s="137">
        <v>4</v>
      </c>
      <c r="M710" s="138">
        <v>13</v>
      </c>
      <c r="N710" s="270" t="s">
        <v>2125</v>
      </c>
      <c r="Q710" s="119" t="s">
        <v>1083</v>
      </c>
      <c r="T710" s="117">
        <v>1</v>
      </c>
      <c r="U710" s="117">
        <v>0</v>
      </c>
      <c r="V710" s="117">
        <v>1</v>
      </c>
      <c r="W710" s="117">
        <v>0</v>
      </c>
      <c r="X710" s="117">
        <v>1</v>
      </c>
      <c r="Y710" s="117">
        <v>1</v>
      </c>
      <c r="Z710" s="119" t="s">
        <v>300</v>
      </c>
      <c r="AA710" s="117">
        <v>2</v>
      </c>
      <c r="AB710" s="114">
        <f t="shared" si="204"/>
        <v>1</v>
      </c>
      <c r="AC710" s="114">
        <f t="shared" si="205"/>
        <v>3</v>
      </c>
      <c r="AD710" s="114">
        <f t="shared" si="206"/>
        <v>1</v>
      </c>
      <c r="AE710" s="114">
        <f t="shared" si="207"/>
        <v>8</v>
      </c>
      <c r="AF710" s="119" t="s">
        <v>63</v>
      </c>
      <c r="AG710" s="114">
        <f t="shared" si="208"/>
        <v>0.532163742690058</v>
      </c>
      <c r="AH710" s="114">
        <f t="shared" si="209"/>
        <v>0.633484162895928</v>
      </c>
      <c r="AI710" s="114">
        <f t="shared" si="210"/>
        <v>1.14</v>
      </c>
      <c r="AJ710" s="159">
        <f t="shared" si="211"/>
        <v>7.86751653895173</v>
      </c>
      <c r="AK710" s="160">
        <f t="shared" si="212"/>
        <v>7.86751653895173</v>
      </c>
      <c r="AL710" s="160">
        <f t="shared" si="213"/>
        <v>7.86751653895173</v>
      </c>
      <c r="AM710" s="160">
        <f t="shared" si="214"/>
        <v>135</v>
      </c>
      <c r="AN710" s="117">
        <v>1</v>
      </c>
      <c r="AO710" s="114">
        <v>1</v>
      </c>
      <c r="AP710" s="117">
        <v>3.26</v>
      </c>
      <c r="AQ710" s="117">
        <v>65</v>
      </c>
      <c r="AR710" s="117">
        <v>1.14</v>
      </c>
      <c r="AS710" s="141">
        <v>26</v>
      </c>
      <c r="AT710" s="142">
        <v>9.1</v>
      </c>
      <c r="AU710" s="117">
        <v>56</v>
      </c>
      <c r="AV710" s="117">
        <v>144</v>
      </c>
      <c r="AZ710" s="119" t="s">
        <v>2126</v>
      </c>
    </row>
    <row r="711" spans="1:52">
      <c r="A711" s="117" t="s">
        <v>2127</v>
      </c>
      <c r="B711" s="117" t="s">
        <v>53</v>
      </c>
      <c r="C711" s="117">
        <v>65</v>
      </c>
      <c r="D711" s="135">
        <v>1.62</v>
      </c>
      <c r="E711" s="117">
        <v>72</v>
      </c>
      <c r="F711" s="136">
        <f t="shared" si="203"/>
        <v>27.4348422496571</v>
      </c>
      <c r="G711" s="113">
        <v>0</v>
      </c>
      <c r="H711" s="281">
        <v>45366</v>
      </c>
      <c r="I711" s="119" t="s">
        <v>2128</v>
      </c>
      <c r="J711" s="119" t="s">
        <v>2129</v>
      </c>
      <c r="L711" s="137">
        <v>3</v>
      </c>
      <c r="M711" s="138">
        <v>8</v>
      </c>
      <c r="N711" s="270" t="s">
        <v>2130</v>
      </c>
      <c r="R711" s="117">
        <v>1</v>
      </c>
      <c r="T711" s="117">
        <v>0</v>
      </c>
      <c r="U711" s="117">
        <v>0</v>
      </c>
      <c r="V711" s="117">
        <v>1</v>
      </c>
      <c r="W711" s="117">
        <v>0</v>
      </c>
      <c r="X711" s="117">
        <v>1</v>
      </c>
      <c r="Y711" s="117">
        <v>1</v>
      </c>
      <c r="Z711" s="119" t="s">
        <v>58</v>
      </c>
      <c r="AA711" s="117">
        <v>1</v>
      </c>
      <c r="AB711" s="114">
        <f t="shared" si="204"/>
        <v>1</v>
      </c>
      <c r="AC711" s="114">
        <f t="shared" si="205"/>
        <v>1</v>
      </c>
      <c r="AD711" s="114">
        <f t="shared" si="206"/>
        <v>1</v>
      </c>
      <c r="AE711" s="114">
        <f t="shared" si="207"/>
        <v>5</v>
      </c>
      <c r="AF711" s="116" t="s">
        <v>59</v>
      </c>
      <c r="AG711" s="114">
        <f t="shared" si="208"/>
        <v>0.976608187134503</v>
      </c>
      <c r="AH711" s="114">
        <f t="shared" si="209"/>
        <v>0.384615384615385</v>
      </c>
      <c r="AI711" s="114">
        <f t="shared" si="210"/>
        <v>1.31</v>
      </c>
      <c r="AJ711" s="159">
        <f t="shared" si="211"/>
        <v>3.02430393678627</v>
      </c>
      <c r="AK711" s="160">
        <f t="shared" si="212"/>
        <v>3.02430393678627</v>
      </c>
      <c r="AL711" s="160">
        <f t="shared" si="213"/>
        <v>3.02430393678627</v>
      </c>
      <c r="AM711" s="160">
        <f t="shared" si="214"/>
        <v>135</v>
      </c>
      <c r="AN711" s="117">
        <v>0</v>
      </c>
      <c r="AO711" s="114">
        <v>1</v>
      </c>
      <c r="AP711" s="117">
        <v>3.98</v>
      </c>
      <c r="AQ711" s="117">
        <v>123</v>
      </c>
      <c r="AR711" s="117">
        <v>1.31</v>
      </c>
      <c r="AS711" s="141">
        <v>37</v>
      </c>
      <c r="AT711" s="142">
        <v>16.7</v>
      </c>
      <c r="AU711" s="117">
        <v>34</v>
      </c>
      <c r="AV711" s="117">
        <v>140</v>
      </c>
      <c r="AZ711" s="119" t="s">
        <v>2131</v>
      </c>
    </row>
    <row r="712" s="123" customFormat="1" spans="1:52">
      <c r="A712" s="123" t="s">
        <v>1684</v>
      </c>
      <c r="B712" s="123" t="s">
        <v>48</v>
      </c>
      <c r="C712" s="123">
        <v>37</v>
      </c>
      <c r="D712" s="176">
        <v>1.78</v>
      </c>
      <c r="E712" s="123">
        <v>100</v>
      </c>
      <c r="F712" s="189">
        <f t="shared" si="203"/>
        <v>31.561671506123</v>
      </c>
      <c r="G712" s="285">
        <v>6</v>
      </c>
      <c r="H712" s="286">
        <v>45366</v>
      </c>
      <c r="I712" s="132" t="s">
        <v>2132</v>
      </c>
      <c r="J712" s="132" t="s">
        <v>2133</v>
      </c>
      <c r="K712" s="123"/>
      <c r="L712" s="178">
        <v>2</v>
      </c>
      <c r="M712" s="178">
        <v>12</v>
      </c>
      <c r="N712" s="254" t="s">
        <v>2134</v>
      </c>
      <c r="O712" s="123"/>
      <c r="P712" s="123">
        <v>1</v>
      </c>
      <c r="Q712" s="123"/>
      <c r="R712" s="123"/>
      <c r="S712" s="123"/>
      <c r="T712" s="123">
        <v>1</v>
      </c>
      <c r="U712" s="123">
        <v>0</v>
      </c>
      <c r="V712" s="123">
        <v>1</v>
      </c>
      <c r="W712" s="123">
        <v>0</v>
      </c>
      <c r="X712" s="123">
        <v>1</v>
      </c>
      <c r="Y712" s="123">
        <v>1</v>
      </c>
      <c r="Z712" s="132" t="s">
        <v>300</v>
      </c>
      <c r="AA712" s="123">
        <v>2</v>
      </c>
      <c r="AB712" s="123">
        <f t="shared" si="204"/>
        <v>1</v>
      </c>
      <c r="AC712" s="123">
        <f t="shared" si="205"/>
        <v>3</v>
      </c>
      <c r="AD712" s="123">
        <f t="shared" si="206"/>
        <v>1</v>
      </c>
      <c r="AE712" s="123">
        <f t="shared" si="207"/>
        <v>8</v>
      </c>
      <c r="AF712" s="123" t="s">
        <v>63</v>
      </c>
      <c r="AG712" s="123">
        <f t="shared" si="208"/>
        <v>1.33333333333333</v>
      </c>
      <c r="AH712" s="123">
        <f t="shared" si="209"/>
        <v>0.622171945701357</v>
      </c>
      <c r="AI712" s="123">
        <f t="shared" si="210"/>
        <v>1.51</v>
      </c>
      <c r="AJ712" s="266">
        <f t="shared" si="211"/>
        <v>5.7088199645773</v>
      </c>
      <c r="AK712" s="267">
        <f t="shared" si="212"/>
        <v>5.7088199645773</v>
      </c>
      <c r="AL712" s="267">
        <f t="shared" si="213"/>
        <v>5.7088199645773</v>
      </c>
      <c r="AM712" s="267">
        <f t="shared" si="214"/>
        <v>135</v>
      </c>
      <c r="AN712" s="123">
        <v>0</v>
      </c>
      <c r="AO712" s="123">
        <v>1</v>
      </c>
      <c r="AP712" s="123">
        <v>9.08</v>
      </c>
      <c r="AQ712" s="123">
        <v>57</v>
      </c>
      <c r="AR712" s="123">
        <v>1.51</v>
      </c>
      <c r="AS712" s="267">
        <v>27</v>
      </c>
      <c r="AT712" s="268">
        <v>22.8</v>
      </c>
      <c r="AU712" s="123">
        <v>55</v>
      </c>
      <c r="AV712" s="123">
        <v>138</v>
      </c>
      <c r="AW712" s="123"/>
      <c r="AX712" s="123"/>
      <c r="AY712" s="123"/>
      <c r="AZ712" s="132" t="s">
        <v>2135</v>
      </c>
    </row>
    <row r="713" spans="1:52">
      <c r="A713" s="117" t="s">
        <v>2136</v>
      </c>
      <c r="B713" s="117" t="s">
        <v>53</v>
      </c>
      <c r="C713" s="117">
        <v>52</v>
      </c>
      <c r="D713" s="135">
        <v>1.6</v>
      </c>
      <c r="E713" s="117">
        <v>70</v>
      </c>
      <c r="F713" s="136">
        <f t="shared" si="203"/>
        <v>27.34375</v>
      </c>
      <c r="G713" s="113">
        <v>1</v>
      </c>
      <c r="H713" s="281">
        <v>45362</v>
      </c>
      <c r="I713" s="119" t="s">
        <v>2137</v>
      </c>
      <c r="J713" s="119" t="s">
        <v>2138</v>
      </c>
      <c r="L713" s="137">
        <v>2</v>
      </c>
      <c r="M713" s="138">
        <v>19</v>
      </c>
      <c r="N713" s="270" t="s">
        <v>2139</v>
      </c>
      <c r="Q713" s="117">
        <v>1</v>
      </c>
      <c r="T713" s="117">
        <v>0</v>
      </c>
      <c r="U713" s="117">
        <v>0</v>
      </c>
      <c r="V713" s="117">
        <v>1</v>
      </c>
      <c r="W713" s="117">
        <v>0</v>
      </c>
      <c r="X713" s="117">
        <v>1</v>
      </c>
      <c r="Y713" s="117">
        <v>1</v>
      </c>
      <c r="Z713" s="119" t="s">
        <v>58</v>
      </c>
      <c r="AA713" s="117">
        <v>1</v>
      </c>
      <c r="AB713" s="114">
        <f t="shared" si="204"/>
        <v>1</v>
      </c>
      <c r="AC713" s="114">
        <f t="shared" si="205"/>
        <v>3</v>
      </c>
      <c r="AD713" s="114">
        <f t="shared" si="206"/>
        <v>1</v>
      </c>
      <c r="AE713" s="114">
        <f t="shared" si="207"/>
        <v>7</v>
      </c>
      <c r="AF713" s="116" t="s">
        <v>63</v>
      </c>
      <c r="AG713" s="114">
        <f t="shared" si="208"/>
        <v>0.906432748538012</v>
      </c>
      <c r="AH713" s="114">
        <f t="shared" si="209"/>
        <v>0.542986425339366</v>
      </c>
      <c r="AI713" s="114">
        <f t="shared" si="210"/>
        <v>0.93</v>
      </c>
      <c r="AJ713" s="159">
        <f t="shared" si="211"/>
        <v>6.4</v>
      </c>
      <c r="AK713" s="160">
        <f t="shared" si="212"/>
        <v>6.4</v>
      </c>
      <c r="AL713" s="160">
        <f t="shared" si="213"/>
        <v>6.4</v>
      </c>
      <c r="AM713" s="160">
        <f t="shared" si="214"/>
        <v>135</v>
      </c>
      <c r="AN713" s="117">
        <v>1</v>
      </c>
      <c r="AO713" s="114">
        <v>1</v>
      </c>
      <c r="AP713" s="117">
        <v>7.2</v>
      </c>
      <c r="AQ713" s="117">
        <v>43</v>
      </c>
      <c r="AR713" s="117">
        <v>0.93</v>
      </c>
      <c r="AS713" s="141">
        <v>24</v>
      </c>
      <c r="AT713" s="142">
        <v>15.5</v>
      </c>
      <c r="AU713" s="117">
        <v>48</v>
      </c>
      <c r="AV713" s="117">
        <v>142</v>
      </c>
      <c r="AZ713" s="119" t="s">
        <v>2140</v>
      </c>
    </row>
    <row r="714" spans="1:52">
      <c r="A714" s="117" t="s">
        <v>2141</v>
      </c>
      <c r="B714" s="117" t="s">
        <v>53</v>
      </c>
      <c r="C714" s="117">
        <v>69</v>
      </c>
      <c r="D714" s="135">
        <v>1.56</v>
      </c>
      <c r="E714" s="117">
        <v>60</v>
      </c>
      <c r="F714" s="136">
        <f t="shared" si="203"/>
        <v>24.65483234714</v>
      </c>
      <c r="G714" s="113">
        <v>7</v>
      </c>
      <c r="H714" s="281">
        <v>45370</v>
      </c>
      <c r="I714" s="158">
        <v>45370</v>
      </c>
      <c r="J714" s="158">
        <v>45380</v>
      </c>
      <c r="L714" s="137">
        <v>2</v>
      </c>
      <c r="M714" s="138">
        <v>10</v>
      </c>
      <c r="N714" s="270" t="s">
        <v>2142</v>
      </c>
      <c r="Q714" s="117">
        <v>1</v>
      </c>
      <c r="T714" s="117">
        <v>0</v>
      </c>
      <c r="U714" s="117">
        <v>0</v>
      </c>
      <c r="V714" s="117">
        <v>0</v>
      </c>
      <c r="W714" s="117">
        <v>1</v>
      </c>
      <c r="X714" s="117">
        <v>1</v>
      </c>
      <c r="Y714" s="117">
        <v>1</v>
      </c>
      <c r="Z714" s="119" t="s">
        <v>58</v>
      </c>
      <c r="AA714" s="117">
        <v>1</v>
      </c>
      <c r="AB714" s="114">
        <f t="shared" si="204"/>
        <v>1</v>
      </c>
      <c r="AC714" s="114">
        <f t="shared" si="205"/>
        <v>3</v>
      </c>
      <c r="AD714" s="114">
        <f t="shared" si="206"/>
        <v>1</v>
      </c>
      <c r="AE714" s="114">
        <f t="shared" si="207"/>
        <v>7</v>
      </c>
      <c r="AF714" s="116" t="s">
        <v>63</v>
      </c>
      <c r="AG714" s="114">
        <f t="shared" si="208"/>
        <v>0.888888888888889</v>
      </c>
      <c r="AH714" s="114">
        <f t="shared" si="209"/>
        <v>0.916289592760181</v>
      </c>
      <c r="AI714" s="114">
        <f t="shared" si="210"/>
        <v>1.25</v>
      </c>
      <c r="AJ714" s="159">
        <f t="shared" si="211"/>
        <v>8.89920777471915</v>
      </c>
      <c r="AK714" s="160">
        <f t="shared" si="212"/>
        <v>8.89920777471915</v>
      </c>
      <c r="AL714" s="160">
        <f t="shared" si="213"/>
        <v>8.89920777471915</v>
      </c>
      <c r="AM714" s="160">
        <f t="shared" si="214"/>
        <v>135</v>
      </c>
      <c r="AN714" s="117">
        <v>1</v>
      </c>
      <c r="AO714" s="114">
        <v>1</v>
      </c>
      <c r="AP714" s="117">
        <v>4.92</v>
      </c>
      <c r="AQ714" s="117">
        <v>43</v>
      </c>
      <c r="AR714" s="117">
        <v>1.25</v>
      </c>
      <c r="AS714" s="141">
        <v>25</v>
      </c>
      <c r="AT714" s="142">
        <v>15.2</v>
      </c>
      <c r="AU714" s="117">
        <v>81</v>
      </c>
      <c r="AV714" s="117">
        <v>144</v>
      </c>
      <c r="AZ714" s="119" t="s">
        <v>2143</v>
      </c>
    </row>
    <row r="715" spans="1:52">
      <c r="A715" s="117" t="s">
        <v>1240</v>
      </c>
      <c r="B715" s="117" t="s">
        <v>53</v>
      </c>
      <c r="C715" s="117">
        <v>53</v>
      </c>
      <c r="D715" s="135">
        <v>1.65</v>
      </c>
      <c r="E715" s="117">
        <v>70</v>
      </c>
      <c r="F715" s="136">
        <f t="shared" si="203"/>
        <v>25.7116620752984</v>
      </c>
      <c r="G715" s="113">
        <v>1</v>
      </c>
      <c r="H715" s="281">
        <v>45374</v>
      </c>
      <c r="I715" s="158">
        <v>45374</v>
      </c>
      <c r="J715" s="158">
        <v>45383</v>
      </c>
      <c r="L715" s="137">
        <v>3</v>
      </c>
      <c r="M715" s="138">
        <v>9</v>
      </c>
      <c r="N715" s="270" t="s">
        <v>2144</v>
      </c>
      <c r="Q715" s="119" t="s">
        <v>1083</v>
      </c>
      <c r="R715" s="117">
        <v>1</v>
      </c>
      <c r="T715" s="117">
        <v>1</v>
      </c>
      <c r="U715" s="117">
        <v>0</v>
      </c>
      <c r="V715" s="117">
        <v>1</v>
      </c>
      <c r="W715" s="117">
        <v>0</v>
      </c>
      <c r="X715" s="117">
        <v>1</v>
      </c>
      <c r="Y715" s="117">
        <v>1</v>
      </c>
      <c r="Z715" s="119" t="s">
        <v>307</v>
      </c>
      <c r="AA715" s="117">
        <v>3</v>
      </c>
      <c r="AB715" s="114">
        <f t="shared" si="204"/>
        <v>1</v>
      </c>
      <c r="AC715" s="114">
        <f t="shared" si="205"/>
        <v>2</v>
      </c>
      <c r="AD715" s="114">
        <f t="shared" si="206"/>
        <v>1</v>
      </c>
      <c r="AE715" s="114">
        <f t="shared" si="207"/>
        <v>8</v>
      </c>
      <c r="AF715" s="119" t="s">
        <v>63</v>
      </c>
      <c r="AG715" s="114">
        <f t="shared" si="208"/>
        <v>0.654970760233918</v>
      </c>
      <c r="AH715" s="114">
        <f t="shared" si="209"/>
        <v>0.509049773755656</v>
      </c>
      <c r="AI715" s="114">
        <f t="shared" si="210"/>
        <v>1.07</v>
      </c>
      <c r="AJ715" s="159">
        <f t="shared" si="211"/>
        <v>0.757776862906726</v>
      </c>
      <c r="AK715" s="160">
        <f t="shared" si="212"/>
        <v>0.757776862906726</v>
      </c>
      <c r="AL715" s="160">
        <f t="shared" si="213"/>
        <v>0.757776862906726</v>
      </c>
      <c r="AM715" s="160">
        <f t="shared" si="214"/>
        <v>135</v>
      </c>
      <c r="AN715" s="117">
        <v>0</v>
      </c>
      <c r="AO715" s="114">
        <v>1</v>
      </c>
      <c r="AP715" s="117">
        <v>3.25</v>
      </c>
      <c r="AQ715" s="117">
        <v>108</v>
      </c>
      <c r="AR715" s="117">
        <v>1.07</v>
      </c>
      <c r="AS715" s="141">
        <v>35</v>
      </c>
      <c r="AT715" s="142">
        <v>11.2</v>
      </c>
      <c r="AU715" s="117">
        <v>45</v>
      </c>
      <c r="AV715" s="117">
        <v>142</v>
      </c>
      <c r="AZ715" s="119" t="s">
        <v>2145</v>
      </c>
    </row>
    <row r="716" spans="1:52">
      <c r="A716" s="117" t="s">
        <v>662</v>
      </c>
      <c r="B716" s="117" t="s">
        <v>53</v>
      </c>
      <c r="C716" s="117">
        <v>66</v>
      </c>
      <c r="D716" s="135">
        <v>1.56</v>
      </c>
      <c r="E716" s="117">
        <v>60</v>
      </c>
      <c r="F716" s="136">
        <f t="shared" si="203"/>
        <v>24.65483234714</v>
      </c>
      <c r="G716" s="113">
        <v>3</v>
      </c>
      <c r="H716" s="281">
        <v>45369</v>
      </c>
      <c r="I716" s="158">
        <v>45369</v>
      </c>
      <c r="J716" s="158">
        <v>45383</v>
      </c>
      <c r="L716" s="137">
        <v>7</v>
      </c>
      <c r="M716" s="138">
        <v>14</v>
      </c>
      <c r="N716" s="270" t="s">
        <v>2146</v>
      </c>
      <c r="S716" s="117">
        <v>1</v>
      </c>
      <c r="T716" s="117">
        <v>0</v>
      </c>
      <c r="U716" s="117">
        <v>0</v>
      </c>
      <c r="V716" s="117">
        <v>1</v>
      </c>
      <c r="W716" s="117">
        <v>0</v>
      </c>
      <c r="X716" s="117">
        <v>1</v>
      </c>
      <c r="Y716" s="117">
        <v>1</v>
      </c>
      <c r="Z716" s="119" t="s">
        <v>58</v>
      </c>
      <c r="AA716" s="117">
        <v>1</v>
      </c>
      <c r="AB716" s="114">
        <f t="shared" si="204"/>
        <v>1</v>
      </c>
      <c r="AC716" s="114">
        <f t="shared" si="205"/>
        <v>3</v>
      </c>
      <c r="AD716" s="114">
        <f t="shared" si="206"/>
        <v>1</v>
      </c>
      <c r="AE716" s="114">
        <f t="shared" si="207"/>
        <v>7</v>
      </c>
      <c r="AF716" s="116" t="s">
        <v>63</v>
      </c>
      <c r="AG716" s="114">
        <f t="shared" si="208"/>
        <v>1.04678362573099</v>
      </c>
      <c r="AH716" s="114">
        <f t="shared" si="209"/>
        <v>0.622171945701357</v>
      </c>
      <c r="AI716" s="114">
        <f t="shared" si="210"/>
        <v>1.42</v>
      </c>
      <c r="AJ716" s="159">
        <f t="shared" si="211"/>
        <v>10.5011015095523</v>
      </c>
      <c r="AK716" s="160">
        <f t="shared" si="212"/>
        <v>10.5011015095523</v>
      </c>
      <c r="AL716" s="160">
        <f t="shared" si="213"/>
        <v>10.5011015095523</v>
      </c>
      <c r="AM716" s="160">
        <f t="shared" si="214"/>
        <v>135</v>
      </c>
      <c r="AN716" s="117">
        <v>1</v>
      </c>
      <c r="AO716" s="114">
        <v>1</v>
      </c>
      <c r="AP716" s="117">
        <v>3.77</v>
      </c>
      <c r="AQ716" s="117">
        <v>64</v>
      </c>
      <c r="AR716" s="117">
        <v>1.42</v>
      </c>
      <c r="AS716" s="141">
        <v>23</v>
      </c>
      <c r="AT716" s="142">
        <v>17.9</v>
      </c>
      <c r="AU716" s="117">
        <v>55</v>
      </c>
      <c r="AV716" s="117">
        <v>145</v>
      </c>
      <c r="AZ716" s="119" t="s">
        <v>2147</v>
      </c>
    </row>
    <row r="717" spans="1:52">
      <c r="A717" s="117" t="s">
        <v>2148</v>
      </c>
      <c r="B717" s="117" t="s">
        <v>48</v>
      </c>
      <c r="C717" s="117">
        <v>51</v>
      </c>
      <c r="D717" s="135">
        <v>1.72</v>
      </c>
      <c r="E717" s="117">
        <v>60</v>
      </c>
      <c r="F717" s="136">
        <f t="shared" si="203"/>
        <v>20.2812330989724</v>
      </c>
      <c r="G717" s="113">
        <v>7</v>
      </c>
      <c r="H717" s="281">
        <v>45372</v>
      </c>
      <c r="I717" s="158">
        <v>45372</v>
      </c>
      <c r="J717" s="158">
        <v>45379</v>
      </c>
      <c r="L717" s="137">
        <v>1</v>
      </c>
      <c r="M717" s="138">
        <v>7</v>
      </c>
      <c r="N717" s="270" t="s">
        <v>2149</v>
      </c>
      <c r="O717" s="117">
        <v>1</v>
      </c>
      <c r="T717" s="117">
        <v>1</v>
      </c>
      <c r="U717" s="117">
        <v>0</v>
      </c>
      <c r="V717" s="117">
        <v>1</v>
      </c>
      <c r="W717" s="117">
        <v>0</v>
      </c>
      <c r="X717" s="117">
        <v>1</v>
      </c>
      <c r="Y717" s="117">
        <v>1</v>
      </c>
      <c r="Z717" s="119" t="s">
        <v>321</v>
      </c>
      <c r="AA717" s="117">
        <v>3</v>
      </c>
      <c r="AB717" s="114">
        <f t="shared" si="204"/>
        <v>1</v>
      </c>
      <c r="AC717" s="114">
        <f t="shared" si="205"/>
        <v>2</v>
      </c>
      <c r="AD717" s="114">
        <f t="shared" si="206"/>
        <v>1</v>
      </c>
      <c r="AE717" s="114">
        <f t="shared" si="207"/>
        <v>8</v>
      </c>
      <c r="AF717" s="114" t="s">
        <v>63</v>
      </c>
      <c r="AG717" s="114">
        <f t="shared" si="208"/>
        <v>1.67251461988304</v>
      </c>
      <c r="AH717" s="114">
        <f t="shared" si="209"/>
        <v>0.554298642533937</v>
      </c>
      <c r="AI717" s="114">
        <f t="shared" si="210"/>
        <v>1.35</v>
      </c>
      <c r="AJ717" s="159">
        <f t="shared" si="211"/>
        <v>11.7156188018491</v>
      </c>
      <c r="AK717" s="160">
        <f t="shared" si="212"/>
        <v>11.7156188018491</v>
      </c>
      <c r="AL717" s="160">
        <f t="shared" si="213"/>
        <v>11.7156188018491</v>
      </c>
      <c r="AM717" s="160">
        <f t="shared" si="214"/>
        <v>135</v>
      </c>
      <c r="AN717" s="117">
        <v>1</v>
      </c>
      <c r="AO717" s="114">
        <v>1</v>
      </c>
      <c r="AP717" s="117">
        <v>2.63</v>
      </c>
      <c r="AQ717" s="117">
        <v>97</v>
      </c>
      <c r="AR717" s="117">
        <v>1.35</v>
      </c>
      <c r="AS717" s="141">
        <v>31</v>
      </c>
      <c r="AT717" s="142">
        <v>28.6</v>
      </c>
      <c r="AU717" s="117">
        <v>49</v>
      </c>
      <c r="AV717" s="117">
        <v>140</v>
      </c>
      <c r="AZ717" s="119" t="s">
        <v>2150</v>
      </c>
    </row>
    <row r="718" spans="1:52">
      <c r="A718" s="117" t="s">
        <v>1987</v>
      </c>
      <c r="B718" s="117" t="s">
        <v>53</v>
      </c>
      <c r="C718" s="117">
        <v>74</v>
      </c>
      <c r="D718" s="135">
        <v>1.7</v>
      </c>
      <c r="E718" s="117">
        <v>83</v>
      </c>
      <c r="F718" s="136">
        <f t="shared" si="203"/>
        <v>28.719723183391</v>
      </c>
      <c r="G718" s="113">
        <v>0</v>
      </c>
      <c r="H718" s="281">
        <v>45372</v>
      </c>
      <c r="I718" s="158">
        <v>45372</v>
      </c>
      <c r="J718" s="158">
        <v>45380</v>
      </c>
      <c r="L718" s="137">
        <v>2</v>
      </c>
      <c r="M718" s="138">
        <v>8</v>
      </c>
      <c r="N718" s="270" t="s">
        <v>2151</v>
      </c>
      <c r="S718" s="117">
        <v>1</v>
      </c>
      <c r="T718" s="117">
        <v>1</v>
      </c>
      <c r="U718" s="117">
        <v>0</v>
      </c>
      <c r="V718" s="117">
        <v>1</v>
      </c>
      <c r="W718" s="117">
        <v>0</v>
      </c>
      <c r="X718" s="117">
        <v>1</v>
      </c>
      <c r="Y718" s="117">
        <v>1</v>
      </c>
      <c r="Z718" s="119" t="s">
        <v>300</v>
      </c>
      <c r="AA718" s="117">
        <v>2</v>
      </c>
      <c r="AB718" s="114">
        <f t="shared" si="204"/>
        <v>1</v>
      </c>
      <c r="AC718" s="114">
        <f t="shared" si="205"/>
        <v>1</v>
      </c>
      <c r="AD718" s="114">
        <f t="shared" si="206"/>
        <v>1</v>
      </c>
      <c r="AE718" s="114">
        <f t="shared" si="207"/>
        <v>6</v>
      </c>
      <c r="AF718" s="116" t="s">
        <v>59</v>
      </c>
      <c r="AG718" s="114">
        <f t="shared" si="208"/>
        <v>0.730994152046784</v>
      </c>
      <c r="AH718" s="114">
        <f t="shared" si="209"/>
        <v>0.599547511312217</v>
      </c>
      <c r="AI718" s="114">
        <f t="shared" si="210"/>
        <v>1.26</v>
      </c>
      <c r="AJ718" s="159">
        <f t="shared" si="211"/>
        <v>8.98845127478993</v>
      </c>
      <c r="AK718" s="160">
        <f t="shared" si="212"/>
        <v>8.98845127478993</v>
      </c>
      <c r="AL718" s="160">
        <f t="shared" si="213"/>
        <v>8.98845127478993</v>
      </c>
      <c r="AM718" s="160">
        <f t="shared" si="214"/>
        <v>135</v>
      </c>
      <c r="AN718" s="117">
        <v>1</v>
      </c>
      <c r="AO718" s="114">
        <v>1</v>
      </c>
      <c r="AP718" s="117">
        <v>2.01</v>
      </c>
      <c r="AQ718" s="117">
        <v>100</v>
      </c>
      <c r="AR718" s="117">
        <v>1.26</v>
      </c>
      <c r="AS718" s="141">
        <v>36</v>
      </c>
      <c r="AT718" s="142">
        <v>12.5</v>
      </c>
      <c r="AU718" s="117">
        <v>53</v>
      </c>
      <c r="AV718" s="117">
        <v>142</v>
      </c>
      <c r="AZ718" s="119" t="s">
        <v>2152</v>
      </c>
    </row>
    <row r="719" spans="1:52">
      <c r="A719" s="117" t="s">
        <v>1637</v>
      </c>
      <c r="B719" s="117" t="s">
        <v>53</v>
      </c>
      <c r="C719" s="117">
        <v>38</v>
      </c>
      <c r="D719" s="135">
        <v>1.7</v>
      </c>
      <c r="E719" s="117">
        <v>60</v>
      </c>
      <c r="F719" s="136">
        <f t="shared" si="203"/>
        <v>20.7612456747405</v>
      </c>
      <c r="G719" s="113">
        <v>0</v>
      </c>
      <c r="H719" s="281">
        <v>45380</v>
      </c>
      <c r="I719" s="158">
        <v>45380</v>
      </c>
      <c r="J719" s="158">
        <v>45386</v>
      </c>
      <c r="L719" s="137">
        <v>4</v>
      </c>
      <c r="M719" s="138">
        <v>6</v>
      </c>
      <c r="N719" s="270" t="s">
        <v>2153</v>
      </c>
      <c r="S719" s="117">
        <v>1</v>
      </c>
      <c r="T719" s="117">
        <v>0</v>
      </c>
      <c r="U719" s="117">
        <v>0</v>
      </c>
      <c r="V719" s="117">
        <v>1</v>
      </c>
      <c r="W719" s="117">
        <v>0</v>
      </c>
      <c r="X719" s="117">
        <v>1</v>
      </c>
      <c r="Y719" s="117">
        <v>1</v>
      </c>
      <c r="Z719" s="119" t="s">
        <v>58</v>
      </c>
      <c r="AA719" s="117">
        <v>1</v>
      </c>
      <c r="AB719" s="114">
        <f t="shared" si="204"/>
        <v>1</v>
      </c>
      <c r="AC719" s="114">
        <f t="shared" si="205"/>
        <v>2</v>
      </c>
      <c r="AD719" s="114">
        <f t="shared" si="206"/>
        <v>1</v>
      </c>
      <c r="AE719" s="114">
        <f t="shared" si="207"/>
        <v>6</v>
      </c>
      <c r="AF719" s="116" t="s">
        <v>59</v>
      </c>
      <c r="AG719" s="114">
        <f t="shared" si="208"/>
        <v>1.38011695906433</v>
      </c>
      <c r="AH719" s="114">
        <f t="shared" si="209"/>
        <v>0.452488687782805</v>
      </c>
      <c r="AI719" s="114">
        <f t="shared" si="210"/>
        <v>1.26</v>
      </c>
      <c r="AJ719" s="159">
        <f t="shared" si="211"/>
        <v>10.2126906191771</v>
      </c>
      <c r="AK719" s="160">
        <f t="shared" si="212"/>
        <v>10.2126906191771</v>
      </c>
      <c r="AL719" s="160">
        <f t="shared" si="213"/>
        <v>10.2126906191771</v>
      </c>
      <c r="AM719" s="160">
        <f t="shared" si="214"/>
        <v>135</v>
      </c>
      <c r="AN719" s="117">
        <v>1</v>
      </c>
      <c r="AO719" s="114">
        <v>1</v>
      </c>
      <c r="AP719" s="117">
        <v>1.72</v>
      </c>
      <c r="AQ719" s="117">
        <v>102</v>
      </c>
      <c r="AR719" s="117">
        <v>1.26</v>
      </c>
      <c r="AS719" s="141">
        <v>28</v>
      </c>
      <c r="AT719" s="142">
        <v>23.6</v>
      </c>
      <c r="AU719" s="117">
        <v>40</v>
      </c>
      <c r="AV719" s="117">
        <v>137</v>
      </c>
      <c r="AZ719" s="119" t="s">
        <v>2154</v>
      </c>
    </row>
    <row r="720" spans="1:52">
      <c r="A720" s="117" t="s">
        <v>2148</v>
      </c>
      <c r="B720" s="117" t="s">
        <v>48</v>
      </c>
      <c r="C720" s="117">
        <v>51</v>
      </c>
      <c r="D720" s="135">
        <v>1.72</v>
      </c>
      <c r="E720" s="117">
        <v>60</v>
      </c>
      <c r="F720" s="136">
        <f t="shared" si="203"/>
        <v>20.2812330989724</v>
      </c>
      <c r="G720" s="113">
        <v>1</v>
      </c>
      <c r="H720" s="281">
        <v>45383</v>
      </c>
      <c r="I720" s="158">
        <v>45383</v>
      </c>
      <c r="J720" s="158">
        <v>45395</v>
      </c>
      <c r="L720" s="137">
        <v>2</v>
      </c>
      <c r="M720" s="138">
        <v>12</v>
      </c>
      <c r="N720" s="270" t="s">
        <v>2155</v>
      </c>
      <c r="O720" s="117">
        <v>1</v>
      </c>
      <c r="T720" s="117">
        <v>1</v>
      </c>
      <c r="U720" s="117">
        <v>0</v>
      </c>
      <c r="V720" s="117">
        <v>1</v>
      </c>
      <c r="W720" s="117">
        <v>0</v>
      </c>
      <c r="X720" s="117">
        <v>1</v>
      </c>
      <c r="Y720" s="117">
        <v>1</v>
      </c>
      <c r="Z720" s="119" t="s">
        <v>307</v>
      </c>
      <c r="AA720" s="117">
        <v>3</v>
      </c>
      <c r="AB720" s="114">
        <f t="shared" si="204"/>
        <v>2</v>
      </c>
      <c r="AC720" s="114">
        <f t="shared" si="205"/>
        <v>2</v>
      </c>
      <c r="AD720" s="114">
        <f t="shared" si="206"/>
        <v>1</v>
      </c>
      <c r="AE720" s="114">
        <f t="shared" si="207"/>
        <v>9</v>
      </c>
      <c r="AF720" s="119" t="s">
        <v>63</v>
      </c>
      <c r="AG720" s="114">
        <f t="shared" si="208"/>
        <v>2.69005847953216</v>
      </c>
      <c r="AH720" s="114">
        <f t="shared" si="209"/>
        <v>0.667420814479638</v>
      </c>
      <c r="AI720" s="114">
        <f t="shared" si="210"/>
        <v>1.33</v>
      </c>
      <c r="AJ720" s="159">
        <f t="shared" si="211"/>
        <v>13.3543432983428</v>
      </c>
      <c r="AK720" s="160">
        <f t="shared" si="212"/>
        <v>13.3543432983428</v>
      </c>
      <c r="AL720" s="160">
        <f t="shared" si="213"/>
        <v>13.3543432983428</v>
      </c>
      <c r="AM720" s="160">
        <f t="shared" si="214"/>
        <v>135</v>
      </c>
      <c r="AN720" s="117">
        <v>1</v>
      </c>
      <c r="AO720" s="114">
        <v>1</v>
      </c>
      <c r="AP720" s="117">
        <v>3.08</v>
      </c>
      <c r="AQ720" s="117">
        <v>98</v>
      </c>
      <c r="AR720" s="117">
        <v>1.33</v>
      </c>
      <c r="AS720" s="141">
        <v>31</v>
      </c>
      <c r="AT720" s="142">
        <v>46</v>
      </c>
      <c r="AU720" s="117">
        <v>59</v>
      </c>
      <c r="AV720" s="117">
        <v>142</v>
      </c>
      <c r="AZ720" s="119" t="s">
        <v>2156</v>
      </c>
    </row>
    <row r="721" spans="1:52">
      <c r="A721" s="117" t="s">
        <v>436</v>
      </c>
      <c r="B721" s="117" t="s">
        <v>53</v>
      </c>
      <c r="C721" s="117">
        <v>66</v>
      </c>
      <c r="D721" s="135">
        <v>1.58</v>
      </c>
      <c r="E721" s="117">
        <v>50</v>
      </c>
      <c r="F721" s="136">
        <f t="shared" si="203"/>
        <v>20.0288415318058</v>
      </c>
      <c r="G721" s="113">
        <v>0</v>
      </c>
      <c r="H721" s="281">
        <v>45388</v>
      </c>
      <c r="I721" s="158">
        <v>45388</v>
      </c>
      <c r="J721" s="158">
        <v>45392</v>
      </c>
      <c r="L721" s="137">
        <v>4</v>
      </c>
      <c r="M721" s="138">
        <v>4</v>
      </c>
      <c r="N721" s="270" t="s">
        <v>2157</v>
      </c>
      <c r="Q721" s="117">
        <v>1</v>
      </c>
      <c r="T721" s="117">
        <v>1</v>
      </c>
      <c r="U721" s="117">
        <v>0</v>
      </c>
      <c r="V721" s="117">
        <v>1</v>
      </c>
      <c r="W721" s="117">
        <v>0</v>
      </c>
      <c r="X721" s="117">
        <v>1</v>
      </c>
      <c r="Y721" s="117">
        <v>1</v>
      </c>
      <c r="Z721" s="119" t="s">
        <v>300</v>
      </c>
      <c r="AA721" s="117">
        <v>2</v>
      </c>
      <c r="AB721" s="114">
        <f t="shared" si="204"/>
        <v>1</v>
      </c>
      <c r="AC721" s="114">
        <f t="shared" si="205"/>
        <v>2</v>
      </c>
      <c r="AD721" s="114">
        <f t="shared" si="206"/>
        <v>1</v>
      </c>
      <c r="AE721" s="114">
        <f t="shared" si="207"/>
        <v>7</v>
      </c>
      <c r="AF721" s="119" t="s">
        <v>63</v>
      </c>
      <c r="AG721" s="114">
        <f t="shared" si="208"/>
        <v>1.03508771929825</v>
      </c>
      <c r="AH721" s="114">
        <f t="shared" si="209"/>
        <v>0.599547511312217</v>
      </c>
      <c r="AI721" s="114">
        <f t="shared" si="210"/>
        <v>1.3</v>
      </c>
      <c r="AJ721" s="159">
        <f t="shared" si="211"/>
        <v>9.46952723110634</v>
      </c>
      <c r="AK721" s="160">
        <f t="shared" si="212"/>
        <v>9.46952723110634</v>
      </c>
      <c r="AL721" s="160">
        <f t="shared" si="213"/>
        <v>9.46952723110634</v>
      </c>
      <c r="AM721" s="160">
        <f t="shared" si="214"/>
        <v>135</v>
      </c>
      <c r="AN721" s="117">
        <v>1</v>
      </c>
      <c r="AO721" s="114">
        <v>1</v>
      </c>
      <c r="AP721" s="117">
        <v>2.83</v>
      </c>
      <c r="AQ721" s="117">
        <v>91</v>
      </c>
      <c r="AR721" s="117">
        <v>1.3</v>
      </c>
      <c r="AS721" s="141">
        <v>33</v>
      </c>
      <c r="AT721" s="142">
        <v>17.7</v>
      </c>
      <c r="AU721" s="117">
        <v>53</v>
      </c>
      <c r="AV721" s="117">
        <v>136</v>
      </c>
      <c r="AZ721" s="119" t="s">
        <v>2158</v>
      </c>
    </row>
    <row r="722" spans="1:52">
      <c r="A722" s="117" t="s">
        <v>100</v>
      </c>
      <c r="B722" s="117" t="s">
        <v>53</v>
      </c>
      <c r="C722" s="117">
        <v>62</v>
      </c>
      <c r="D722" s="135">
        <v>1.61</v>
      </c>
      <c r="E722" s="117">
        <v>50</v>
      </c>
      <c r="F722" s="136">
        <f t="shared" si="203"/>
        <v>19.2893792677752</v>
      </c>
      <c r="G722" s="113">
        <v>1</v>
      </c>
      <c r="H722" s="281">
        <v>45388</v>
      </c>
      <c r="I722" s="158">
        <v>45389</v>
      </c>
      <c r="J722" s="158">
        <v>45400</v>
      </c>
      <c r="L722" s="137">
        <v>7</v>
      </c>
      <c r="M722" s="138">
        <v>11</v>
      </c>
      <c r="N722" s="270" t="s">
        <v>2159</v>
      </c>
      <c r="Q722" s="117">
        <v>1</v>
      </c>
      <c r="T722" s="117">
        <v>1</v>
      </c>
      <c r="U722" s="117">
        <v>0</v>
      </c>
      <c r="V722" s="117">
        <v>1</v>
      </c>
      <c r="W722" s="117">
        <v>1</v>
      </c>
      <c r="X722" s="117">
        <v>1</v>
      </c>
      <c r="Y722" s="117">
        <v>1</v>
      </c>
      <c r="Z722" s="119" t="s">
        <v>321</v>
      </c>
      <c r="AA722" s="117">
        <v>3</v>
      </c>
      <c r="AB722" s="114">
        <f t="shared" si="204"/>
        <v>1</v>
      </c>
      <c r="AC722" s="114">
        <f t="shared" si="205"/>
        <v>3</v>
      </c>
      <c r="AD722" s="114">
        <f t="shared" si="206"/>
        <v>1</v>
      </c>
      <c r="AE722" s="114">
        <f t="shared" si="207"/>
        <v>9</v>
      </c>
      <c r="AF722" s="116" t="s">
        <v>63</v>
      </c>
      <c r="AG722" s="114">
        <f t="shared" si="208"/>
        <v>0.953216374269006</v>
      </c>
      <c r="AH722" s="114">
        <f t="shared" si="209"/>
        <v>0.463800904977376</v>
      </c>
      <c r="AI722" s="114">
        <f t="shared" si="210"/>
        <v>1.41</v>
      </c>
      <c r="AJ722" s="159">
        <f t="shared" si="211"/>
        <v>10.2482046891689</v>
      </c>
      <c r="AK722" s="160">
        <f t="shared" si="212"/>
        <v>10.2482046891689</v>
      </c>
      <c r="AL722" s="160">
        <f t="shared" si="213"/>
        <v>10.2482046891689</v>
      </c>
      <c r="AM722" s="160">
        <f t="shared" si="214"/>
        <v>135</v>
      </c>
      <c r="AN722" s="117">
        <v>1</v>
      </c>
      <c r="AO722" s="114">
        <v>1</v>
      </c>
      <c r="AP722" s="117">
        <v>2.29</v>
      </c>
      <c r="AQ722" s="117">
        <v>40</v>
      </c>
      <c r="AR722" s="117">
        <v>1.41</v>
      </c>
      <c r="AS722" s="141">
        <v>27</v>
      </c>
      <c r="AT722" s="142">
        <v>16.3</v>
      </c>
      <c r="AU722" s="117">
        <v>41</v>
      </c>
      <c r="AV722" s="117">
        <v>139</v>
      </c>
      <c r="AZ722" s="119" t="s">
        <v>2160</v>
      </c>
    </row>
    <row r="723" s="125" customFormat="1" ht="16.5" customHeight="1" spans="1:52">
      <c r="A723" s="125" t="s">
        <v>848</v>
      </c>
      <c r="B723" s="125" t="s">
        <v>53</v>
      </c>
      <c r="C723" s="125">
        <v>69</v>
      </c>
      <c r="D723" s="185">
        <v>1.6</v>
      </c>
      <c r="E723" s="125">
        <v>44</v>
      </c>
      <c r="F723" s="136">
        <f t="shared" si="203"/>
        <v>17.1875</v>
      </c>
      <c r="G723" s="272">
        <v>1</v>
      </c>
      <c r="H723" s="296">
        <v>45385</v>
      </c>
      <c r="I723" s="186">
        <v>45385</v>
      </c>
      <c r="J723" s="186">
        <v>45409</v>
      </c>
      <c r="L723" s="187">
        <v>10</v>
      </c>
      <c r="M723" s="187">
        <v>24</v>
      </c>
      <c r="N723" s="314" t="s">
        <v>2161</v>
      </c>
      <c r="Q723" s="131" t="s">
        <v>1083</v>
      </c>
      <c r="R723" s="125">
        <v>1</v>
      </c>
      <c r="T723" s="125">
        <v>1</v>
      </c>
      <c r="U723" s="125">
        <v>0</v>
      </c>
      <c r="V723" s="125">
        <v>1</v>
      </c>
      <c r="W723" s="125">
        <v>0</v>
      </c>
      <c r="X723" s="125">
        <v>1</v>
      </c>
      <c r="Y723" s="125">
        <v>1</v>
      </c>
      <c r="Z723" s="131" t="s">
        <v>307</v>
      </c>
      <c r="AA723" s="125">
        <v>3</v>
      </c>
      <c r="AB723" s="114">
        <f t="shared" si="204"/>
        <v>1</v>
      </c>
      <c r="AC723" s="114">
        <f t="shared" si="205"/>
        <v>2</v>
      </c>
      <c r="AD723" s="114">
        <f t="shared" si="206"/>
        <v>1</v>
      </c>
      <c r="AE723" s="114">
        <f t="shared" si="207"/>
        <v>8</v>
      </c>
      <c r="AF723" s="125" t="s">
        <v>63</v>
      </c>
      <c r="AG723" s="125">
        <f t="shared" si="208"/>
        <v>1.71345029239766</v>
      </c>
      <c r="AH723" s="125">
        <f t="shared" si="209"/>
        <v>1.32352941176471</v>
      </c>
      <c r="AI723" s="125">
        <f t="shared" si="210"/>
        <v>1.4</v>
      </c>
      <c r="AJ723" s="240">
        <f t="shared" si="211"/>
        <v>8.50572231519225</v>
      </c>
      <c r="AK723" s="241">
        <f t="shared" si="212"/>
        <v>8.50572231519225</v>
      </c>
      <c r="AL723" s="241">
        <f t="shared" si="213"/>
        <v>10.0957223151923</v>
      </c>
      <c r="AM723" s="241">
        <f t="shared" si="214"/>
        <v>134</v>
      </c>
      <c r="AN723" s="125">
        <v>0</v>
      </c>
      <c r="AO723" s="125">
        <v>1</v>
      </c>
      <c r="AP723" s="125">
        <v>5.14</v>
      </c>
      <c r="AQ723" s="125">
        <v>79</v>
      </c>
      <c r="AR723" s="125">
        <v>1.4</v>
      </c>
      <c r="AS723" s="241">
        <v>30</v>
      </c>
      <c r="AT723" s="242">
        <v>29.3</v>
      </c>
      <c r="AU723" s="125">
        <v>117</v>
      </c>
      <c r="AV723" s="125">
        <v>134</v>
      </c>
      <c r="AZ723" s="131" t="s">
        <v>2162</v>
      </c>
    </row>
    <row r="724" spans="1:52">
      <c r="A724" s="117" t="s">
        <v>2163</v>
      </c>
      <c r="B724" s="117" t="s">
        <v>48</v>
      </c>
      <c r="C724" s="117">
        <v>75</v>
      </c>
      <c r="D724" s="135">
        <v>1.72</v>
      </c>
      <c r="E724" s="117">
        <v>49</v>
      </c>
      <c r="F724" s="136">
        <f t="shared" ref="F724:F747" si="215">E724/(D724*D724)</f>
        <v>16.5630070308275</v>
      </c>
      <c r="G724" s="113">
        <v>3</v>
      </c>
      <c r="H724" s="281">
        <v>45398</v>
      </c>
      <c r="I724" s="158">
        <v>45392</v>
      </c>
      <c r="J724" s="158">
        <v>45399</v>
      </c>
      <c r="L724" s="137">
        <v>1</v>
      </c>
      <c r="M724" s="138">
        <v>7</v>
      </c>
      <c r="N724" s="270" t="s">
        <v>2164</v>
      </c>
      <c r="Q724" s="119" t="s">
        <v>1083</v>
      </c>
      <c r="T724" s="117">
        <v>1</v>
      </c>
      <c r="U724" s="117">
        <v>0</v>
      </c>
      <c r="V724" s="117">
        <v>1</v>
      </c>
      <c r="W724" s="117">
        <v>1</v>
      </c>
      <c r="X724" s="117">
        <v>1</v>
      </c>
      <c r="Y724" s="117">
        <v>1</v>
      </c>
      <c r="Z724" s="119" t="s">
        <v>307</v>
      </c>
      <c r="AA724" s="117">
        <v>3</v>
      </c>
      <c r="AB724" s="114">
        <f t="shared" si="204"/>
        <v>1</v>
      </c>
      <c r="AC724" s="114">
        <f t="shared" si="205"/>
        <v>3</v>
      </c>
      <c r="AD724" s="114">
        <f t="shared" si="206"/>
        <v>1</v>
      </c>
      <c r="AE724" s="114">
        <f t="shared" si="207"/>
        <v>9</v>
      </c>
      <c r="AF724" s="116" t="s">
        <v>63</v>
      </c>
      <c r="AG724" s="114">
        <f t="shared" ref="AG724:AG747" si="216">AT724/17.1</f>
        <v>0.374269005847953</v>
      </c>
      <c r="AH724" s="114">
        <f t="shared" ref="AH724:AH747" si="217">AU724/88.4</f>
        <v>1.30090497737557</v>
      </c>
      <c r="AI724" s="114">
        <f t="shared" ref="AI724:AI747" si="218">AR724</f>
        <v>1.37</v>
      </c>
      <c r="AJ724" s="159">
        <f t="shared" si="211"/>
        <v>12.451257809917</v>
      </c>
      <c r="AK724" s="160">
        <f t="shared" si="212"/>
        <v>12.451257809917</v>
      </c>
      <c r="AL724" s="160">
        <f t="shared" si="213"/>
        <v>14.041257809917</v>
      </c>
      <c r="AM724" s="160">
        <f t="shared" si="214"/>
        <v>134</v>
      </c>
      <c r="AN724" s="117">
        <v>1</v>
      </c>
      <c r="AO724" s="114">
        <v>1</v>
      </c>
      <c r="AP724" s="117">
        <v>4.48</v>
      </c>
      <c r="AQ724" s="117">
        <v>111</v>
      </c>
      <c r="AR724" s="117">
        <v>1.37</v>
      </c>
      <c r="AS724" s="141">
        <v>27</v>
      </c>
      <c r="AT724" s="142">
        <v>6.4</v>
      </c>
      <c r="AU724" s="117">
        <v>115</v>
      </c>
      <c r="AV724" s="117">
        <v>134</v>
      </c>
      <c r="AZ724" s="119" t="s">
        <v>2165</v>
      </c>
    </row>
    <row r="725" spans="1:52">
      <c r="A725" s="119" t="s">
        <v>2166</v>
      </c>
      <c r="B725" s="117" t="s">
        <v>53</v>
      </c>
      <c r="C725" s="117">
        <v>66</v>
      </c>
      <c r="D725" s="135">
        <v>1.6</v>
      </c>
      <c r="E725" s="117">
        <v>60</v>
      </c>
      <c r="F725" s="136">
        <f t="shared" si="215"/>
        <v>23.4375</v>
      </c>
      <c r="G725" s="113">
        <v>2</v>
      </c>
      <c r="H725" s="281">
        <v>45394</v>
      </c>
      <c r="I725" s="158">
        <v>45394</v>
      </c>
      <c r="J725" s="158">
        <v>45405</v>
      </c>
      <c r="L725" s="137">
        <v>2</v>
      </c>
      <c r="M725" s="138">
        <v>11</v>
      </c>
      <c r="N725" s="270" t="s">
        <v>2167</v>
      </c>
      <c r="O725" s="117">
        <v>1</v>
      </c>
      <c r="T725" s="117">
        <v>1</v>
      </c>
      <c r="U725" s="117">
        <v>0</v>
      </c>
      <c r="V725" s="117">
        <v>0</v>
      </c>
      <c r="W725" s="117">
        <v>0</v>
      </c>
      <c r="X725" s="117">
        <v>1</v>
      </c>
      <c r="Y725" s="117">
        <v>1</v>
      </c>
      <c r="Z725" s="119" t="s">
        <v>321</v>
      </c>
      <c r="AA725" s="117">
        <v>3</v>
      </c>
      <c r="AB725" s="114">
        <f t="shared" si="204"/>
        <v>1</v>
      </c>
      <c r="AC725" s="114">
        <f t="shared" si="205"/>
        <v>3</v>
      </c>
      <c r="AD725" s="114">
        <f t="shared" si="206"/>
        <v>1</v>
      </c>
      <c r="AE725" s="114">
        <f t="shared" si="207"/>
        <v>9</v>
      </c>
      <c r="AF725" s="119" t="s">
        <v>63</v>
      </c>
      <c r="AG725" s="114">
        <f t="shared" si="216"/>
        <v>1.47953216374269</v>
      </c>
      <c r="AH725" s="114">
        <f t="shared" si="217"/>
        <v>0.599547511312217</v>
      </c>
      <c r="AI725" s="114">
        <f t="shared" si="218"/>
        <v>1.33</v>
      </c>
      <c r="AJ725" s="159">
        <f t="shared" ref="AJ725:AJ747" si="219">LN(IF(AG725&gt;=1,AG725,1))*3.8+LN(IF(AH725&gt;=1,AH725,1))*9.6+11.2*LN(IF(AI725&gt;=1,AI725,1))+6.4*AN725</f>
        <v>11.0825626954715</v>
      </c>
      <c r="AK725" s="160">
        <f t="shared" ref="AK725:AK747" si="220">IF(AND(AG725&gt;0,AH725&gt;0,AI725&gt;0),AJ725,"")</f>
        <v>11.0825626954715</v>
      </c>
      <c r="AL725" s="160">
        <f t="shared" ref="AL725:AL747" si="221">AK725+1.59*(135-AM725)</f>
        <v>11.0825626954715</v>
      </c>
      <c r="AM725" s="160">
        <f t="shared" ref="AM725:AM743" si="222">IF(AV725&gt;135,135,IF(AV725&lt;120,120,AV725))</f>
        <v>135</v>
      </c>
      <c r="AN725" s="117">
        <v>1</v>
      </c>
      <c r="AO725" s="117">
        <v>1</v>
      </c>
      <c r="AP725" s="117">
        <v>2.63</v>
      </c>
      <c r="AQ725" s="117">
        <v>91</v>
      </c>
      <c r="AR725" s="117">
        <v>1.33</v>
      </c>
      <c r="AS725" s="141">
        <v>27</v>
      </c>
      <c r="AT725" s="142">
        <v>25.3</v>
      </c>
      <c r="AU725" s="117">
        <v>53</v>
      </c>
      <c r="AV725" s="117">
        <v>140</v>
      </c>
      <c r="AZ725" s="119" t="s">
        <v>2168</v>
      </c>
    </row>
    <row r="726" spans="1:52">
      <c r="A726" s="117" t="s">
        <v>2169</v>
      </c>
      <c r="B726" s="117" t="s">
        <v>48</v>
      </c>
      <c r="C726" s="117">
        <v>65</v>
      </c>
      <c r="D726" s="135">
        <v>1.7</v>
      </c>
      <c r="E726" s="117">
        <v>65</v>
      </c>
      <c r="F726" s="136">
        <f t="shared" si="215"/>
        <v>22.4913494809689</v>
      </c>
      <c r="G726" s="113">
        <v>6</v>
      </c>
      <c r="H726" s="281">
        <v>45401</v>
      </c>
      <c r="I726" s="158">
        <v>45401</v>
      </c>
      <c r="J726" s="158">
        <v>45411</v>
      </c>
      <c r="L726" s="137">
        <v>1</v>
      </c>
      <c r="M726" s="138">
        <v>10</v>
      </c>
      <c r="N726" s="270" t="s">
        <v>2170</v>
      </c>
      <c r="P726" s="117">
        <v>1</v>
      </c>
      <c r="T726" s="117">
        <v>0</v>
      </c>
      <c r="U726" s="117">
        <v>0</v>
      </c>
      <c r="V726" s="117">
        <v>0</v>
      </c>
      <c r="W726" s="117">
        <v>0</v>
      </c>
      <c r="X726" s="117">
        <v>0</v>
      </c>
      <c r="Y726" s="117">
        <v>1</v>
      </c>
      <c r="Z726" s="119" t="s">
        <v>58</v>
      </c>
      <c r="AA726" s="117">
        <v>1</v>
      </c>
      <c r="AB726" s="114">
        <f t="shared" ref="AB726:AB735" si="223">_xlfn.IFS(AT726&gt;51,3,AT726&gt;=34,2,AT726&lt;34,1)</f>
        <v>1</v>
      </c>
      <c r="AC726" s="114">
        <f t="shared" ref="AC726:AC735" si="224">_xlfn.IFS(AS726&gt;35,1,AS726&gt;=28,2,AS726&lt;28,3)</f>
        <v>3</v>
      </c>
      <c r="AD726" s="114">
        <f t="shared" ref="AD726:AD735" si="225">_xlfn.IFS(AR726&gt;2.3,3,AR726&gt;=1.7,2,AR726&lt;1.7,1)</f>
        <v>1</v>
      </c>
      <c r="AE726" s="114">
        <f t="shared" ref="AE726:AE735" si="226">Y726+AA726+AB726+AC726+AD726</f>
        <v>7</v>
      </c>
      <c r="AF726" s="119" t="s">
        <v>63</v>
      </c>
      <c r="AG726" s="114">
        <f t="shared" si="216"/>
        <v>0.812865497076023</v>
      </c>
      <c r="AH726" s="114">
        <f t="shared" si="217"/>
        <v>0.769230769230769</v>
      </c>
      <c r="AI726" s="114">
        <f t="shared" si="218"/>
        <v>1.1</v>
      </c>
      <c r="AJ726" s="159">
        <f t="shared" si="219"/>
        <v>1.06747401380844</v>
      </c>
      <c r="AK726" s="160">
        <f t="shared" si="220"/>
        <v>1.06747401380844</v>
      </c>
      <c r="AL726" s="160">
        <f t="shared" si="221"/>
        <v>1.06747401380844</v>
      </c>
      <c r="AM726" s="160">
        <f t="shared" si="222"/>
        <v>135</v>
      </c>
      <c r="AN726" s="117">
        <v>0</v>
      </c>
      <c r="AO726" s="117">
        <v>1</v>
      </c>
      <c r="AP726" s="117">
        <v>4.1</v>
      </c>
      <c r="AQ726" s="117">
        <v>72</v>
      </c>
      <c r="AR726" s="117">
        <v>1.1</v>
      </c>
      <c r="AS726" s="141">
        <v>26</v>
      </c>
      <c r="AT726" s="142">
        <v>13.9</v>
      </c>
      <c r="AU726" s="117">
        <v>68</v>
      </c>
      <c r="AV726" s="117">
        <v>147</v>
      </c>
      <c r="AZ726" s="119" t="s">
        <v>2171</v>
      </c>
    </row>
    <row r="727" spans="1:52">
      <c r="A727" s="117" t="s">
        <v>2172</v>
      </c>
      <c r="B727" s="117" t="s">
        <v>53</v>
      </c>
      <c r="C727" s="117">
        <v>61</v>
      </c>
      <c r="D727" s="135">
        <v>1.6</v>
      </c>
      <c r="E727" s="117">
        <v>55</v>
      </c>
      <c r="F727" s="136">
        <f t="shared" si="215"/>
        <v>21.484375</v>
      </c>
      <c r="G727" s="113">
        <v>1</v>
      </c>
      <c r="H727" s="281">
        <v>45400</v>
      </c>
      <c r="I727" s="158">
        <v>45400</v>
      </c>
      <c r="J727" s="158">
        <v>45408</v>
      </c>
      <c r="L727" s="137">
        <v>1</v>
      </c>
      <c r="M727" s="138">
        <v>8</v>
      </c>
      <c r="N727" s="270" t="s">
        <v>2173</v>
      </c>
      <c r="S727" s="117">
        <v>1</v>
      </c>
      <c r="T727" s="117">
        <v>0</v>
      </c>
      <c r="U727" s="117">
        <v>0</v>
      </c>
      <c r="V727" s="117">
        <v>1</v>
      </c>
      <c r="W727" s="117">
        <v>0</v>
      </c>
      <c r="X727" s="117">
        <v>1</v>
      </c>
      <c r="Y727" s="117">
        <v>1</v>
      </c>
      <c r="Z727" s="119" t="s">
        <v>58</v>
      </c>
      <c r="AA727" s="117">
        <v>1</v>
      </c>
      <c r="AB727" s="114">
        <f t="shared" si="223"/>
        <v>1</v>
      </c>
      <c r="AC727" s="114">
        <f t="shared" si="224"/>
        <v>3</v>
      </c>
      <c r="AD727" s="114">
        <f t="shared" si="225"/>
        <v>1</v>
      </c>
      <c r="AE727" s="114">
        <f t="shared" si="226"/>
        <v>7</v>
      </c>
      <c r="AF727" s="119" t="s">
        <v>63</v>
      </c>
      <c r="AG727" s="114">
        <f t="shared" si="216"/>
        <v>1.38011695906433</v>
      </c>
      <c r="AH727" s="114">
        <f t="shared" si="217"/>
        <v>0.305429864253394</v>
      </c>
      <c r="AI727" s="114">
        <f t="shared" si="218"/>
        <v>1.64</v>
      </c>
      <c r="AJ727" s="159">
        <f t="shared" si="219"/>
        <v>13.1648372529516</v>
      </c>
      <c r="AK727" s="160">
        <f t="shared" si="220"/>
        <v>13.1648372529516</v>
      </c>
      <c r="AL727" s="160">
        <f t="shared" si="221"/>
        <v>13.1648372529516</v>
      </c>
      <c r="AM727" s="160">
        <f t="shared" si="222"/>
        <v>135</v>
      </c>
      <c r="AN727" s="117">
        <v>1</v>
      </c>
      <c r="AO727" s="117">
        <v>1</v>
      </c>
      <c r="AP727" s="117">
        <v>3.66</v>
      </c>
      <c r="AQ727" s="117">
        <v>64</v>
      </c>
      <c r="AR727" s="117">
        <v>1.64</v>
      </c>
      <c r="AS727" s="141">
        <v>23</v>
      </c>
      <c r="AT727" s="142">
        <v>23.6</v>
      </c>
      <c r="AU727" s="117">
        <v>27</v>
      </c>
      <c r="AV727" s="117">
        <v>141</v>
      </c>
      <c r="AZ727" s="119" t="s">
        <v>2174</v>
      </c>
    </row>
    <row r="728" s="125" customFormat="1" spans="1:52">
      <c r="A728" s="125" t="s">
        <v>2175</v>
      </c>
      <c r="B728" s="125" t="s">
        <v>53</v>
      </c>
      <c r="C728" s="125">
        <v>67</v>
      </c>
      <c r="D728" s="185">
        <v>1.57</v>
      </c>
      <c r="E728" s="125">
        <v>60</v>
      </c>
      <c r="F728" s="136">
        <f t="shared" si="215"/>
        <v>24.3417582863402</v>
      </c>
      <c r="G728" s="272">
        <v>5</v>
      </c>
      <c r="H728" s="296">
        <v>45400</v>
      </c>
      <c r="I728" s="186">
        <v>45400</v>
      </c>
      <c r="J728" s="186">
        <v>45411</v>
      </c>
      <c r="L728" s="187">
        <v>1</v>
      </c>
      <c r="M728" s="187">
        <v>11</v>
      </c>
      <c r="N728" s="248" t="s">
        <v>2176</v>
      </c>
      <c r="Q728" s="131" t="s">
        <v>1083</v>
      </c>
      <c r="T728" s="125">
        <v>0</v>
      </c>
      <c r="U728" s="125">
        <v>0</v>
      </c>
      <c r="V728" s="125">
        <v>1</v>
      </c>
      <c r="W728" s="125">
        <v>0</v>
      </c>
      <c r="X728" s="125">
        <v>1</v>
      </c>
      <c r="Y728" s="125">
        <v>1</v>
      </c>
      <c r="Z728" s="131" t="s">
        <v>58</v>
      </c>
      <c r="AA728" s="125">
        <v>1</v>
      </c>
      <c r="AB728" s="114">
        <f t="shared" si="223"/>
        <v>3</v>
      </c>
      <c r="AC728" s="114">
        <f t="shared" si="224"/>
        <v>3</v>
      </c>
      <c r="AD728" s="114">
        <f t="shared" si="225"/>
        <v>1</v>
      </c>
      <c r="AE728" s="114">
        <f t="shared" si="226"/>
        <v>9</v>
      </c>
      <c r="AF728" s="131" t="s">
        <v>63</v>
      </c>
      <c r="AG728" s="125">
        <f t="shared" si="216"/>
        <v>7.03508771929824</v>
      </c>
      <c r="AH728" s="125">
        <f t="shared" si="217"/>
        <v>0.520361990950226</v>
      </c>
      <c r="AI728" s="125">
        <f t="shared" si="218"/>
        <v>1.28</v>
      </c>
      <c r="AJ728" s="240">
        <f t="shared" si="219"/>
        <v>16.5782914788268</v>
      </c>
      <c r="AK728" s="241">
        <f t="shared" si="220"/>
        <v>16.5782914788268</v>
      </c>
      <c r="AL728" s="241">
        <f t="shared" si="221"/>
        <v>29.2982914788268</v>
      </c>
      <c r="AM728" s="241">
        <f t="shared" si="222"/>
        <v>127</v>
      </c>
      <c r="AN728" s="125">
        <v>1</v>
      </c>
      <c r="AO728" s="125">
        <v>2</v>
      </c>
      <c r="AP728" s="125">
        <v>3.14</v>
      </c>
      <c r="AQ728" s="125">
        <v>114</v>
      </c>
      <c r="AR728" s="125">
        <v>1.28</v>
      </c>
      <c r="AS728" s="241">
        <v>26</v>
      </c>
      <c r="AT728" s="242">
        <v>120.3</v>
      </c>
      <c r="AU728" s="125">
        <v>46</v>
      </c>
      <c r="AV728" s="125">
        <v>127</v>
      </c>
      <c r="AZ728" s="131" t="s">
        <v>2177</v>
      </c>
    </row>
    <row r="729" spans="1:52">
      <c r="A729" s="119" t="s">
        <v>2178</v>
      </c>
      <c r="B729" s="117" t="s">
        <v>53</v>
      </c>
      <c r="C729" s="117">
        <v>82</v>
      </c>
      <c r="D729" s="135">
        <v>1.53</v>
      </c>
      <c r="E729" s="117">
        <v>49</v>
      </c>
      <c r="F729" s="136">
        <f t="shared" si="215"/>
        <v>20.9321201247383</v>
      </c>
      <c r="G729" s="113">
        <v>5</v>
      </c>
      <c r="H729" s="281">
        <v>45410</v>
      </c>
      <c r="I729" s="158">
        <v>45410</v>
      </c>
      <c r="J729" s="158">
        <v>45419</v>
      </c>
      <c r="L729" s="137">
        <v>1</v>
      </c>
      <c r="M729" s="138">
        <v>9</v>
      </c>
      <c r="N729" s="270" t="s">
        <v>2179</v>
      </c>
      <c r="Q729" s="117">
        <v>1</v>
      </c>
      <c r="T729" s="117">
        <v>1</v>
      </c>
      <c r="U729" s="117">
        <v>0</v>
      </c>
      <c r="V729" s="117">
        <v>0</v>
      </c>
      <c r="W729" s="117">
        <v>0</v>
      </c>
      <c r="X729" s="117">
        <v>0</v>
      </c>
      <c r="Y729" s="117">
        <v>1</v>
      </c>
      <c r="Z729" s="119" t="s">
        <v>321</v>
      </c>
      <c r="AA729" s="117">
        <v>3</v>
      </c>
      <c r="AB729" s="114">
        <f t="shared" si="223"/>
        <v>1</v>
      </c>
      <c r="AC729" s="114">
        <f t="shared" si="224"/>
        <v>2</v>
      </c>
      <c r="AD729" s="114">
        <f t="shared" si="225"/>
        <v>1</v>
      </c>
      <c r="AE729" s="114">
        <f t="shared" si="226"/>
        <v>8</v>
      </c>
      <c r="AF729" s="119" t="s">
        <v>63</v>
      </c>
      <c r="AG729" s="114">
        <f t="shared" si="216"/>
        <v>0.865497076023392</v>
      </c>
      <c r="AH729" s="114">
        <f t="shared" si="217"/>
        <v>0.712669683257918</v>
      </c>
      <c r="AI729" s="114">
        <f t="shared" si="218"/>
        <v>1.4</v>
      </c>
      <c r="AJ729" s="159">
        <f t="shared" si="219"/>
        <v>10.1684890501576</v>
      </c>
      <c r="AK729" s="160">
        <f t="shared" si="220"/>
        <v>10.1684890501576</v>
      </c>
      <c r="AL729" s="160">
        <f t="shared" si="221"/>
        <v>10.1684890501576</v>
      </c>
      <c r="AM729" s="160">
        <f t="shared" si="222"/>
        <v>135</v>
      </c>
      <c r="AN729" s="117">
        <v>1</v>
      </c>
      <c r="AO729" s="117">
        <v>1</v>
      </c>
      <c r="AP729" s="117">
        <v>2.66</v>
      </c>
      <c r="AQ729" s="117">
        <v>51</v>
      </c>
      <c r="AR729" s="117">
        <v>1.4</v>
      </c>
      <c r="AS729" s="141">
        <v>33</v>
      </c>
      <c r="AT729" s="142">
        <v>14.8</v>
      </c>
      <c r="AU729" s="117">
        <v>63</v>
      </c>
      <c r="AV729" s="117">
        <v>138</v>
      </c>
      <c r="AZ729" s="119" t="s">
        <v>2180</v>
      </c>
    </row>
    <row r="730" spans="1:52">
      <c r="A730" s="117" t="s">
        <v>577</v>
      </c>
      <c r="B730" s="117" t="s">
        <v>48</v>
      </c>
      <c r="C730" s="117">
        <v>82</v>
      </c>
      <c r="D730" s="135">
        <v>1.65</v>
      </c>
      <c r="E730" s="117">
        <v>65</v>
      </c>
      <c r="F730" s="136">
        <f t="shared" si="215"/>
        <v>23.8751147842057</v>
      </c>
      <c r="G730" s="113">
        <v>1</v>
      </c>
      <c r="H730" s="281">
        <v>45410</v>
      </c>
      <c r="I730" s="158">
        <v>45410</v>
      </c>
      <c r="J730" s="158">
        <v>45416</v>
      </c>
      <c r="L730" s="137">
        <v>9</v>
      </c>
      <c r="M730" s="138">
        <v>6</v>
      </c>
      <c r="N730" s="270" t="s">
        <v>2181</v>
      </c>
      <c r="S730" s="117">
        <v>1</v>
      </c>
      <c r="T730" s="117">
        <v>0</v>
      </c>
      <c r="U730" s="117">
        <v>0</v>
      </c>
      <c r="V730" s="117">
        <v>1</v>
      </c>
      <c r="W730" s="117">
        <v>0</v>
      </c>
      <c r="X730" s="117">
        <v>1</v>
      </c>
      <c r="Y730" s="117">
        <v>1</v>
      </c>
      <c r="Z730" s="119" t="s">
        <v>58</v>
      </c>
      <c r="AA730" s="117">
        <v>1</v>
      </c>
      <c r="AB730" s="114">
        <f t="shared" si="223"/>
        <v>1</v>
      </c>
      <c r="AC730" s="114">
        <f t="shared" si="224"/>
        <v>2</v>
      </c>
      <c r="AD730" s="114">
        <f t="shared" si="225"/>
        <v>1</v>
      </c>
      <c r="AE730" s="114">
        <f t="shared" si="226"/>
        <v>6</v>
      </c>
      <c r="AF730" s="119" t="s">
        <v>59</v>
      </c>
      <c r="AG730" s="114">
        <f t="shared" si="216"/>
        <v>0.60233918128655</v>
      </c>
      <c r="AH730" s="114">
        <f t="shared" si="217"/>
        <v>0.690045248868778</v>
      </c>
      <c r="AI730" s="114">
        <f t="shared" si="218"/>
        <v>1.22</v>
      </c>
      <c r="AJ730" s="159">
        <f t="shared" si="219"/>
        <v>8.62712961794585</v>
      </c>
      <c r="AK730" s="160">
        <f t="shared" si="220"/>
        <v>8.62712961794585</v>
      </c>
      <c r="AL730" s="160">
        <f t="shared" si="221"/>
        <v>8.62712961794585</v>
      </c>
      <c r="AM730" s="160">
        <f t="shared" si="222"/>
        <v>135</v>
      </c>
      <c r="AN730" s="117">
        <v>1</v>
      </c>
      <c r="AO730" s="117">
        <v>1</v>
      </c>
      <c r="AP730" s="117">
        <v>2.55</v>
      </c>
      <c r="AQ730" s="117">
        <v>91</v>
      </c>
      <c r="AR730" s="117">
        <v>1.22</v>
      </c>
      <c r="AS730" s="141">
        <v>34</v>
      </c>
      <c r="AT730" s="142">
        <v>10.3</v>
      </c>
      <c r="AU730" s="117">
        <v>61</v>
      </c>
      <c r="AV730" s="117">
        <v>138</v>
      </c>
      <c r="AZ730" s="119" t="s">
        <v>2182</v>
      </c>
    </row>
    <row r="731" spans="1:52">
      <c r="A731" s="119" t="s">
        <v>2183</v>
      </c>
      <c r="B731" s="117" t="s">
        <v>48</v>
      </c>
      <c r="C731" s="117">
        <v>43</v>
      </c>
      <c r="D731" s="135">
        <v>1.8</v>
      </c>
      <c r="E731" s="117">
        <v>100</v>
      </c>
      <c r="F731" s="136">
        <f t="shared" si="215"/>
        <v>30.8641975308642</v>
      </c>
      <c r="G731" s="113">
        <v>7</v>
      </c>
      <c r="H731" s="281">
        <v>45419</v>
      </c>
      <c r="I731" s="158">
        <v>45421</v>
      </c>
      <c r="J731" s="158">
        <v>45425</v>
      </c>
      <c r="L731" s="137">
        <v>1</v>
      </c>
      <c r="M731" s="138">
        <v>4</v>
      </c>
      <c r="N731" s="270" t="s">
        <v>2184</v>
      </c>
      <c r="P731" s="117">
        <v>1</v>
      </c>
      <c r="T731" s="117">
        <v>1</v>
      </c>
      <c r="U731" s="117">
        <v>0</v>
      </c>
      <c r="V731" s="117">
        <v>1</v>
      </c>
      <c r="W731" s="117">
        <v>0</v>
      </c>
      <c r="X731" s="117">
        <v>1</v>
      </c>
      <c r="Y731" s="117">
        <v>1</v>
      </c>
      <c r="Z731" s="119" t="s">
        <v>1376</v>
      </c>
      <c r="AA731" s="117">
        <v>2</v>
      </c>
      <c r="AB731" s="114">
        <f t="shared" si="223"/>
        <v>3</v>
      </c>
      <c r="AC731" s="114">
        <f t="shared" si="224"/>
        <v>3</v>
      </c>
      <c r="AD731" s="114">
        <f t="shared" si="225"/>
        <v>2</v>
      </c>
      <c r="AE731" s="114">
        <f t="shared" si="226"/>
        <v>11</v>
      </c>
      <c r="AF731" s="119" t="s">
        <v>50</v>
      </c>
      <c r="AG731" s="114">
        <f t="shared" si="216"/>
        <v>5.81286549707602</v>
      </c>
      <c r="AH731" s="114">
        <f t="shared" si="217"/>
        <v>0.927601809954751</v>
      </c>
      <c r="AI731" s="114">
        <f t="shared" si="218"/>
        <v>2.22</v>
      </c>
      <c r="AJ731" s="159">
        <f t="shared" si="219"/>
        <v>15.6203604644878</v>
      </c>
      <c r="AK731" s="160">
        <f t="shared" si="220"/>
        <v>15.6203604644878</v>
      </c>
      <c r="AL731" s="160">
        <f t="shared" si="221"/>
        <v>15.6203604644878</v>
      </c>
      <c r="AM731" s="160">
        <f t="shared" si="222"/>
        <v>135</v>
      </c>
      <c r="AN731" s="117">
        <v>0</v>
      </c>
      <c r="AO731" s="117">
        <v>2</v>
      </c>
      <c r="AP731" s="117">
        <v>2.31</v>
      </c>
      <c r="AQ731" s="117">
        <v>105</v>
      </c>
      <c r="AR731" s="117">
        <v>2.22</v>
      </c>
      <c r="AS731" s="141">
        <v>26</v>
      </c>
      <c r="AT731" s="142">
        <v>99.4</v>
      </c>
      <c r="AU731" s="117">
        <v>82</v>
      </c>
      <c r="AV731" s="117">
        <v>139</v>
      </c>
      <c r="AZ731" s="119" t="s">
        <v>2185</v>
      </c>
    </row>
    <row r="732" spans="1:52">
      <c r="A732" s="119" t="s">
        <v>2186</v>
      </c>
      <c r="B732" s="117" t="s">
        <v>53</v>
      </c>
      <c r="C732" s="117">
        <v>81</v>
      </c>
      <c r="D732" s="135">
        <v>1.53</v>
      </c>
      <c r="E732" s="117">
        <v>71</v>
      </c>
      <c r="F732" s="136">
        <f t="shared" si="215"/>
        <v>30.3302148746209</v>
      </c>
      <c r="G732" s="113">
        <v>2</v>
      </c>
      <c r="H732" s="281">
        <v>45425</v>
      </c>
      <c r="I732" s="158">
        <v>45425</v>
      </c>
      <c r="J732" s="158">
        <v>45440</v>
      </c>
      <c r="L732" s="137">
        <v>2</v>
      </c>
      <c r="M732" s="138">
        <v>15</v>
      </c>
      <c r="N732" s="270" t="s">
        <v>2187</v>
      </c>
      <c r="S732" s="117">
        <v>1</v>
      </c>
      <c r="T732" s="117">
        <v>1</v>
      </c>
      <c r="U732" s="117">
        <v>0</v>
      </c>
      <c r="V732" s="117">
        <v>1</v>
      </c>
      <c r="W732" s="117">
        <v>0</v>
      </c>
      <c r="X732" s="117">
        <v>1</v>
      </c>
      <c r="Y732" s="117">
        <v>1</v>
      </c>
      <c r="Z732" s="119" t="s">
        <v>321</v>
      </c>
      <c r="AA732" s="117">
        <v>3</v>
      </c>
      <c r="AB732" s="114">
        <f t="shared" si="223"/>
        <v>1</v>
      </c>
      <c r="AC732" s="114">
        <f t="shared" si="224"/>
        <v>2</v>
      </c>
      <c r="AD732" s="114">
        <f t="shared" si="225"/>
        <v>1</v>
      </c>
      <c r="AE732" s="114">
        <f t="shared" si="226"/>
        <v>8</v>
      </c>
      <c r="AF732" s="119" t="s">
        <v>63</v>
      </c>
      <c r="AG732" s="114">
        <f t="shared" si="216"/>
        <v>0.871345029239766</v>
      </c>
      <c r="AH732" s="114">
        <f t="shared" si="217"/>
        <v>0.531674208144796</v>
      </c>
      <c r="AI732" s="114">
        <f t="shared" si="218"/>
        <v>1.13</v>
      </c>
      <c r="AJ732" s="159">
        <f t="shared" si="219"/>
        <v>7.76883748651159</v>
      </c>
      <c r="AK732" s="160">
        <f t="shared" si="220"/>
        <v>7.76883748651159</v>
      </c>
      <c r="AL732" s="160">
        <f t="shared" si="221"/>
        <v>7.76883748651159</v>
      </c>
      <c r="AM732" s="160">
        <f t="shared" si="222"/>
        <v>135</v>
      </c>
      <c r="AN732" s="117">
        <v>1</v>
      </c>
      <c r="AO732" s="117">
        <v>1</v>
      </c>
      <c r="AP732" s="119">
        <v>4.41</v>
      </c>
      <c r="AQ732" s="117">
        <v>93</v>
      </c>
      <c r="AR732" s="117">
        <v>1.13</v>
      </c>
      <c r="AS732" s="141">
        <v>33</v>
      </c>
      <c r="AT732" s="142">
        <v>14.9</v>
      </c>
      <c r="AU732" s="117">
        <v>47</v>
      </c>
      <c r="AV732" s="117">
        <v>136</v>
      </c>
      <c r="AZ732" s="119" t="s">
        <v>2188</v>
      </c>
    </row>
    <row r="733" spans="1:52">
      <c r="A733" s="119" t="s">
        <v>2189</v>
      </c>
      <c r="B733" s="117" t="s">
        <v>53</v>
      </c>
      <c r="C733" s="117">
        <v>68</v>
      </c>
      <c r="D733" s="135">
        <v>1.61</v>
      </c>
      <c r="E733" s="117">
        <v>57.5</v>
      </c>
      <c r="F733" s="136">
        <f t="shared" si="215"/>
        <v>22.1827861579414</v>
      </c>
      <c r="G733" s="113">
        <v>5</v>
      </c>
      <c r="H733" s="281">
        <v>45425</v>
      </c>
      <c r="I733" s="158">
        <v>45421</v>
      </c>
      <c r="J733" s="158">
        <v>45437</v>
      </c>
      <c r="L733" s="137">
        <v>1</v>
      </c>
      <c r="M733" s="138">
        <v>16</v>
      </c>
      <c r="N733" s="270" t="s">
        <v>2190</v>
      </c>
      <c r="R733" s="117">
        <v>1</v>
      </c>
      <c r="T733" s="117">
        <v>1</v>
      </c>
      <c r="U733" s="117">
        <v>0</v>
      </c>
      <c r="V733" s="117">
        <v>1</v>
      </c>
      <c r="W733" s="117">
        <v>0</v>
      </c>
      <c r="X733" s="117">
        <v>1</v>
      </c>
      <c r="Y733" s="117">
        <v>1</v>
      </c>
      <c r="Z733" s="119" t="s">
        <v>321</v>
      </c>
      <c r="AA733" s="117">
        <v>3</v>
      </c>
      <c r="AB733" s="114">
        <f t="shared" si="223"/>
        <v>2</v>
      </c>
      <c r="AC733" s="114">
        <f t="shared" si="224"/>
        <v>3</v>
      </c>
      <c r="AD733" s="114">
        <f t="shared" si="225"/>
        <v>1</v>
      </c>
      <c r="AE733" s="114">
        <f t="shared" si="226"/>
        <v>10</v>
      </c>
      <c r="AF733" s="119" t="s">
        <v>50</v>
      </c>
      <c r="AG733" s="114">
        <f t="shared" si="216"/>
        <v>2.52046783625731</v>
      </c>
      <c r="AH733" s="114">
        <f t="shared" si="217"/>
        <v>0.531674208144796</v>
      </c>
      <c r="AI733" s="114">
        <f t="shared" si="218"/>
        <v>1.24</v>
      </c>
      <c r="AJ733" s="159">
        <f t="shared" si="219"/>
        <v>5.92213667939392</v>
      </c>
      <c r="AK733" s="160">
        <f t="shared" si="220"/>
        <v>5.92213667939392</v>
      </c>
      <c r="AL733" s="160">
        <f t="shared" si="221"/>
        <v>5.92213667939392</v>
      </c>
      <c r="AM733" s="160">
        <f t="shared" si="222"/>
        <v>135</v>
      </c>
      <c r="AN733" s="117">
        <v>0</v>
      </c>
      <c r="AO733" s="117">
        <v>1</v>
      </c>
      <c r="AP733" s="117">
        <v>10.17</v>
      </c>
      <c r="AQ733" s="117">
        <v>84</v>
      </c>
      <c r="AR733" s="117">
        <v>1.24</v>
      </c>
      <c r="AS733" s="141">
        <v>23</v>
      </c>
      <c r="AT733" s="142">
        <v>43.1</v>
      </c>
      <c r="AU733" s="117">
        <v>47</v>
      </c>
      <c r="AV733" s="117">
        <v>137</v>
      </c>
      <c r="AZ733" s="119" t="s">
        <v>2191</v>
      </c>
    </row>
    <row r="734" spans="1:52">
      <c r="A734" s="119" t="s">
        <v>163</v>
      </c>
      <c r="B734" s="117" t="s">
        <v>53</v>
      </c>
      <c r="C734" s="117">
        <v>66</v>
      </c>
      <c r="D734" s="135">
        <v>1.56</v>
      </c>
      <c r="E734" s="117">
        <v>50</v>
      </c>
      <c r="F734" s="136">
        <f t="shared" si="215"/>
        <v>20.5456936226167</v>
      </c>
      <c r="G734" s="113">
        <v>2</v>
      </c>
      <c r="H734" s="281">
        <v>45427</v>
      </c>
      <c r="I734" s="158">
        <v>45427</v>
      </c>
      <c r="J734" s="158">
        <v>45436</v>
      </c>
      <c r="L734" s="137">
        <v>3</v>
      </c>
      <c r="M734" s="138">
        <v>9</v>
      </c>
      <c r="N734" s="270" t="s">
        <v>2192</v>
      </c>
      <c r="Q734" s="117">
        <v>1</v>
      </c>
      <c r="T734" s="117">
        <v>0</v>
      </c>
      <c r="U734" s="117">
        <v>1</v>
      </c>
      <c r="V734" s="117">
        <v>1</v>
      </c>
      <c r="W734" s="117">
        <v>0</v>
      </c>
      <c r="X734" s="117">
        <v>1</v>
      </c>
      <c r="Y734" s="117">
        <v>2</v>
      </c>
      <c r="Z734" s="119" t="s">
        <v>58</v>
      </c>
      <c r="AA734" s="117">
        <v>1</v>
      </c>
      <c r="AB734" s="114">
        <f t="shared" si="223"/>
        <v>2</v>
      </c>
      <c r="AC734" s="114">
        <f t="shared" si="224"/>
        <v>3</v>
      </c>
      <c r="AD734" s="114">
        <f t="shared" si="225"/>
        <v>1</v>
      </c>
      <c r="AE734" s="114">
        <f t="shared" si="226"/>
        <v>9</v>
      </c>
      <c r="AF734" s="119" t="s">
        <v>63</v>
      </c>
      <c r="AG734" s="114">
        <f t="shared" si="216"/>
        <v>2.93567251461988</v>
      </c>
      <c r="AH734" s="114">
        <f t="shared" si="217"/>
        <v>0.542986425339366</v>
      </c>
      <c r="AI734" s="114">
        <f t="shared" si="218"/>
        <v>1.37</v>
      </c>
      <c r="AJ734" s="159">
        <f t="shared" si="219"/>
        <v>14.0182392263268</v>
      </c>
      <c r="AK734" s="160">
        <f t="shared" si="220"/>
        <v>14.0182392263268</v>
      </c>
      <c r="AL734" s="160">
        <f t="shared" si="221"/>
        <v>14.0182392263268</v>
      </c>
      <c r="AM734" s="160">
        <f t="shared" si="222"/>
        <v>135</v>
      </c>
      <c r="AN734" s="117">
        <v>1</v>
      </c>
      <c r="AO734" s="117">
        <v>1</v>
      </c>
      <c r="AP734" s="117">
        <v>1.54</v>
      </c>
      <c r="AQ734" s="117">
        <v>84</v>
      </c>
      <c r="AR734" s="117">
        <v>1.37</v>
      </c>
      <c r="AS734" s="141">
        <v>24</v>
      </c>
      <c r="AT734" s="142">
        <v>50.2</v>
      </c>
      <c r="AU734" s="117">
        <v>48</v>
      </c>
      <c r="AV734" s="117">
        <v>135</v>
      </c>
      <c r="AZ734" s="119" t="s">
        <v>2193</v>
      </c>
    </row>
    <row r="735" spans="1:52">
      <c r="A735" s="119" t="s">
        <v>2194</v>
      </c>
      <c r="B735" s="117" t="s">
        <v>48</v>
      </c>
      <c r="C735" s="117">
        <v>9</v>
      </c>
      <c r="D735" s="135">
        <v>1.7</v>
      </c>
      <c r="E735" s="117">
        <v>67</v>
      </c>
      <c r="F735" s="136">
        <f t="shared" si="215"/>
        <v>23.1833910034602</v>
      </c>
      <c r="G735" s="113">
        <v>0</v>
      </c>
      <c r="H735" s="281">
        <v>45428</v>
      </c>
      <c r="I735" s="158">
        <v>45328</v>
      </c>
      <c r="J735" s="158">
        <v>45332</v>
      </c>
      <c r="L735" s="137">
        <v>3</v>
      </c>
      <c r="M735" s="138">
        <v>4</v>
      </c>
      <c r="N735" s="270" t="s">
        <v>2195</v>
      </c>
      <c r="O735" s="117">
        <v>1</v>
      </c>
      <c r="T735" s="117">
        <v>1</v>
      </c>
      <c r="U735" s="117">
        <v>0</v>
      </c>
      <c r="V735" s="117">
        <v>1</v>
      </c>
      <c r="W735" s="117">
        <v>0</v>
      </c>
      <c r="X735" s="117">
        <v>1</v>
      </c>
      <c r="Y735" s="117">
        <v>1</v>
      </c>
      <c r="Z735" s="119" t="s">
        <v>300</v>
      </c>
      <c r="AA735" s="117">
        <v>2</v>
      </c>
      <c r="AB735" s="114">
        <f>_xlfn.IFS(AT735&gt;51,3,AT735&gt;=34,2,AT735&lt;34,1)</f>
        <v>2</v>
      </c>
      <c r="AC735" s="114">
        <f>_xlfn.IFS(AS735&gt;35,1,AS735&gt;=28,2,AS735&lt;28,3)</f>
        <v>1</v>
      </c>
      <c r="AD735" s="114">
        <f>_xlfn.IFS(AR735&gt;2.3,3,AR735&gt;=1.7,2,AR735&lt;1.7,1)</f>
        <v>1</v>
      </c>
      <c r="AE735" s="114">
        <f>Y735+AA735+AB735+AC735+AD735</f>
        <v>7</v>
      </c>
      <c r="AF735" s="119" t="s">
        <v>63</v>
      </c>
      <c r="AG735" s="114">
        <f t="shared" si="216"/>
        <v>2.26315789473684</v>
      </c>
      <c r="AH735" s="114">
        <f t="shared" si="217"/>
        <v>0.769230769230769</v>
      </c>
      <c r="AI735" s="114">
        <f t="shared" si="218"/>
        <v>1.24</v>
      </c>
      <c r="AJ735" s="159">
        <f t="shared" si="219"/>
        <v>11.9129397705129</v>
      </c>
      <c r="AK735" s="160">
        <f t="shared" si="220"/>
        <v>11.9129397705129</v>
      </c>
      <c r="AL735" s="160">
        <f t="shared" si="221"/>
        <v>11.9129397705129</v>
      </c>
      <c r="AM735" s="160">
        <f t="shared" si="222"/>
        <v>135</v>
      </c>
      <c r="AN735" s="117">
        <v>1</v>
      </c>
      <c r="AO735" s="117">
        <v>1</v>
      </c>
      <c r="AP735" s="117">
        <v>5.83</v>
      </c>
      <c r="AQ735" s="117">
        <v>80</v>
      </c>
      <c r="AR735" s="117">
        <v>1.24</v>
      </c>
      <c r="AS735" s="141">
        <v>37</v>
      </c>
      <c r="AT735" s="142">
        <v>38.7</v>
      </c>
      <c r="AU735" s="117">
        <v>68</v>
      </c>
      <c r="AV735" s="117">
        <v>141</v>
      </c>
      <c r="AZ735" s="119" t="s">
        <v>2196</v>
      </c>
    </row>
    <row r="736" s="114" customFormat="1" spans="1:52">
      <c r="A736" s="298" t="s">
        <v>1654</v>
      </c>
      <c r="B736" s="298" t="s">
        <v>53</v>
      </c>
      <c r="C736" s="298">
        <v>66</v>
      </c>
      <c r="D736" s="298">
        <v>1.56</v>
      </c>
      <c r="E736" s="298">
        <v>53</v>
      </c>
      <c r="F736" s="136">
        <f t="shared" si="215"/>
        <v>21.7784352399737</v>
      </c>
      <c r="G736" s="298">
        <v>1</v>
      </c>
      <c r="H736" s="299">
        <v>45322</v>
      </c>
      <c r="I736" s="158">
        <v>45320</v>
      </c>
      <c r="J736" s="210">
        <v>45331</v>
      </c>
      <c r="L736" s="138">
        <v>3</v>
      </c>
      <c r="M736" s="114">
        <v>11</v>
      </c>
      <c r="N736" s="265" t="s">
        <v>2197</v>
      </c>
      <c r="Q736" s="114">
        <v>1</v>
      </c>
      <c r="T736" s="114">
        <v>1</v>
      </c>
      <c r="U736" s="114">
        <v>0</v>
      </c>
      <c r="V736" s="114">
        <v>1</v>
      </c>
      <c r="W736" s="114">
        <v>0</v>
      </c>
      <c r="X736" s="114">
        <v>1</v>
      </c>
      <c r="Y736" s="114">
        <v>1</v>
      </c>
      <c r="Z736" s="119" t="s">
        <v>1376</v>
      </c>
      <c r="AA736" s="117">
        <v>2</v>
      </c>
      <c r="AB736" s="114">
        <f>_xlfn.IFS(AT736&gt;51,3,AT736&gt;=34,2,AT736&lt;34,1)</f>
        <v>1</v>
      </c>
      <c r="AC736" s="114">
        <f>_xlfn.IFS(AS736&gt;35,1,AS736&gt;=28,2,AS736&lt;28,3)</f>
        <v>2</v>
      </c>
      <c r="AD736" s="114">
        <f>_xlfn.IFS(AR736&gt;2.3,3,AR736&gt;=1.7,2,AR736&lt;1.7,1)</f>
        <v>1</v>
      </c>
      <c r="AE736" s="114">
        <f>Y736+AA736+AB736+AC736+AD736</f>
        <v>7</v>
      </c>
      <c r="AF736" s="119" t="s">
        <v>63</v>
      </c>
      <c r="AG736" s="114">
        <f t="shared" si="216"/>
        <v>0.578947368421053</v>
      </c>
      <c r="AH736" s="114">
        <f t="shared" si="217"/>
        <v>0.554298642533937</v>
      </c>
      <c r="AI736" s="114">
        <f t="shared" si="218"/>
        <v>1.15</v>
      </c>
      <c r="AJ736" s="159">
        <f t="shared" si="219"/>
        <v>1.56533375460178</v>
      </c>
      <c r="AK736" s="160">
        <f t="shared" si="220"/>
        <v>1.56533375460178</v>
      </c>
      <c r="AL736" s="160">
        <f t="shared" si="221"/>
        <v>1.56533375460178</v>
      </c>
      <c r="AM736" s="160">
        <f t="shared" si="222"/>
        <v>135</v>
      </c>
      <c r="AN736" s="114">
        <v>0</v>
      </c>
      <c r="AO736" s="114">
        <v>1</v>
      </c>
      <c r="AP736" s="114">
        <v>3.06</v>
      </c>
      <c r="AQ736" s="114">
        <v>63</v>
      </c>
      <c r="AR736" s="114">
        <v>1.15</v>
      </c>
      <c r="AS736" s="160">
        <v>30</v>
      </c>
      <c r="AT736" s="161">
        <v>9.9</v>
      </c>
      <c r="AU736" s="114">
        <v>49</v>
      </c>
      <c r="AV736" s="114">
        <v>145</v>
      </c>
      <c r="AZ736" s="116" t="s">
        <v>2198</v>
      </c>
    </row>
    <row r="737" spans="1:52">
      <c r="A737" s="113" t="s">
        <v>2199</v>
      </c>
      <c r="B737" s="113" t="s">
        <v>53</v>
      </c>
      <c r="C737" s="113">
        <v>69</v>
      </c>
      <c r="D737" s="113">
        <v>1.6</v>
      </c>
      <c r="E737" s="113">
        <v>59</v>
      </c>
      <c r="F737" s="136">
        <f>E737/(D737*D737)</f>
        <v>23.046875</v>
      </c>
      <c r="G737" s="113">
        <v>1</v>
      </c>
      <c r="H737" s="281">
        <v>45373</v>
      </c>
      <c r="I737" s="158">
        <v>45327</v>
      </c>
      <c r="J737" s="158">
        <v>45333</v>
      </c>
      <c r="L737" s="137">
        <v>1</v>
      </c>
      <c r="M737" s="138">
        <v>6</v>
      </c>
      <c r="N737" s="270" t="s">
        <v>2200</v>
      </c>
      <c r="O737" s="117">
        <v>1</v>
      </c>
      <c r="T737" s="117">
        <v>1</v>
      </c>
      <c r="U737" s="117">
        <v>0</v>
      </c>
      <c r="V737" s="117">
        <v>1</v>
      </c>
      <c r="W737" s="117">
        <v>0</v>
      </c>
      <c r="X737" s="117">
        <v>1</v>
      </c>
      <c r="Y737" s="117">
        <v>1</v>
      </c>
      <c r="Z737" s="119" t="s">
        <v>321</v>
      </c>
      <c r="AA737" s="117">
        <v>3</v>
      </c>
      <c r="AB737" s="114">
        <f t="shared" ref="AB737:AB742" si="227">_xlfn.IFS(AT737&gt;51,3,AT737&gt;=34,2,AT737&lt;34,1)</f>
        <v>1</v>
      </c>
      <c r="AC737" s="114">
        <f t="shared" ref="AC737:AC742" si="228">_xlfn.IFS(AS737&gt;35,1,AS737&gt;=28,2,AS737&lt;28,3)</f>
        <v>2</v>
      </c>
      <c r="AD737" s="114">
        <f t="shared" ref="AD737:AD742" si="229">_xlfn.IFS(AR737&gt;2.3,3,AR737&gt;=1.7,2,AR737&lt;1.7,1)</f>
        <v>1</v>
      </c>
      <c r="AE737" s="114">
        <f t="shared" ref="AE737:AE743" si="230">Y737+AA737+AB737+AC737+AD737</f>
        <v>8</v>
      </c>
      <c r="AF737" s="119" t="s">
        <v>63</v>
      </c>
      <c r="AG737" s="114">
        <f>AT737/17.1</f>
        <v>1.64912280701754</v>
      </c>
      <c r="AH737" s="114">
        <f>AU737/88.4</f>
        <v>0.576923076923077</v>
      </c>
      <c r="AI737" s="114">
        <f>AR737</f>
        <v>1.59</v>
      </c>
      <c r="AJ737" s="159">
        <f>LN(IF(AG737&gt;=1,AG737,1))*3.8+LN(IF(AH737&gt;=1,AH737,1))*9.6+11.2*LN(IF(AI737&gt;=1,AI737,1))+6.4*AN737</f>
        <v>13.4947463366547</v>
      </c>
      <c r="AK737" s="160">
        <f>IF(AND(AG737&gt;0,AH737&gt;0,AI737&gt;0),AJ737,"")</f>
        <v>13.4947463366547</v>
      </c>
      <c r="AL737" s="160">
        <f>AK737+1.59*(135-AM737)</f>
        <v>13.4947463366547</v>
      </c>
      <c r="AM737" s="160">
        <f>IF(AV737&gt;135,135,IF(AV737&lt;120,120,AV737))</f>
        <v>135</v>
      </c>
      <c r="AN737" s="117">
        <v>1</v>
      </c>
      <c r="AO737" s="117">
        <v>1</v>
      </c>
      <c r="AP737" s="117">
        <v>2.7</v>
      </c>
      <c r="AQ737" s="117">
        <v>108</v>
      </c>
      <c r="AR737" s="117">
        <v>1.59</v>
      </c>
      <c r="AS737" s="141">
        <v>28</v>
      </c>
      <c r="AT737" s="142">
        <v>28.2</v>
      </c>
      <c r="AU737" s="117">
        <v>51</v>
      </c>
      <c r="AV737" s="117">
        <v>143</v>
      </c>
      <c r="AZ737" s="119" t="s">
        <v>2201</v>
      </c>
    </row>
    <row r="738" s="125" customFormat="1" spans="1:52">
      <c r="A738" s="272" t="s">
        <v>976</v>
      </c>
      <c r="B738" s="272" t="s">
        <v>53</v>
      </c>
      <c r="C738" s="272">
        <v>71</v>
      </c>
      <c r="D738" s="272">
        <v>1.53</v>
      </c>
      <c r="E738" s="272">
        <v>50</v>
      </c>
      <c r="F738" s="136">
        <f>E738/(D738*D738)</f>
        <v>21.359306249733</v>
      </c>
      <c r="G738" s="272">
        <v>1</v>
      </c>
      <c r="H738" s="296">
        <v>45373</v>
      </c>
      <c r="I738" s="186">
        <v>45324</v>
      </c>
      <c r="J738" s="186">
        <v>45337</v>
      </c>
      <c r="K738" s="125"/>
      <c r="L738" s="187">
        <v>2</v>
      </c>
      <c r="M738" s="187">
        <v>13</v>
      </c>
      <c r="N738" s="248" t="s">
        <v>2202</v>
      </c>
      <c r="O738" s="125">
        <v>1</v>
      </c>
      <c r="P738" s="125"/>
      <c r="Q738" s="125"/>
      <c r="R738" s="125"/>
      <c r="S738" s="125"/>
      <c r="T738" s="125">
        <v>1</v>
      </c>
      <c r="U738" s="125">
        <v>0</v>
      </c>
      <c r="V738" s="125">
        <v>1</v>
      </c>
      <c r="W738" s="125">
        <v>0</v>
      </c>
      <c r="X738" s="125">
        <v>1</v>
      </c>
      <c r="Y738" s="125">
        <v>1</v>
      </c>
      <c r="Z738" s="131" t="s">
        <v>1376</v>
      </c>
      <c r="AA738" s="125">
        <v>2</v>
      </c>
      <c r="AB738" s="114">
        <f>_xlfn.IFS(AT738&gt;51,3,AT738&gt;=34,2,AT738&lt;34,1)</f>
        <v>1</v>
      </c>
      <c r="AC738" s="114">
        <f>_xlfn.IFS(AS738&gt;35,1,AS738&gt;=28,2,AS738&lt;28,3)</f>
        <v>2</v>
      </c>
      <c r="AD738" s="114">
        <f>_xlfn.IFS(AR738&gt;2.3,3,AR738&gt;=1.7,2,AR738&lt;1.7,1)</f>
        <v>1</v>
      </c>
      <c r="AE738" s="114">
        <f t="shared" si="230"/>
        <v>7</v>
      </c>
      <c r="AF738" s="131" t="s">
        <v>63</v>
      </c>
      <c r="AG738" s="125">
        <f>AT738/17.1</f>
        <v>0.210526315789474</v>
      </c>
      <c r="AH738" s="125">
        <f>AU738/88.4</f>
        <v>1.25565610859729</v>
      </c>
      <c r="AI738" s="125">
        <f>AR738</f>
        <v>0.98</v>
      </c>
      <c r="AJ738" s="240">
        <f>LN(IF(AG738&gt;=1,AG738,1))*3.8+LN(IF(AH738&gt;=1,AH738,1))*9.6+11.2*LN(IF(AI738&gt;=1,AI738,1))+6.4*AN738</f>
        <v>8.58551902401987</v>
      </c>
      <c r="AK738" s="241">
        <f>IF(AND(AG738&gt;0,AH738&gt;0,AI738&gt;0),AJ738,"")</f>
        <v>8.58551902401987</v>
      </c>
      <c r="AL738" s="241">
        <f>AK738+1.59*(135-AM738)</f>
        <v>8.58551902401987</v>
      </c>
      <c r="AM738" s="241">
        <f>IF(AV738&gt;135,135,IF(AV738&lt;120,120,AV738))</f>
        <v>135</v>
      </c>
      <c r="AN738" s="125">
        <v>1</v>
      </c>
      <c r="AO738" s="125">
        <v>1</v>
      </c>
      <c r="AP738" s="125">
        <v>2.74</v>
      </c>
      <c r="AQ738" s="125">
        <v>103</v>
      </c>
      <c r="AR738" s="125">
        <v>0.98</v>
      </c>
      <c r="AS738" s="241">
        <v>31</v>
      </c>
      <c r="AT738" s="242">
        <v>3.6</v>
      </c>
      <c r="AU738" s="125">
        <v>111</v>
      </c>
      <c r="AV738" s="125">
        <v>142</v>
      </c>
      <c r="AW738" s="125"/>
      <c r="AX738" s="125"/>
      <c r="AY738" s="125"/>
      <c r="AZ738" s="131" t="s">
        <v>2203</v>
      </c>
    </row>
    <row r="739" spans="1:52">
      <c r="A739" s="113" t="s">
        <v>2075</v>
      </c>
      <c r="B739" s="113" t="s">
        <v>53</v>
      </c>
      <c r="C739" s="113">
        <v>73</v>
      </c>
      <c r="D739" s="113">
        <v>1.67</v>
      </c>
      <c r="E739" s="113">
        <v>52</v>
      </c>
      <c r="F739" s="136">
        <f>E739/(D739*D739)</f>
        <v>18.645344042454</v>
      </c>
      <c r="G739" s="113">
        <v>7</v>
      </c>
      <c r="H739" s="281">
        <v>45434</v>
      </c>
      <c r="I739" s="119" t="s">
        <v>2204</v>
      </c>
      <c r="J739" s="119" t="s">
        <v>2205</v>
      </c>
      <c r="L739" s="137">
        <v>3</v>
      </c>
      <c r="M739" s="138">
        <v>30</v>
      </c>
      <c r="N739" s="270" t="s">
        <v>2206</v>
      </c>
      <c r="Q739" s="117">
        <v>1</v>
      </c>
      <c r="T739" s="117">
        <v>1</v>
      </c>
      <c r="U739" s="117">
        <v>0</v>
      </c>
      <c r="V739" s="117">
        <v>1</v>
      </c>
      <c r="W739" s="117">
        <v>0</v>
      </c>
      <c r="X739" s="117">
        <v>1</v>
      </c>
      <c r="Y739" s="117">
        <v>1</v>
      </c>
      <c r="Z739" s="119" t="s">
        <v>2207</v>
      </c>
      <c r="AA739" s="117">
        <v>3</v>
      </c>
      <c r="AB739" s="114">
        <f>_xlfn.IFS(AT739&gt;51,3,AT739&gt;=34,2,AT739&lt;34,1)</f>
        <v>2</v>
      </c>
      <c r="AC739" s="114">
        <f>_xlfn.IFS(AS739&gt;35,1,AS739&gt;=28,2,AS739&lt;28,3)</f>
        <v>2</v>
      </c>
      <c r="AD739" s="114">
        <f>_xlfn.IFS(AR739&gt;2.3,3,AR739&gt;=1.7,2,AR739&lt;1.7,1)</f>
        <v>1</v>
      </c>
      <c r="AE739" s="114">
        <f t="shared" si="230"/>
        <v>9</v>
      </c>
      <c r="AG739" s="125">
        <f>AT739/17.1</f>
        <v>2.17543859649123</v>
      </c>
      <c r="AH739" s="125">
        <f>AU739/88.4</f>
        <v>0.904977375565611</v>
      </c>
      <c r="AI739" s="125">
        <f>AR739</f>
        <v>1.25</v>
      </c>
      <c r="AJ739" s="240">
        <f>LN(IF(AG739&gt;=1,AG739,1))*3.8+LN(IF(AH739&gt;=1,AH739,1))*9.6+11.2*LN(IF(AI739&gt;=1,AI739,1))+6.4*AN739</f>
        <v>5.452682906247</v>
      </c>
      <c r="AK739" s="241">
        <f>IF(AND(AG739&gt;0,AH739&gt;0,AI739&gt;0),AJ739,"")</f>
        <v>5.452682906247</v>
      </c>
      <c r="AL739" s="241">
        <f>AK739+1.59*(135-AM739)</f>
        <v>5.452682906247</v>
      </c>
      <c r="AM739" s="241">
        <f>IF(AV739&gt;135,135,IF(AV739&lt;120,120,AV739))</f>
        <v>135</v>
      </c>
      <c r="AP739" s="117">
        <v>8.39</v>
      </c>
      <c r="AQ739" s="117">
        <v>105</v>
      </c>
      <c r="AR739" s="117">
        <v>1.25</v>
      </c>
      <c r="AS739" s="141">
        <v>33</v>
      </c>
      <c r="AT739" s="142">
        <v>37.2</v>
      </c>
      <c r="AU739" s="117">
        <v>80</v>
      </c>
      <c r="AV739" s="117">
        <v>139</v>
      </c>
      <c r="AZ739" s="119" t="s">
        <v>2208</v>
      </c>
    </row>
    <row r="740" spans="1:52">
      <c r="A740" s="113" t="s">
        <v>2209</v>
      </c>
      <c r="B740" s="113" t="s">
        <v>48</v>
      </c>
      <c r="C740" s="113">
        <v>75</v>
      </c>
      <c r="D740" s="113">
        <v>1.73</v>
      </c>
      <c r="E740" s="113">
        <v>75</v>
      </c>
      <c r="F740" s="136">
        <f>E740/(D740*D740)</f>
        <v>25.0593070266297</v>
      </c>
      <c r="G740" s="113">
        <v>0</v>
      </c>
      <c r="H740" s="281">
        <v>45432</v>
      </c>
      <c r="I740" s="119" t="s">
        <v>2210</v>
      </c>
      <c r="J740" s="119" t="s">
        <v>2211</v>
      </c>
      <c r="L740" s="137">
        <v>1</v>
      </c>
      <c r="M740" s="138">
        <v>8</v>
      </c>
      <c r="N740" s="270" t="s">
        <v>2212</v>
      </c>
      <c r="S740" s="117">
        <v>1</v>
      </c>
      <c r="T740" s="117">
        <v>0</v>
      </c>
      <c r="U740" s="117">
        <v>0</v>
      </c>
      <c r="V740" s="117">
        <v>1</v>
      </c>
      <c r="W740" s="117">
        <v>0</v>
      </c>
      <c r="X740" s="117">
        <v>0</v>
      </c>
      <c r="Y740" s="117">
        <v>1</v>
      </c>
      <c r="Z740" s="119" t="s">
        <v>58</v>
      </c>
      <c r="AA740" s="117">
        <v>1</v>
      </c>
      <c r="AB740" s="114">
        <f>_xlfn.IFS(AT740&gt;51,3,AT740&gt;=34,2,AT740&lt;34,1)</f>
        <v>1</v>
      </c>
      <c r="AC740" s="114">
        <f>_xlfn.IFS(AS740&gt;35,1,AS740&gt;=28,2,AS740&lt;28,3)</f>
        <v>2</v>
      </c>
      <c r="AD740" s="114">
        <f>_xlfn.IFS(AR740&gt;2.3,3,AR740&gt;=1.7,2,AR740&lt;1.7,1)</f>
        <v>1</v>
      </c>
      <c r="AE740" s="114">
        <f t="shared" si="230"/>
        <v>6</v>
      </c>
      <c r="AG740" s="125">
        <f>AT740/17.1</f>
        <v>0.426900584795322</v>
      </c>
      <c r="AH740" s="125">
        <f>AU740/88.4</f>
        <v>0.81447963800905</v>
      </c>
      <c r="AI740" s="125">
        <f>AR740</f>
        <v>1.09</v>
      </c>
      <c r="AJ740" s="240">
        <f>LN(IF(AG740&gt;=1,AG740,1))*3.8+LN(IF(AH740&gt;=1,AH740,1))*9.6+11.2*LN(IF(AI740&gt;=1,AI740,1))+6.4*AN740</f>
        <v>0.965190197899787</v>
      </c>
      <c r="AK740" s="241">
        <f>IF(AND(AG740&gt;0,AH740&gt;0,AI740&gt;0),AJ740,"")</f>
        <v>0.965190197899787</v>
      </c>
      <c r="AL740" s="241">
        <f>AK740+1.59*(135-AM740)</f>
        <v>0.965190197899787</v>
      </c>
      <c r="AM740" s="241">
        <f>IF(AV740&gt;135,135,IF(AV740&lt;120,120,AV740))</f>
        <v>135</v>
      </c>
      <c r="AP740" s="117">
        <v>3.39</v>
      </c>
      <c r="AQ740" s="117">
        <v>68</v>
      </c>
      <c r="AR740" s="117">
        <v>1.09</v>
      </c>
      <c r="AS740" s="141">
        <v>29</v>
      </c>
      <c r="AT740" s="142">
        <v>7.3</v>
      </c>
      <c r="AU740" s="117">
        <v>72</v>
      </c>
      <c r="AV740" s="117">
        <v>140</v>
      </c>
      <c r="AZ740" s="119" t="s">
        <v>2213</v>
      </c>
    </row>
    <row r="741" spans="1:52">
      <c r="A741" s="113" t="s">
        <v>2214</v>
      </c>
      <c r="B741" s="113" t="s">
        <v>53</v>
      </c>
      <c r="C741" s="113">
        <v>66</v>
      </c>
      <c r="D741" s="113">
        <v>1.58</v>
      </c>
      <c r="E741" s="113">
        <v>65</v>
      </c>
      <c r="F741" s="136">
        <f>E741/(D741*D741)</f>
        <v>26.0374939913475</v>
      </c>
      <c r="G741" s="113">
        <v>1</v>
      </c>
      <c r="H741" s="281">
        <v>45430</v>
      </c>
      <c r="I741" s="119" t="s">
        <v>2215</v>
      </c>
      <c r="J741" s="119" t="s">
        <v>2216</v>
      </c>
      <c r="L741" s="137">
        <v>1</v>
      </c>
      <c r="M741" s="138">
        <v>12</v>
      </c>
      <c r="N741" s="270" t="s">
        <v>2217</v>
      </c>
      <c r="S741" s="117">
        <v>1</v>
      </c>
      <c r="T741" s="117">
        <v>0</v>
      </c>
      <c r="U741" s="117">
        <v>0</v>
      </c>
      <c r="V741" s="117">
        <v>1</v>
      </c>
      <c r="W741" s="117">
        <v>0</v>
      </c>
      <c r="X741" s="117">
        <v>1</v>
      </c>
      <c r="Y741" s="117">
        <v>1</v>
      </c>
      <c r="Z741" s="119" t="s">
        <v>58</v>
      </c>
      <c r="AA741" s="117">
        <v>1</v>
      </c>
      <c r="AB741" s="114">
        <f>_xlfn.IFS(AT741&gt;51,3,AT741&gt;=34,2,AT741&lt;34,1)</f>
        <v>2</v>
      </c>
      <c r="AC741" s="114">
        <f>_xlfn.IFS(AS741&gt;35,1,AS741&gt;=28,2,AS741&lt;28,3)</f>
        <v>2</v>
      </c>
      <c r="AD741" s="114">
        <f>_xlfn.IFS(AR741&gt;2.3,3,AR741&gt;=1.7,2,AR741&lt;1.7,1)</f>
        <v>1</v>
      </c>
      <c r="AE741" s="114">
        <f t="shared" si="230"/>
        <v>7</v>
      </c>
      <c r="AG741" s="125">
        <f>AT741/17.1</f>
        <v>2.54970760233918</v>
      </c>
      <c r="AH741" s="125">
        <f>AU741/88.4</f>
        <v>0.701357466063348</v>
      </c>
      <c r="AI741" s="125">
        <f>AR741</f>
        <v>1.59</v>
      </c>
      <c r="AJ741" s="240">
        <f>LN(IF(AG741&gt;=1,AG741,1))*3.8+LN(IF(AH741&gt;=1,AH741,1))*9.6+11.2*LN(IF(AI741&gt;=1,AI741,1))+6.4*AN741</f>
        <v>8.75053999181619</v>
      </c>
      <c r="AK741" s="241">
        <f>IF(AND(AG741&gt;0,AH741&gt;0,AI741&gt;0),AJ741,"")</f>
        <v>8.75053999181619</v>
      </c>
      <c r="AL741" s="241">
        <f>AK741+1.59*(135-AM741)</f>
        <v>8.75053999181619</v>
      </c>
      <c r="AM741" s="241">
        <f>IF(AV741&gt;135,135,IF(AV741&lt;120,120,AV741))</f>
        <v>135</v>
      </c>
      <c r="AP741" s="117">
        <v>6.79</v>
      </c>
      <c r="AQ741" s="117">
        <v>61</v>
      </c>
      <c r="AR741" s="117">
        <v>1.59</v>
      </c>
      <c r="AS741" s="141">
        <v>32</v>
      </c>
      <c r="AT741" s="142">
        <v>43.6</v>
      </c>
      <c r="AU741" s="117">
        <v>62</v>
      </c>
      <c r="AV741" s="117">
        <v>141</v>
      </c>
      <c r="AZ741" s="119" t="s">
        <v>2218</v>
      </c>
    </row>
    <row r="742" spans="1:52">
      <c r="A742" s="113" t="s">
        <v>2219</v>
      </c>
      <c r="B742" s="113" t="s">
        <v>53</v>
      </c>
      <c r="C742" s="113">
        <v>76</v>
      </c>
      <c r="D742" s="113">
        <v>1.62</v>
      </c>
      <c r="E742" s="113">
        <v>52</v>
      </c>
      <c r="F742" s="136">
        <f>E742/(D742*D742)</f>
        <v>19.8140527358634</v>
      </c>
      <c r="G742" s="113">
        <v>7</v>
      </c>
      <c r="H742" s="281">
        <v>45448</v>
      </c>
      <c r="I742" s="119" t="s">
        <v>2220</v>
      </c>
      <c r="J742" s="119" t="s">
        <v>2221</v>
      </c>
      <c r="L742" s="137">
        <v>1</v>
      </c>
      <c r="M742" s="138">
        <v>8</v>
      </c>
      <c r="N742" s="270" t="s">
        <v>2222</v>
      </c>
      <c r="O742" s="117">
        <v>1</v>
      </c>
      <c r="T742" s="117">
        <v>1</v>
      </c>
      <c r="U742" s="117">
        <v>0</v>
      </c>
      <c r="V742" s="117">
        <v>1</v>
      </c>
      <c r="W742" s="117">
        <v>0</v>
      </c>
      <c r="X742" s="117">
        <v>1</v>
      </c>
      <c r="Y742" s="117">
        <v>1</v>
      </c>
      <c r="Z742" s="119" t="s">
        <v>300</v>
      </c>
      <c r="AA742" s="117">
        <v>2</v>
      </c>
      <c r="AB742" s="114">
        <f>_xlfn.IFS(AT742&gt;51,3,AT742&gt;=34,2,AT742&lt;34,1)</f>
        <v>1</v>
      </c>
      <c r="AC742" s="114">
        <f>_xlfn.IFS(AS742&gt;35,1,AS742&gt;=28,2,AS742&lt;28,3)</f>
        <v>2</v>
      </c>
      <c r="AD742" s="114">
        <f>_xlfn.IFS(AR742&gt;2.3,3,AR742&gt;=1.7,2,AR742&lt;1.7,1)</f>
        <v>1</v>
      </c>
      <c r="AE742" s="114">
        <f t="shared" si="230"/>
        <v>7</v>
      </c>
      <c r="AG742" s="125">
        <f>AT742/17.1</f>
        <v>0.60233918128655</v>
      </c>
      <c r="AH742" s="125">
        <f>AU742/88.4</f>
        <v>0.723981900452489</v>
      </c>
      <c r="AI742" s="125">
        <f>AR742</f>
        <v>1.53</v>
      </c>
      <c r="AJ742" s="240">
        <f>LN(IF(AG742&gt;=1,AG742,1))*3.8+LN(IF(AH742&gt;=1,AH742,1))*9.6+11.2*LN(IF(AI742&gt;=1,AI742,1))+6.4*AN742</f>
        <v>4.76299863652865</v>
      </c>
      <c r="AK742" s="241">
        <f>IF(AND(AG742&gt;0,AH742&gt;0,AI742&gt;0),AJ742,"")</f>
        <v>4.76299863652865</v>
      </c>
      <c r="AL742" s="241">
        <f>AK742+1.59*(135-AM742)</f>
        <v>4.76299863652865</v>
      </c>
      <c r="AM742" s="241">
        <f>IF(AV742&gt;135,135,IF(AV742&lt;120,120,AV742))</f>
        <v>135</v>
      </c>
      <c r="AP742" s="117">
        <v>2.77</v>
      </c>
      <c r="AQ742" s="117">
        <v>73</v>
      </c>
      <c r="AR742" s="117">
        <v>1.53</v>
      </c>
      <c r="AS742" s="141">
        <v>33</v>
      </c>
      <c r="AT742" s="142">
        <v>10.3</v>
      </c>
      <c r="AU742" s="117">
        <v>64</v>
      </c>
      <c r="AV742" s="117">
        <v>136</v>
      </c>
      <c r="AZ742" s="119" t="s">
        <v>2223</v>
      </c>
    </row>
    <row r="743" spans="1:52">
      <c r="A743" s="113" t="s">
        <v>1297</v>
      </c>
      <c r="B743" s="113" t="s">
        <v>53</v>
      </c>
      <c r="C743" s="113">
        <v>37</v>
      </c>
      <c r="D743" s="113">
        <v>1.65</v>
      </c>
      <c r="E743" s="113">
        <v>92</v>
      </c>
      <c r="F743" s="136">
        <f>E743/(D743*D743)</f>
        <v>33.7924701561065</v>
      </c>
      <c r="G743" s="113">
        <v>0</v>
      </c>
      <c r="H743" s="281">
        <v>45454</v>
      </c>
      <c r="I743" s="158">
        <v>45454</v>
      </c>
      <c r="J743" s="158">
        <v>45460</v>
      </c>
      <c r="L743" s="137">
        <v>3</v>
      </c>
      <c r="M743" s="138">
        <v>6</v>
      </c>
      <c r="N743" s="270" t="s">
        <v>2224</v>
      </c>
      <c r="Q743" s="119" t="s">
        <v>1083</v>
      </c>
      <c r="T743" s="117">
        <v>0</v>
      </c>
      <c r="U743" s="117">
        <v>0</v>
      </c>
      <c r="V743" s="117">
        <v>1</v>
      </c>
      <c r="W743" s="117">
        <v>0</v>
      </c>
      <c r="X743" s="117">
        <v>1</v>
      </c>
      <c r="Y743" s="117">
        <v>1</v>
      </c>
      <c r="Z743" s="119" t="s">
        <v>58</v>
      </c>
      <c r="AA743" s="117">
        <v>1</v>
      </c>
      <c r="AB743" s="114">
        <f>_xlfn.IFS(AT743&gt;51,3,AT743&gt;=34,2,AT743&lt;34,1)</f>
        <v>1</v>
      </c>
      <c r="AC743" s="114">
        <f>_xlfn.IFS(AS743&gt;35,1,AS743&gt;=28,2,AS743&lt;28,3)</f>
        <v>1</v>
      </c>
      <c r="AD743" s="114">
        <f>_xlfn.IFS(AR743&gt;2.3,3,AR743&gt;=1.7,2,AR743&lt;1.7,1)</f>
        <v>1</v>
      </c>
      <c r="AE743" s="114">
        <f t="shared" si="230"/>
        <v>5</v>
      </c>
      <c r="AF743" s="119" t="s">
        <v>59</v>
      </c>
      <c r="AG743" s="114">
        <f>AT743/17.1</f>
        <v>0.789473684210526</v>
      </c>
      <c r="AH743" s="114">
        <f>AU743/88.4</f>
        <v>1.01809954751131</v>
      </c>
      <c r="AI743" s="114">
        <f>AR743</f>
        <v>1.2</v>
      </c>
      <c r="AJ743" s="159">
        <f>LN(IF(AG743&gt;=1,AG743,1))*3.8+LN(IF(AH743&gt;=1,AH743,1))*9.6+11.2*LN(IF(AI743&gt;=1,AI743,1))+6.4*AN743</f>
        <v>8.6142033626843</v>
      </c>
      <c r="AK743" s="160">
        <f>IF(AND(AG743&gt;0,AH743&gt;0,AI743&gt;0),AJ743,"")</f>
        <v>8.6142033626843</v>
      </c>
      <c r="AL743" s="141">
        <f>AK743+1.59*(135-AM743)</f>
        <v>8.6142033626843</v>
      </c>
      <c r="AM743" s="241">
        <f>IF(AV743&gt;135,135,IF(AV743&lt;120,120,AV743))</f>
        <v>135</v>
      </c>
      <c r="AN743" s="117">
        <v>1</v>
      </c>
      <c r="AO743" s="117">
        <v>1</v>
      </c>
      <c r="AP743" s="117">
        <v>2.59</v>
      </c>
      <c r="AQ743" s="117">
        <v>75</v>
      </c>
      <c r="AR743" s="117">
        <v>1.2</v>
      </c>
      <c r="AS743" s="141">
        <v>36</v>
      </c>
      <c r="AT743" s="142">
        <v>13.5</v>
      </c>
      <c r="AU743" s="117">
        <v>90</v>
      </c>
      <c r="AV743" s="117">
        <v>142</v>
      </c>
      <c r="AZ743" s="119" t="s">
        <v>2225</v>
      </c>
    </row>
    <row r="744" s="125" customFormat="1" spans="1:52">
      <c r="A744" s="272" t="s">
        <v>1713</v>
      </c>
      <c r="B744" s="272" t="s">
        <v>53</v>
      </c>
      <c r="C744" s="272">
        <v>79</v>
      </c>
      <c r="D744" s="272">
        <v>1.55</v>
      </c>
      <c r="E744" s="272">
        <v>60</v>
      </c>
      <c r="F744" s="136">
        <f>E744/(D744*D744)</f>
        <v>24.9739854318418</v>
      </c>
      <c r="G744" s="272">
        <v>0</v>
      </c>
      <c r="H744" s="296">
        <v>45446</v>
      </c>
      <c r="I744" s="186">
        <v>45446</v>
      </c>
      <c r="J744" s="186">
        <v>45457</v>
      </c>
      <c r="L744" s="187">
        <v>2</v>
      </c>
      <c r="M744" s="187">
        <v>11</v>
      </c>
      <c r="N744" s="248" t="s">
        <v>2226</v>
      </c>
      <c r="S744" s="125">
        <v>1</v>
      </c>
      <c r="T744" s="125">
        <v>0</v>
      </c>
      <c r="U744" s="125">
        <v>0</v>
      </c>
      <c r="V744" s="125">
        <v>0</v>
      </c>
      <c r="W744" s="125">
        <v>1</v>
      </c>
      <c r="X744" s="125">
        <v>0</v>
      </c>
      <c r="Y744" s="125">
        <v>1</v>
      </c>
      <c r="Z744" s="131" t="s">
        <v>58</v>
      </c>
      <c r="AA744" s="125">
        <v>1</v>
      </c>
      <c r="AB744" s="114">
        <f>_xlfn.IFS(AT744&gt;51,3,AT744&gt;=34,2,AT744&lt;34,1)</f>
        <v>1</v>
      </c>
      <c r="AC744" s="114">
        <f>_xlfn.IFS(AS744&gt;35,1,AS744&gt;=28,2,AS744&lt;28,3)</f>
        <v>2</v>
      </c>
      <c r="AD744" s="114">
        <f>_xlfn.IFS(AR744&gt;2.3,3,AR744&gt;=1.7,2,AR744&lt;1.7,1)</f>
        <v>1</v>
      </c>
      <c r="AE744" s="114">
        <f>Y744+AA744+AB744+AC744+AD744</f>
        <v>6</v>
      </c>
      <c r="AF744" s="131" t="s">
        <v>59</v>
      </c>
      <c r="AG744" s="125">
        <f>AT744/17.1</f>
        <v>0.60233918128655</v>
      </c>
      <c r="AH744" s="125">
        <f>AU744/88.4</f>
        <v>0.882352941176471</v>
      </c>
      <c r="AI744" s="125">
        <f>AR744</f>
        <v>1.16</v>
      </c>
      <c r="AJ744" s="240">
        <f>LN(IF(AG744&gt;=1,AG744,1))*3.8+LN(IF(AH744&gt;=1,AH744,1))*9.6+11.2*LN(IF(AI744&gt;=1,AI744,1))+6.4*AN744</f>
        <v>8.06230405732466</v>
      </c>
      <c r="AK744" s="241">
        <f>IF(AND(AG744&gt;0,AH744&gt;0,AI744&gt;0),AJ744,"")</f>
        <v>8.06230405732466</v>
      </c>
      <c r="AL744" s="241">
        <f>AK744+1.59*(135-AM744)</f>
        <v>8.06230405732466</v>
      </c>
      <c r="AM744" s="241">
        <f>IF(AV744&gt;135,135,IF(AV744&lt;120,120,AV744))</f>
        <v>135</v>
      </c>
      <c r="AN744" s="131">
        <v>1</v>
      </c>
      <c r="AO744" s="125">
        <v>1</v>
      </c>
      <c r="AP744" s="125">
        <v>3.88</v>
      </c>
      <c r="AQ744" s="125">
        <v>82</v>
      </c>
      <c r="AR744" s="125">
        <v>1.16</v>
      </c>
      <c r="AS744" s="241">
        <v>28</v>
      </c>
      <c r="AT744" s="242">
        <v>10.3</v>
      </c>
      <c r="AU744" s="125">
        <v>78</v>
      </c>
      <c r="AV744" s="125">
        <v>141</v>
      </c>
      <c r="AZ744" s="131" t="s">
        <v>2227</v>
      </c>
    </row>
    <row r="745" spans="1:52">
      <c r="A745" s="113" t="s">
        <v>2228</v>
      </c>
      <c r="B745" s="113" t="s">
        <v>48</v>
      </c>
      <c r="C745" s="113">
        <v>57</v>
      </c>
      <c r="D745" s="113">
        <v>1.78</v>
      </c>
      <c r="E745" s="113">
        <v>85</v>
      </c>
      <c r="F745" s="136">
        <f>E745/(D745*D745)</f>
        <v>26.8274207802045</v>
      </c>
      <c r="G745" s="113">
        <v>6</v>
      </c>
      <c r="H745" s="281">
        <v>45454</v>
      </c>
      <c r="I745" s="158">
        <v>45454</v>
      </c>
      <c r="J745" s="158">
        <v>45462</v>
      </c>
      <c r="L745" s="137">
        <v>1</v>
      </c>
      <c r="M745" s="138">
        <v>8</v>
      </c>
      <c r="N745" s="270" t="s">
        <v>2229</v>
      </c>
      <c r="P745" s="117">
        <v>1</v>
      </c>
      <c r="T745" s="117">
        <v>0</v>
      </c>
      <c r="U745" s="117">
        <v>0</v>
      </c>
      <c r="V745" s="117">
        <v>1</v>
      </c>
      <c r="W745" s="117">
        <v>0</v>
      </c>
      <c r="X745" s="117">
        <v>1</v>
      </c>
      <c r="Y745" s="117">
        <v>1</v>
      </c>
      <c r="Z745" s="119" t="s">
        <v>58</v>
      </c>
      <c r="AA745" s="117">
        <v>1</v>
      </c>
      <c r="AB745" s="114">
        <f>_xlfn.IFS(AT745&gt;51,3,AT745&gt;=34,2,AT745&lt;34,1)</f>
        <v>1</v>
      </c>
      <c r="AC745" s="114">
        <f>_xlfn.IFS(AS745&gt;35,1,AS745&gt;=28,2,AS745&lt;28,3)</f>
        <v>1</v>
      </c>
      <c r="AD745" s="114">
        <f>_xlfn.IFS(AR745&gt;2.3,3,AR745&gt;=1.7,2,AR745&lt;1.7,1)</f>
        <v>1</v>
      </c>
      <c r="AE745" s="114">
        <f>Y745+AA745+AB745+AC745+AD745</f>
        <v>5</v>
      </c>
      <c r="AF745" s="119" t="s">
        <v>59</v>
      </c>
      <c r="AG745" s="114">
        <f>AT745/17.1</f>
        <v>0.321637426900585</v>
      </c>
      <c r="AH745" s="114">
        <f>AU745/88.4</f>
        <v>0.961538461538461</v>
      </c>
      <c r="AI745" s="114">
        <f>AR745</f>
        <v>1.03</v>
      </c>
      <c r="AJ745" s="159">
        <f>LN(IF(AG745&gt;=1,AG745,1))*3.8+LN(IF(AH745&gt;=1,AH745,1))*9.6+11.2*LN(IF(AI745&gt;=1,AI745,1))+6.4*AN745</f>
        <v>0.331058585105298</v>
      </c>
      <c r="AK745" s="160">
        <f>IF(AND(AG745&gt;0,AH745&gt;0,AI745&gt;0),AJ745,"")</f>
        <v>0.331058585105298</v>
      </c>
      <c r="AL745" s="141">
        <f>AK745+1.59*(135-AM745)</f>
        <v>0.331058585105298</v>
      </c>
      <c r="AM745" s="241">
        <f>IF(AV745&gt;135,135,IF(AV745&lt;120,120,AV745))</f>
        <v>135</v>
      </c>
      <c r="AN745" s="117">
        <v>0</v>
      </c>
      <c r="AO745" s="117">
        <v>1</v>
      </c>
      <c r="AP745" s="117">
        <v>6.19</v>
      </c>
      <c r="AQ745" s="117">
        <v>62</v>
      </c>
      <c r="AR745" s="117">
        <v>1.03</v>
      </c>
      <c r="AS745" s="141">
        <v>37</v>
      </c>
      <c r="AT745" s="142">
        <v>5.5</v>
      </c>
      <c r="AU745" s="117">
        <v>85</v>
      </c>
      <c r="AV745" s="117">
        <v>145</v>
      </c>
      <c r="AZ745" s="119" t="s">
        <v>2230</v>
      </c>
    </row>
    <row r="746" spans="1:52">
      <c r="A746" s="113" t="s">
        <v>2231</v>
      </c>
      <c r="B746" s="113" t="s">
        <v>48</v>
      </c>
      <c r="C746" s="113">
        <v>54</v>
      </c>
      <c r="D746" s="113">
        <v>1.74</v>
      </c>
      <c r="E746" s="113">
        <v>67</v>
      </c>
      <c r="F746" s="136">
        <f>E746/(D746*D746)</f>
        <v>22.1297397278372</v>
      </c>
      <c r="G746" s="113">
        <v>6</v>
      </c>
      <c r="H746" s="281">
        <v>45444</v>
      </c>
      <c r="I746" s="158">
        <v>45454</v>
      </c>
      <c r="J746" s="158">
        <v>45462</v>
      </c>
      <c r="L746" s="137">
        <v>1</v>
      </c>
      <c r="M746" s="138">
        <v>8</v>
      </c>
      <c r="N746" s="270" t="s">
        <v>2232</v>
      </c>
      <c r="P746" s="117">
        <v>1</v>
      </c>
      <c r="T746" s="117">
        <v>1</v>
      </c>
      <c r="U746" s="117">
        <v>0</v>
      </c>
      <c r="V746" s="117">
        <v>1</v>
      </c>
      <c r="W746" s="117">
        <v>0</v>
      </c>
      <c r="X746" s="117">
        <v>1</v>
      </c>
      <c r="Y746" s="117">
        <v>1</v>
      </c>
      <c r="Z746" s="119" t="s">
        <v>1376</v>
      </c>
      <c r="AA746" s="117">
        <v>2</v>
      </c>
      <c r="AB746" s="114">
        <f>_xlfn.IFS(AT746&gt;51,3,AT746&gt;=34,2,AT746&lt;34,1)</f>
        <v>2</v>
      </c>
      <c r="AC746" s="114">
        <f>_xlfn.IFS(AS746&gt;35,1,AS746&gt;=28,2,AS746&lt;28,3)</f>
        <v>3</v>
      </c>
      <c r="AD746" s="114">
        <f>_xlfn.IFS(AR746&gt;2.3,3,AR746&gt;=1.7,2,AR746&lt;1.7,1)</f>
        <v>1</v>
      </c>
      <c r="AE746" s="114">
        <f>Y746+AA746+AB746+AC746+AD746</f>
        <v>9</v>
      </c>
      <c r="AF746" s="119" t="s">
        <v>63</v>
      </c>
      <c r="AG746" s="114">
        <f>AT746/17.1</f>
        <v>2.43859649122807</v>
      </c>
      <c r="AH746" s="114">
        <f>AU746/88.4</f>
        <v>0.644796380090498</v>
      </c>
      <c r="AI746" s="114">
        <f>AR746</f>
        <v>1.53</v>
      </c>
      <c r="AJ746" s="159">
        <f>LN(IF(AG746&gt;=1,AG746,1))*3.8+LN(IF(AH746&gt;=1,AH746,1))*9.6+11.2*LN(IF(AI746&gt;=1,AI746,1))+6.4*AN746</f>
        <v>8.15040476465399</v>
      </c>
      <c r="AK746" s="160">
        <f>IF(AND(AG746&gt;0,AH746&gt;0,AI746&gt;0),AJ746,"")</f>
        <v>8.15040476465399</v>
      </c>
      <c r="AL746" s="141">
        <f>AK746+1.59*(135-AM746)</f>
        <v>8.15040476465399</v>
      </c>
      <c r="AM746" s="241">
        <f>IF(AV746&gt;135,135,IF(AV746&lt;120,120,AV746))</f>
        <v>135</v>
      </c>
      <c r="AN746" s="117">
        <v>0</v>
      </c>
      <c r="AO746" s="117">
        <v>2</v>
      </c>
      <c r="AP746" s="117">
        <v>2.97</v>
      </c>
      <c r="AQ746" s="117">
        <v>98</v>
      </c>
      <c r="AR746" s="117">
        <v>1.53</v>
      </c>
      <c r="AS746" s="141">
        <v>26</v>
      </c>
      <c r="AT746" s="142">
        <v>41.7</v>
      </c>
      <c r="AU746" s="117">
        <v>57</v>
      </c>
      <c r="AV746" s="117">
        <v>140</v>
      </c>
      <c r="AZ746" s="119" t="s">
        <v>2233</v>
      </c>
    </row>
    <row r="747" spans="1:52">
      <c r="A747" s="113" t="s">
        <v>1532</v>
      </c>
      <c r="B747" s="113" t="s">
        <v>53</v>
      </c>
      <c r="C747" s="113">
        <v>64</v>
      </c>
      <c r="D747" s="113">
        <v>1.64</v>
      </c>
      <c r="E747" s="113">
        <v>61</v>
      </c>
      <c r="F747" s="136">
        <f t="shared" ref="F747:F777" si="231">E747/(D747*D747)</f>
        <v>22.6799524092802</v>
      </c>
      <c r="G747" s="113">
        <v>0</v>
      </c>
      <c r="H747" s="281">
        <v>45513</v>
      </c>
      <c r="I747" s="158">
        <v>45513</v>
      </c>
      <c r="J747" s="158">
        <v>45519</v>
      </c>
      <c r="L747" s="137">
        <v>2</v>
      </c>
      <c r="M747" s="138">
        <v>6</v>
      </c>
      <c r="N747" s="270" t="s">
        <v>2234</v>
      </c>
      <c r="R747" s="119" t="s">
        <v>1083</v>
      </c>
      <c r="T747" s="117">
        <v>0</v>
      </c>
      <c r="U747" s="117">
        <v>0</v>
      </c>
      <c r="V747" s="117">
        <v>1</v>
      </c>
      <c r="W747" s="117">
        <v>0</v>
      </c>
      <c r="X747" s="117">
        <v>1</v>
      </c>
      <c r="Y747" s="117">
        <v>1</v>
      </c>
      <c r="Z747" s="119" t="s">
        <v>58</v>
      </c>
      <c r="AA747" s="117">
        <v>1</v>
      </c>
      <c r="AB747" s="114">
        <f t="shared" ref="AB747:AB770" si="232">_xlfn.IFS(AT747&gt;51,3,AT747&gt;=34,2,AT747&lt;34,1)</f>
        <v>1</v>
      </c>
      <c r="AC747" s="114">
        <f t="shared" ref="AC747:AC770" si="233">_xlfn.IFS(AS747&gt;35,1,AS747&gt;=28,2,AS747&lt;28,3)</f>
        <v>2</v>
      </c>
      <c r="AD747" s="114">
        <f t="shared" ref="AD747:AD770" si="234">_xlfn.IFS(AR747&gt;2.3,3,AR747&gt;=1.7,2,AR747&lt;1.7,1)</f>
        <v>1</v>
      </c>
      <c r="AE747" s="114">
        <f t="shared" ref="AE747:AE770" si="235">Y747+AA747+AB747+AC747+AD747</f>
        <v>6</v>
      </c>
      <c r="AF747" s="119" t="s">
        <v>59</v>
      </c>
      <c r="AG747" s="114">
        <f t="shared" ref="AG747:AG789" si="236">AT747/17.1</f>
        <v>1.09941520467836</v>
      </c>
      <c r="AH747" s="114">
        <f t="shared" ref="AH747:AH789" si="237">AU747/88.4</f>
        <v>0.599547511312217</v>
      </c>
      <c r="AI747" s="114">
        <f t="shared" ref="AI747:AI789" si="238">AR747</f>
        <v>1.41</v>
      </c>
      <c r="AJ747" s="159">
        <f t="shared" ref="AJ747:AJ791" si="239">LN(IF(AG747&gt;=1,AG747,1))*3.8+LN(IF(AH747&gt;=1,AH747,1))*9.6+11.2*LN(IF(AI747&gt;=1,AI747,1))+6.4*AN747</f>
        <v>10.6083626332126</v>
      </c>
      <c r="AK747" s="160">
        <f t="shared" ref="AK747:AK789" si="240">IF(AND(AG747&gt;0,AH747&gt;0,AI747&gt;0),AJ747,"")</f>
        <v>10.6083626332126</v>
      </c>
      <c r="AL747" s="141">
        <f t="shared" ref="AL747:AL789" si="241">AK747+1.59*(135-AM747)</f>
        <v>10.6083626332126</v>
      </c>
      <c r="AM747" s="241">
        <f t="shared" ref="AM747:AM789" si="242">IF(AV747&gt;135,135,IF(AV747&lt;120,120,AV747))</f>
        <v>135</v>
      </c>
      <c r="AN747" s="117">
        <v>1</v>
      </c>
      <c r="AP747" s="117">
        <v>1.87</v>
      </c>
      <c r="AQ747" s="117">
        <v>92</v>
      </c>
      <c r="AR747" s="117">
        <v>1.41</v>
      </c>
      <c r="AS747" s="141">
        <v>29</v>
      </c>
      <c r="AT747" s="142">
        <v>18.8</v>
      </c>
      <c r="AU747" s="117">
        <v>53</v>
      </c>
      <c r="AV747" s="117">
        <v>139</v>
      </c>
      <c r="AZ747" s="119" t="s">
        <v>2235</v>
      </c>
    </row>
    <row r="748" spans="1:52">
      <c r="A748" s="113" t="s">
        <v>2236</v>
      </c>
      <c r="B748" s="113" t="s">
        <v>53</v>
      </c>
      <c r="C748" s="113">
        <v>74</v>
      </c>
      <c r="D748" s="113">
        <v>1.55</v>
      </c>
      <c r="E748" s="113">
        <v>55</v>
      </c>
      <c r="F748" s="136">
        <f t="shared" si="231"/>
        <v>22.8928199791883</v>
      </c>
      <c r="G748" s="113">
        <v>0</v>
      </c>
      <c r="H748" s="281">
        <v>45499</v>
      </c>
      <c r="I748" s="158">
        <v>45513</v>
      </c>
      <c r="J748" s="158">
        <v>45517</v>
      </c>
      <c r="L748" s="137">
        <v>1</v>
      </c>
      <c r="M748" s="138">
        <v>4</v>
      </c>
      <c r="N748" s="270" t="s">
        <v>2237</v>
      </c>
      <c r="Q748" s="119" t="s">
        <v>1083</v>
      </c>
      <c r="T748" s="117">
        <v>0</v>
      </c>
      <c r="U748" s="117">
        <v>1</v>
      </c>
      <c r="V748" s="117">
        <v>0</v>
      </c>
      <c r="W748" s="117">
        <v>0</v>
      </c>
      <c r="X748" s="117">
        <v>1</v>
      </c>
      <c r="Y748" s="117">
        <v>2</v>
      </c>
      <c r="Z748" s="119" t="s">
        <v>58</v>
      </c>
      <c r="AA748" s="119">
        <v>1</v>
      </c>
      <c r="AB748" s="114">
        <f t="shared" si="232"/>
        <v>1</v>
      </c>
      <c r="AC748" s="114">
        <f t="shared" si="233"/>
        <v>2</v>
      </c>
      <c r="AD748" s="114">
        <f t="shared" si="234"/>
        <v>1</v>
      </c>
      <c r="AE748" s="114">
        <f t="shared" si="235"/>
        <v>7</v>
      </c>
      <c r="AF748" s="119" t="s">
        <v>63</v>
      </c>
      <c r="AG748" s="114">
        <f t="shared" si="236"/>
        <v>0.947368421052631</v>
      </c>
      <c r="AH748" s="114">
        <f t="shared" si="237"/>
        <v>0.667420814479638</v>
      </c>
      <c r="AI748" s="114">
        <f t="shared" si="238"/>
        <v>1.1</v>
      </c>
      <c r="AJ748" s="159">
        <f t="shared" si="239"/>
        <v>7.46747401380844</v>
      </c>
      <c r="AK748" s="160">
        <f t="shared" si="240"/>
        <v>7.46747401380844</v>
      </c>
      <c r="AL748" s="141">
        <f t="shared" si="241"/>
        <v>7.46747401380844</v>
      </c>
      <c r="AM748" s="241">
        <f t="shared" si="242"/>
        <v>135</v>
      </c>
      <c r="AN748" s="117">
        <v>1</v>
      </c>
      <c r="AP748" s="117">
        <v>6.44</v>
      </c>
      <c r="AQ748" s="117">
        <v>111</v>
      </c>
      <c r="AR748" s="117">
        <v>1.1</v>
      </c>
      <c r="AS748" s="141">
        <v>29</v>
      </c>
      <c r="AT748" s="142">
        <v>16.2</v>
      </c>
      <c r="AU748" s="117">
        <v>59</v>
      </c>
      <c r="AV748" s="117">
        <v>146</v>
      </c>
      <c r="AZ748" s="119" t="s">
        <v>58</v>
      </c>
    </row>
    <row r="749" spans="1:52">
      <c r="A749" s="113" t="s">
        <v>234</v>
      </c>
      <c r="B749" s="113" t="s">
        <v>48</v>
      </c>
      <c r="C749" s="113">
        <v>67</v>
      </c>
      <c r="D749" s="113">
        <v>1.72</v>
      </c>
      <c r="E749" s="113">
        <v>82</v>
      </c>
      <c r="F749" s="136">
        <f t="shared" si="231"/>
        <v>27.7176852352623</v>
      </c>
      <c r="G749" s="113">
        <v>6</v>
      </c>
      <c r="H749" s="281">
        <v>45499</v>
      </c>
      <c r="I749" s="158">
        <v>45499</v>
      </c>
      <c r="J749" s="158">
        <v>45514</v>
      </c>
      <c r="L749" s="137">
        <v>3</v>
      </c>
      <c r="M749" s="138">
        <v>15</v>
      </c>
      <c r="N749" s="270" t="s">
        <v>2238</v>
      </c>
      <c r="P749" s="117">
        <v>1</v>
      </c>
      <c r="T749" s="117">
        <v>1</v>
      </c>
      <c r="U749" s="117">
        <v>0</v>
      </c>
      <c r="V749" s="117">
        <v>1</v>
      </c>
      <c r="W749" s="117">
        <v>0</v>
      </c>
      <c r="X749" s="117">
        <v>1</v>
      </c>
      <c r="Y749" s="117">
        <v>1</v>
      </c>
      <c r="Z749" s="119" t="s">
        <v>300</v>
      </c>
      <c r="AA749" s="117">
        <v>2</v>
      </c>
      <c r="AB749" s="114">
        <f t="shared" si="232"/>
        <v>2</v>
      </c>
      <c r="AC749" s="114">
        <f t="shared" si="233"/>
        <v>2</v>
      </c>
      <c r="AD749" s="114">
        <f t="shared" si="234"/>
        <v>1</v>
      </c>
      <c r="AE749" s="114">
        <f t="shared" si="235"/>
        <v>8</v>
      </c>
      <c r="AF749" s="119" t="s">
        <v>63</v>
      </c>
      <c r="AG749" s="114">
        <f t="shared" si="236"/>
        <v>2.36842105263158</v>
      </c>
      <c r="AH749" s="114">
        <f t="shared" si="237"/>
        <v>1.65158371040724</v>
      </c>
      <c r="AI749" s="114">
        <f t="shared" si="238"/>
        <v>1.23</v>
      </c>
      <c r="AJ749" s="159">
        <f t="shared" si="239"/>
        <v>10.4116606972207</v>
      </c>
      <c r="AK749" s="160">
        <f t="shared" si="240"/>
        <v>10.4116606972207</v>
      </c>
      <c r="AL749" s="141">
        <f t="shared" si="241"/>
        <v>10.4116606972207</v>
      </c>
      <c r="AM749" s="241">
        <f t="shared" si="242"/>
        <v>135</v>
      </c>
      <c r="AN749" s="117">
        <v>0</v>
      </c>
      <c r="AP749" s="117">
        <v>2.48</v>
      </c>
      <c r="AQ749" s="117">
        <v>59</v>
      </c>
      <c r="AR749" s="117">
        <v>1.23</v>
      </c>
      <c r="AS749" s="141">
        <v>28</v>
      </c>
      <c r="AT749" s="142">
        <v>40.5</v>
      </c>
      <c r="AU749" s="117">
        <v>146</v>
      </c>
      <c r="AV749" s="117">
        <v>138</v>
      </c>
      <c r="AZ749" s="119" t="s">
        <v>2239</v>
      </c>
    </row>
    <row r="750" spans="1:52">
      <c r="A750" s="113" t="s">
        <v>2240</v>
      </c>
      <c r="B750" s="113" t="s">
        <v>53</v>
      </c>
      <c r="C750" s="113">
        <v>60</v>
      </c>
      <c r="D750" s="113">
        <v>1.6</v>
      </c>
      <c r="E750" s="113">
        <v>60</v>
      </c>
      <c r="F750" s="136">
        <f t="shared" si="231"/>
        <v>23.4375</v>
      </c>
      <c r="G750" s="113">
        <v>1</v>
      </c>
      <c r="H750" s="281">
        <v>45495</v>
      </c>
      <c r="I750" s="158">
        <v>45495</v>
      </c>
      <c r="J750" s="158">
        <v>45500</v>
      </c>
      <c r="L750" s="137">
        <v>1</v>
      </c>
      <c r="M750" s="138">
        <v>5</v>
      </c>
      <c r="N750" s="270" t="s">
        <v>2241</v>
      </c>
      <c r="O750" s="117">
        <v>1</v>
      </c>
      <c r="T750" s="117">
        <v>1</v>
      </c>
      <c r="U750" s="117">
        <v>0</v>
      </c>
      <c r="V750" s="117">
        <v>1</v>
      </c>
      <c r="W750" s="117">
        <v>0</v>
      </c>
      <c r="X750" s="117">
        <v>1</v>
      </c>
      <c r="Y750" s="117">
        <v>1</v>
      </c>
      <c r="Z750" s="119" t="s">
        <v>300</v>
      </c>
      <c r="AA750" s="117">
        <v>2</v>
      </c>
      <c r="AB750" s="114">
        <f t="shared" si="232"/>
        <v>1</v>
      </c>
      <c r="AC750" s="114">
        <f t="shared" si="233"/>
        <v>2</v>
      </c>
      <c r="AD750" s="114">
        <f t="shared" si="234"/>
        <v>1</v>
      </c>
      <c r="AE750" s="114">
        <f t="shared" si="235"/>
        <v>7</v>
      </c>
      <c r="AG750" s="114">
        <f t="shared" si="236"/>
        <v>0.695906432748538</v>
      </c>
      <c r="AH750" s="114">
        <f t="shared" si="237"/>
        <v>0.769230769230769</v>
      </c>
      <c r="AI750" s="114">
        <f t="shared" si="238"/>
        <v>1.25</v>
      </c>
      <c r="AJ750" s="159">
        <f t="shared" si="239"/>
        <v>8.89920777471915</v>
      </c>
      <c r="AK750" s="160">
        <f t="shared" si="240"/>
        <v>8.89920777471915</v>
      </c>
      <c r="AL750" s="141">
        <f t="shared" si="241"/>
        <v>8.89920777471915</v>
      </c>
      <c r="AM750" s="241">
        <f t="shared" si="242"/>
        <v>135</v>
      </c>
      <c r="AN750" s="117">
        <v>1</v>
      </c>
      <c r="AP750" s="117">
        <v>1.88</v>
      </c>
      <c r="AQ750" s="117">
        <v>65</v>
      </c>
      <c r="AR750" s="117">
        <v>1.25</v>
      </c>
      <c r="AS750" s="141">
        <v>31</v>
      </c>
      <c r="AT750" s="142">
        <v>11.9</v>
      </c>
      <c r="AU750" s="117">
        <v>68</v>
      </c>
      <c r="AV750" s="117">
        <v>141</v>
      </c>
      <c r="AZ750" s="119" t="s">
        <v>2242</v>
      </c>
    </row>
    <row r="751" spans="1:52">
      <c r="A751" s="113" t="s">
        <v>2243</v>
      </c>
      <c r="B751" s="113" t="s">
        <v>48</v>
      </c>
      <c r="C751" s="113">
        <v>72</v>
      </c>
      <c r="D751" s="113">
        <v>1.78</v>
      </c>
      <c r="E751" s="113">
        <v>64</v>
      </c>
      <c r="F751" s="136">
        <f t="shared" si="231"/>
        <v>20.1994697639187</v>
      </c>
      <c r="G751" s="113">
        <v>3</v>
      </c>
      <c r="H751" s="281">
        <v>45496</v>
      </c>
      <c r="I751" s="158">
        <v>45496</v>
      </c>
      <c r="J751" s="158">
        <v>45508</v>
      </c>
      <c r="L751" s="137">
        <v>1</v>
      </c>
      <c r="M751" s="138">
        <v>12</v>
      </c>
      <c r="N751" s="270" t="s">
        <v>2244</v>
      </c>
      <c r="P751" s="117">
        <v>1</v>
      </c>
      <c r="T751" s="117">
        <v>1</v>
      </c>
      <c r="U751" s="117">
        <v>0</v>
      </c>
      <c r="V751" s="117">
        <v>1</v>
      </c>
      <c r="W751" s="117">
        <v>0</v>
      </c>
      <c r="X751" s="117">
        <v>1</v>
      </c>
      <c r="Y751" s="117">
        <v>1</v>
      </c>
      <c r="Z751" s="119" t="s">
        <v>1752</v>
      </c>
      <c r="AA751" s="117">
        <v>3</v>
      </c>
      <c r="AB751" s="114">
        <f t="shared" si="232"/>
        <v>1</v>
      </c>
      <c r="AC751" s="114">
        <f t="shared" si="233"/>
        <v>1</v>
      </c>
      <c r="AD751" s="114">
        <f t="shared" si="234"/>
        <v>1</v>
      </c>
      <c r="AE751" s="114">
        <f t="shared" si="235"/>
        <v>7</v>
      </c>
      <c r="AG751" s="114">
        <f t="shared" si="236"/>
        <v>1.21052631578947</v>
      </c>
      <c r="AH751" s="114">
        <f t="shared" si="237"/>
        <v>1.44796380090498</v>
      </c>
      <c r="AI751" s="114">
        <f t="shared" si="238"/>
        <v>1.32</v>
      </c>
      <c r="AJ751" s="159">
        <f t="shared" si="239"/>
        <v>7.38900497464881</v>
      </c>
      <c r="AK751" s="160">
        <f t="shared" si="240"/>
        <v>7.38900497464881</v>
      </c>
      <c r="AL751" s="141">
        <f t="shared" si="241"/>
        <v>7.38900497464881</v>
      </c>
      <c r="AM751" s="241">
        <f t="shared" si="242"/>
        <v>135</v>
      </c>
      <c r="AN751" s="117">
        <v>0</v>
      </c>
      <c r="AP751" s="117">
        <v>2.06</v>
      </c>
      <c r="AQ751" s="117">
        <v>92</v>
      </c>
      <c r="AR751" s="117">
        <v>1.32</v>
      </c>
      <c r="AS751" s="141">
        <v>36</v>
      </c>
      <c r="AT751" s="142">
        <v>20.7</v>
      </c>
      <c r="AU751" s="117">
        <v>128</v>
      </c>
      <c r="AV751" s="117">
        <v>137</v>
      </c>
      <c r="AZ751" s="119" t="s">
        <v>2245</v>
      </c>
    </row>
    <row r="752" spans="1:52">
      <c r="A752" s="113" t="s">
        <v>2246</v>
      </c>
      <c r="B752" s="113" t="s">
        <v>48</v>
      </c>
      <c r="C752" s="113">
        <v>66</v>
      </c>
      <c r="D752" s="113">
        <v>1.72</v>
      </c>
      <c r="E752" s="113">
        <v>80</v>
      </c>
      <c r="F752" s="136">
        <f t="shared" si="231"/>
        <v>27.0416441319632</v>
      </c>
      <c r="G752" s="113">
        <v>0</v>
      </c>
      <c r="H752" s="281">
        <v>45492</v>
      </c>
      <c r="I752" s="158">
        <v>45492</v>
      </c>
      <c r="J752" s="158">
        <v>45499</v>
      </c>
      <c r="L752" s="137">
        <v>3</v>
      </c>
      <c r="M752" s="138">
        <v>7</v>
      </c>
      <c r="N752" s="270" t="s">
        <v>2247</v>
      </c>
      <c r="S752" s="119" t="s">
        <v>1083</v>
      </c>
      <c r="T752" s="117">
        <v>0</v>
      </c>
      <c r="U752" s="117">
        <v>0</v>
      </c>
      <c r="V752" s="117">
        <v>1</v>
      </c>
      <c r="W752" s="117">
        <v>0</v>
      </c>
      <c r="X752" s="117">
        <v>1</v>
      </c>
      <c r="Y752" s="117">
        <v>1</v>
      </c>
      <c r="Z752" s="119" t="s">
        <v>58</v>
      </c>
      <c r="AA752" s="117">
        <v>1</v>
      </c>
      <c r="AB752" s="114">
        <f t="shared" si="232"/>
        <v>2</v>
      </c>
      <c r="AC752" s="114">
        <f t="shared" si="233"/>
        <v>1</v>
      </c>
      <c r="AD752" s="114">
        <f t="shared" si="234"/>
        <v>1</v>
      </c>
      <c r="AE752" s="114">
        <f t="shared" si="235"/>
        <v>6</v>
      </c>
      <c r="AG752" s="114">
        <f t="shared" si="236"/>
        <v>2.33918128654971</v>
      </c>
      <c r="AH752" s="114">
        <f t="shared" si="237"/>
        <v>0.531674208144796</v>
      </c>
      <c r="AI752" s="114">
        <f t="shared" si="238"/>
        <v>1.57</v>
      </c>
      <c r="AJ752" s="159">
        <f t="shared" si="239"/>
        <v>14.6812907011347</v>
      </c>
      <c r="AK752" s="160">
        <f t="shared" si="240"/>
        <v>14.6812907011347</v>
      </c>
      <c r="AL752" s="141">
        <f t="shared" si="241"/>
        <v>14.6812907011347</v>
      </c>
      <c r="AM752" s="241">
        <f t="shared" si="242"/>
        <v>135</v>
      </c>
      <c r="AN752" s="117">
        <v>1</v>
      </c>
      <c r="AP752" s="117">
        <v>2.55</v>
      </c>
      <c r="AQ752" s="117">
        <v>91</v>
      </c>
      <c r="AR752" s="117">
        <v>1.57</v>
      </c>
      <c r="AS752" s="141">
        <v>36</v>
      </c>
      <c r="AT752" s="142">
        <v>40</v>
      </c>
      <c r="AU752" s="117">
        <v>47</v>
      </c>
      <c r="AV752" s="117">
        <v>139</v>
      </c>
      <c r="AZ752" s="119" t="s">
        <v>58</v>
      </c>
    </row>
    <row r="753" spans="1:52">
      <c r="A753" s="113" t="s">
        <v>1551</v>
      </c>
      <c r="B753" s="113" t="s">
        <v>53</v>
      </c>
      <c r="C753" s="113">
        <v>74</v>
      </c>
      <c r="D753" s="113">
        <v>1.6</v>
      </c>
      <c r="E753" s="113">
        <v>58</v>
      </c>
      <c r="F753" s="136">
        <f t="shared" si="231"/>
        <v>22.65625</v>
      </c>
      <c r="G753" s="113">
        <v>0</v>
      </c>
      <c r="H753" s="281">
        <v>45495</v>
      </c>
      <c r="I753" s="158">
        <v>45495</v>
      </c>
      <c r="J753" s="158">
        <v>45506</v>
      </c>
      <c r="L753" s="137">
        <v>4</v>
      </c>
      <c r="M753" s="138">
        <v>11</v>
      </c>
      <c r="N753" s="270" t="s">
        <v>2248</v>
      </c>
      <c r="R753" s="117">
        <v>1</v>
      </c>
      <c r="T753" s="117">
        <v>1</v>
      </c>
      <c r="U753" s="117">
        <v>0</v>
      </c>
      <c r="V753" s="117">
        <v>1</v>
      </c>
      <c r="W753" s="117">
        <v>0</v>
      </c>
      <c r="X753" s="117">
        <v>1</v>
      </c>
      <c r="Y753" s="117">
        <v>1</v>
      </c>
      <c r="Z753" s="119" t="s">
        <v>307</v>
      </c>
      <c r="AA753" s="117">
        <v>3</v>
      </c>
      <c r="AB753" s="114">
        <f t="shared" si="232"/>
        <v>1</v>
      </c>
      <c r="AC753" s="114">
        <f t="shared" si="233"/>
        <v>1</v>
      </c>
      <c r="AD753" s="114">
        <f t="shared" si="234"/>
        <v>1</v>
      </c>
      <c r="AE753" s="114">
        <f t="shared" si="235"/>
        <v>7</v>
      </c>
      <c r="AG753" s="114">
        <f t="shared" si="236"/>
        <v>1.6140350877193</v>
      </c>
      <c r="AH753" s="114">
        <f t="shared" si="237"/>
        <v>0.622171945701357</v>
      </c>
      <c r="AI753" s="114">
        <f t="shared" si="238"/>
        <v>1.09</v>
      </c>
      <c r="AJ753" s="159">
        <f t="shared" si="239"/>
        <v>2.78439197291485</v>
      </c>
      <c r="AK753" s="160">
        <f t="shared" si="240"/>
        <v>2.78439197291485</v>
      </c>
      <c r="AL753" s="141">
        <f t="shared" si="241"/>
        <v>2.78439197291485</v>
      </c>
      <c r="AM753" s="241">
        <f t="shared" si="242"/>
        <v>135</v>
      </c>
      <c r="AN753" s="117">
        <v>0</v>
      </c>
      <c r="AP753" s="117">
        <v>4.69</v>
      </c>
      <c r="AQ753" s="117">
        <v>115</v>
      </c>
      <c r="AR753" s="117">
        <v>1.09</v>
      </c>
      <c r="AS753" s="141">
        <v>42</v>
      </c>
      <c r="AT753" s="142">
        <v>27.6</v>
      </c>
      <c r="AU753" s="117">
        <v>55</v>
      </c>
      <c r="AV753" s="117">
        <v>143</v>
      </c>
      <c r="AZ753" s="119" t="s">
        <v>2249</v>
      </c>
    </row>
    <row r="754" spans="1:52">
      <c r="A754" s="113" t="s">
        <v>100</v>
      </c>
      <c r="B754" s="113" t="s">
        <v>53</v>
      </c>
      <c r="C754" s="113">
        <v>62</v>
      </c>
      <c r="D754" s="113">
        <v>1.62</v>
      </c>
      <c r="E754" s="113">
        <v>45</v>
      </c>
      <c r="F754" s="136">
        <f t="shared" si="231"/>
        <v>17.1467764060357</v>
      </c>
      <c r="G754" s="113">
        <v>7</v>
      </c>
      <c r="H754" s="281">
        <v>45491</v>
      </c>
      <c r="I754" s="158">
        <v>45491</v>
      </c>
      <c r="J754" s="158">
        <v>45505</v>
      </c>
      <c r="L754" s="137">
        <v>8</v>
      </c>
      <c r="M754" s="138">
        <v>14</v>
      </c>
      <c r="N754" s="270" t="s">
        <v>2250</v>
      </c>
      <c r="Q754" s="117">
        <v>1</v>
      </c>
      <c r="T754" s="117">
        <v>1</v>
      </c>
      <c r="U754" s="117">
        <v>0</v>
      </c>
      <c r="V754" s="117">
        <v>1</v>
      </c>
      <c r="W754" s="117">
        <v>0</v>
      </c>
      <c r="X754" s="117">
        <v>1</v>
      </c>
      <c r="Y754" s="117">
        <v>1</v>
      </c>
      <c r="Z754" s="119" t="s">
        <v>321</v>
      </c>
      <c r="AA754" s="117">
        <v>3</v>
      </c>
      <c r="AB754" s="114">
        <f t="shared" si="232"/>
        <v>1</v>
      </c>
      <c r="AC754" s="114">
        <f t="shared" si="233"/>
        <v>3</v>
      </c>
      <c r="AD754" s="114">
        <f t="shared" si="234"/>
        <v>1</v>
      </c>
      <c r="AE754" s="114">
        <f t="shared" si="235"/>
        <v>9</v>
      </c>
      <c r="AG754" s="114">
        <f t="shared" si="236"/>
        <v>1.57309941520468</v>
      </c>
      <c r="AH754" s="114">
        <f t="shared" si="237"/>
        <v>0.509049773755656</v>
      </c>
      <c r="AI754" s="114">
        <f t="shared" si="238"/>
        <v>1.54</v>
      </c>
      <c r="AJ754" s="159">
        <f t="shared" si="239"/>
        <v>12.9575447917429</v>
      </c>
      <c r="AK754" s="160">
        <f t="shared" si="240"/>
        <v>12.9575447917429</v>
      </c>
      <c r="AL754" s="141">
        <f t="shared" si="241"/>
        <v>12.9575447917429</v>
      </c>
      <c r="AM754" s="241">
        <f t="shared" si="242"/>
        <v>135</v>
      </c>
      <c r="AN754" s="117">
        <v>1</v>
      </c>
      <c r="AP754" s="117">
        <v>1.31</v>
      </c>
      <c r="AQ754" s="117">
        <v>34</v>
      </c>
      <c r="AR754" s="117">
        <v>1.54</v>
      </c>
      <c r="AS754" s="141">
        <v>26</v>
      </c>
      <c r="AT754" s="142">
        <v>26.9</v>
      </c>
      <c r="AU754" s="117">
        <v>45</v>
      </c>
      <c r="AV754" s="117">
        <v>137</v>
      </c>
      <c r="AZ754" s="119" t="s">
        <v>2251</v>
      </c>
    </row>
    <row r="755" spans="1:52">
      <c r="A755" s="113" t="s">
        <v>2252</v>
      </c>
      <c r="B755" s="113" t="s">
        <v>48</v>
      </c>
      <c r="C755" s="113">
        <v>70</v>
      </c>
      <c r="D755" s="113">
        <v>1.75</v>
      </c>
      <c r="E755" s="113">
        <v>70</v>
      </c>
      <c r="F755" s="136">
        <f t="shared" si="231"/>
        <v>22.8571428571429</v>
      </c>
      <c r="G755" s="113">
        <v>6</v>
      </c>
      <c r="H755" s="281">
        <v>45490</v>
      </c>
      <c r="I755" s="158">
        <v>45490</v>
      </c>
      <c r="J755" s="158">
        <v>45500</v>
      </c>
      <c r="L755" s="137">
        <v>2</v>
      </c>
      <c r="M755" s="138">
        <v>10</v>
      </c>
      <c r="N755" s="270" t="s">
        <v>2253</v>
      </c>
      <c r="P755" s="117">
        <v>1</v>
      </c>
      <c r="T755" s="117">
        <v>1</v>
      </c>
      <c r="U755" s="117">
        <v>1</v>
      </c>
      <c r="V755" s="117">
        <v>1</v>
      </c>
      <c r="W755" s="117">
        <v>0</v>
      </c>
      <c r="X755" s="117">
        <v>1</v>
      </c>
      <c r="Y755" s="117">
        <v>2</v>
      </c>
      <c r="Z755" s="119" t="s">
        <v>307</v>
      </c>
      <c r="AA755" s="117">
        <v>3</v>
      </c>
      <c r="AB755" s="114">
        <f t="shared" si="232"/>
        <v>2</v>
      </c>
      <c r="AC755" s="114">
        <f t="shared" si="233"/>
        <v>1</v>
      </c>
      <c r="AD755" s="114">
        <f t="shared" si="234"/>
        <v>1</v>
      </c>
      <c r="AE755" s="114">
        <f t="shared" si="235"/>
        <v>9</v>
      </c>
      <c r="AG755" s="114">
        <f t="shared" si="236"/>
        <v>2.09941520467836</v>
      </c>
      <c r="AH755" s="114">
        <f t="shared" si="237"/>
        <v>0.83710407239819</v>
      </c>
      <c r="AI755" s="114">
        <f t="shared" si="238"/>
        <v>1.3</v>
      </c>
      <c r="AJ755" s="159">
        <f t="shared" si="239"/>
        <v>5.75678332358125</v>
      </c>
      <c r="AK755" s="160">
        <f t="shared" si="240"/>
        <v>5.75678332358125</v>
      </c>
      <c r="AL755" s="141">
        <f t="shared" si="241"/>
        <v>5.75678332358125</v>
      </c>
      <c r="AM755" s="241">
        <f t="shared" si="242"/>
        <v>135</v>
      </c>
      <c r="AN755" s="117">
        <v>0</v>
      </c>
      <c r="AP755" s="117">
        <v>5.89</v>
      </c>
      <c r="AQ755" s="117">
        <v>120</v>
      </c>
      <c r="AR755" s="117">
        <v>1.3</v>
      </c>
      <c r="AS755" s="141">
        <v>38</v>
      </c>
      <c r="AT755" s="142">
        <v>35.9</v>
      </c>
      <c r="AU755" s="117">
        <v>74</v>
      </c>
      <c r="AV755" s="117">
        <v>140</v>
      </c>
      <c r="AZ755" s="119" t="s">
        <v>2254</v>
      </c>
    </row>
    <row r="756" s="114" customFormat="1" spans="1:52">
      <c r="A756" s="298" t="s">
        <v>2255</v>
      </c>
      <c r="B756" s="298" t="s">
        <v>53</v>
      </c>
      <c r="C756" s="298">
        <v>65</v>
      </c>
      <c r="D756" s="298">
        <v>1.75</v>
      </c>
      <c r="E756" s="298">
        <v>55</v>
      </c>
      <c r="F756" s="136">
        <f t="shared" si="231"/>
        <v>17.9591836734694</v>
      </c>
      <c r="G756" s="298">
        <v>0</v>
      </c>
      <c r="H756" s="299">
        <v>45485</v>
      </c>
      <c r="I756" s="210">
        <v>45485</v>
      </c>
      <c r="J756" s="210">
        <v>45497</v>
      </c>
      <c r="K756" s="114"/>
      <c r="L756" s="138">
        <v>1</v>
      </c>
      <c r="M756" s="138">
        <v>12</v>
      </c>
      <c r="N756" s="265" t="s">
        <v>2256</v>
      </c>
      <c r="O756" s="114"/>
      <c r="P756" s="114"/>
      <c r="Q756" s="114">
        <v>1</v>
      </c>
      <c r="R756" s="114"/>
      <c r="S756" s="114"/>
      <c r="T756" s="114">
        <v>0</v>
      </c>
      <c r="U756" s="114">
        <v>0</v>
      </c>
      <c r="V756" s="114">
        <v>1</v>
      </c>
      <c r="W756" s="114">
        <v>0</v>
      </c>
      <c r="X756" s="114">
        <v>1</v>
      </c>
      <c r="Y756" s="114">
        <v>1</v>
      </c>
      <c r="Z756" s="116" t="s">
        <v>58</v>
      </c>
      <c r="AA756" s="114">
        <v>1</v>
      </c>
      <c r="AB756" s="114">
        <f t="shared" si="232"/>
        <v>1</v>
      </c>
      <c r="AC756" s="114">
        <f t="shared" si="233"/>
        <v>2</v>
      </c>
      <c r="AD756" s="114">
        <f t="shared" si="234"/>
        <v>1</v>
      </c>
      <c r="AE756" s="114">
        <f t="shared" si="235"/>
        <v>6</v>
      </c>
      <c r="AG756" s="114">
        <f t="shared" si="236"/>
        <v>0.432748538011696</v>
      </c>
      <c r="AH756" s="114">
        <f t="shared" si="237"/>
        <v>0.667420814479638</v>
      </c>
      <c r="AI756" s="114">
        <f t="shared" si="238"/>
        <v>1.16</v>
      </c>
      <c r="AJ756" s="159">
        <f t="shared" si="239"/>
        <v>8.06230405732466</v>
      </c>
      <c r="AK756" s="160">
        <f t="shared" si="240"/>
        <v>8.06230405732466</v>
      </c>
      <c r="AL756" s="141">
        <f t="shared" si="241"/>
        <v>8.06230405732466</v>
      </c>
      <c r="AM756" s="241">
        <f t="shared" si="242"/>
        <v>135</v>
      </c>
      <c r="AN756" s="114">
        <v>1</v>
      </c>
      <c r="AO756" s="114"/>
      <c r="AP756" s="114">
        <v>2.03</v>
      </c>
      <c r="AQ756" s="114">
        <v>82</v>
      </c>
      <c r="AR756" s="114">
        <v>1.16</v>
      </c>
      <c r="AS756" s="160">
        <v>35</v>
      </c>
      <c r="AT756" s="161">
        <v>7.4</v>
      </c>
      <c r="AU756" s="114">
        <v>59</v>
      </c>
      <c r="AV756" s="114">
        <v>143</v>
      </c>
      <c r="AW756" s="114"/>
      <c r="AX756" s="114"/>
      <c r="AY756" s="114"/>
      <c r="AZ756" s="116" t="s">
        <v>2257</v>
      </c>
    </row>
    <row r="757" spans="1:52">
      <c r="A757" s="113" t="s">
        <v>2252</v>
      </c>
      <c r="B757" s="113" t="s">
        <v>48</v>
      </c>
      <c r="C757" s="113">
        <v>70</v>
      </c>
      <c r="D757" s="113">
        <v>1.75</v>
      </c>
      <c r="E757" s="113">
        <v>70</v>
      </c>
      <c r="F757" s="136">
        <f t="shared" si="231"/>
        <v>22.8571428571429</v>
      </c>
      <c r="G757" s="113">
        <v>6</v>
      </c>
      <c r="H757" s="281">
        <v>45475</v>
      </c>
      <c r="I757" s="158">
        <v>45475</v>
      </c>
      <c r="J757" s="158">
        <v>45482</v>
      </c>
      <c r="L757" s="137">
        <v>1</v>
      </c>
      <c r="M757" s="138">
        <v>7</v>
      </c>
      <c r="N757" s="270" t="s">
        <v>2258</v>
      </c>
      <c r="P757" s="117">
        <v>1</v>
      </c>
      <c r="T757" s="117">
        <v>1</v>
      </c>
      <c r="U757" s="117">
        <v>0</v>
      </c>
      <c r="V757" s="117">
        <v>1</v>
      </c>
      <c r="W757" s="117">
        <v>0</v>
      </c>
      <c r="X757" s="117">
        <v>1</v>
      </c>
      <c r="Y757" s="117">
        <v>1</v>
      </c>
      <c r="Z757" s="119" t="s">
        <v>321</v>
      </c>
      <c r="AA757" s="117">
        <v>3</v>
      </c>
      <c r="AB757" s="114">
        <f t="shared" si="232"/>
        <v>2</v>
      </c>
      <c r="AC757" s="114">
        <f t="shared" si="233"/>
        <v>3</v>
      </c>
      <c r="AD757" s="114">
        <f t="shared" si="234"/>
        <v>1</v>
      </c>
      <c r="AE757" s="114">
        <f t="shared" si="235"/>
        <v>10</v>
      </c>
      <c r="AG757" s="114">
        <f t="shared" si="236"/>
        <v>2.85380116959064</v>
      </c>
      <c r="AH757" s="114">
        <f t="shared" si="237"/>
        <v>0.599547511312217</v>
      </c>
      <c r="AI757" s="114">
        <f t="shared" si="238"/>
        <v>1.39</v>
      </c>
      <c r="AJ757" s="159">
        <f t="shared" si="239"/>
        <v>7.67307899552897</v>
      </c>
      <c r="AK757" s="160">
        <f t="shared" si="240"/>
        <v>7.67307899552897</v>
      </c>
      <c r="AL757" s="141">
        <f t="shared" si="241"/>
        <v>7.67307899552897</v>
      </c>
      <c r="AM757" s="241">
        <f t="shared" si="242"/>
        <v>135</v>
      </c>
      <c r="AN757" s="117">
        <v>0</v>
      </c>
      <c r="AP757" s="117">
        <v>3.74</v>
      </c>
      <c r="AQ757" s="117">
        <v>102</v>
      </c>
      <c r="AR757" s="117">
        <v>1.39</v>
      </c>
      <c r="AS757" s="141">
        <v>24</v>
      </c>
      <c r="AT757" s="142">
        <v>48.8</v>
      </c>
      <c r="AU757" s="117">
        <v>53</v>
      </c>
      <c r="AV757" s="117">
        <v>139</v>
      </c>
      <c r="AZ757" s="119" t="s">
        <v>2259</v>
      </c>
    </row>
    <row r="758" spans="1:52">
      <c r="A758" s="113" t="s">
        <v>2260</v>
      </c>
      <c r="B758" s="113" t="s">
        <v>53</v>
      </c>
      <c r="C758" s="113">
        <v>54</v>
      </c>
      <c r="D758" s="113">
        <v>1.59</v>
      </c>
      <c r="E758" s="113">
        <v>58</v>
      </c>
      <c r="F758" s="136">
        <f t="shared" si="231"/>
        <v>22.9421304537004</v>
      </c>
      <c r="G758" s="113">
        <v>1</v>
      </c>
      <c r="H758" s="281">
        <v>45481</v>
      </c>
      <c r="I758" s="158">
        <v>45481</v>
      </c>
      <c r="J758" s="158">
        <v>45485</v>
      </c>
      <c r="L758" s="137">
        <v>1</v>
      </c>
      <c r="M758" s="138">
        <v>4</v>
      </c>
      <c r="N758" s="270" t="s">
        <v>2261</v>
      </c>
      <c r="S758" s="117">
        <v>1</v>
      </c>
      <c r="T758" s="117">
        <v>0</v>
      </c>
      <c r="U758" s="117">
        <v>0</v>
      </c>
      <c r="V758" s="117">
        <v>1</v>
      </c>
      <c r="W758" s="117">
        <v>0</v>
      </c>
      <c r="X758" s="117">
        <v>1</v>
      </c>
      <c r="Y758" s="117">
        <v>1</v>
      </c>
      <c r="Z758" s="119" t="s">
        <v>321</v>
      </c>
      <c r="AA758" s="117">
        <v>3</v>
      </c>
      <c r="AB758" s="114">
        <f t="shared" si="232"/>
        <v>3</v>
      </c>
      <c r="AC758" s="114">
        <f t="shared" si="233"/>
        <v>2</v>
      </c>
      <c r="AD758" s="114">
        <f t="shared" si="234"/>
        <v>1</v>
      </c>
      <c r="AE758" s="114">
        <f t="shared" si="235"/>
        <v>10</v>
      </c>
      <c r="AG758" s="114">
        <f t="shared" si="236"/>
        <v>3.54385964912281</v>
      </c>
      <c r="AH758" s="114">
        <f t="shared" si="237"/>
        <v>0.497737556561086</v>
      </c>
      <c r="AI758" s="114">
        <f t="shared" si="238"/>
        <v>1.06</v>
      </c>
      <c r="AJ758" s="159">
        <f t="shared" si="239"/>
        <v>11.8604342033418</v>
      </c>
      <c r="AK758" s="160">
        <f t="shared" si="240"/>
        <v>11.8604342033418</v>
      </c>
      <c r="AL758" s="141">
        <f t="shared" si="241"/>
        <v>18.2204342033418</v>
      </c>
      <c r="AM758" s="241">
        <f t="shared" si="242"/>
        <v>131</v>
      </c>
      <c r="AN758" s="117">
        <v>1</v>
      </c>
      <c r="AP758" s="117">
        <v>2.47</v>
      </c>
      <c r="AQ758" s="117">
        <v>50</v>
      </c>
      <c r="AR758" s="117">
        <v>1.06</v>
      </c>
      <c r="AS758" s="141">
        <v>29</v>
      </c>
      <c r="AT758" s="142">
        <v>60.6</v>
      </c>
      <c r="AU758" s="117">
        <v>44</v>
      </c>
      <c r="AV758" s="117">
        <v>131</v>
      </c>
      <c r="AZ758" s="119" t="s">
        <v>2262</v>
      </c>
    </row>
    <row r="759" s="125" customFormat="1" spans="1:52">
      <c r="A759" s="272" t="s">
        <v>498</v>
      </c>
      <c r="B759" s="272" t="s">
        <v>53</v>
      </c>
      <c r="C759" s="272">
        <v>71</v>
      </c>
      <c r="D759" s="272">
        <v>1.6</v>
      </c>
      <c r="E759" s="272">
        <v>50</v>
      </c>
      <c r="F759" s="136">
        <f t="shared" si="231"/>
        <v>19.53125</v>
      </c>
      <c r="G759" s="272">
        <v>5</v>
      </c>
      <c r="H759" s="296">
        <v>45482</v>
      </c>
      <c r="I759" s="186">
        <v>45481</v>
      </c>
      <c r="J759" s="186">
        <v>45496</v>
      </c>
      <c r="K759" s="125"/>
      <c r="L759" s="187">
        <v>9</v>
      </c>
      <c r="M759" s="187">
        <v>15</v>
      </c>
      <c r="N759" s="248" t="s">
        <v>2263</v>
      </c>
      <c r="O759" s="125"/>
      <c r="P759" s="125"/>
      <c r="Q759" s="125">
        <v>1</v>
      </c>
      <c r="R759" s="125">
        <v>1</v>
      </c>
      <c r="S759" s="125"/>
      <c r="T759" s="125">
        <v>1</v>
      </c>
      <c r="U759" s="125">
        <v>0</v>
      </c>
      <c r="V759" s="125">
        <v>1</v>
      </c>
      <c r="W759" s="125">
        <v>0</v>
      </c>
      <c r="X759" s="125">
        <v>1</v>
      </c>
      <c r="Y759" s="125">
        <v>1</v>
      </c>
      <c r="Z759" s="131" t="s">
        <v>307</v>
      </c>
      <c r="AA759" s="125">
        <v>3</v>
      </c>
      <c r="AB759" s="114">
        <f t="shared" si="232"/>
        <v>1</v>
      </c>
      <c r="AC759" s="114">
        <f t="shared" si="233"/>
        <v>3</v>
      </c>
      <c r="AD759" s="114">
        <f t="shared" si="234"/>
        <v>1</v>
      </c>
      <c r="AE759" s="114">
        <f t="shared" si="235"/>
        <v>9</v>
      </c>
      <c r="AG759" s="114">
        <f t="shared" si="236"/>
        <v>1.35087719298246</v>
      </c>
      <c r="AH759" s="114">
        <f t="shared" si="237"/>
        <v>0.746606334841629</v>
      </c>
      <c r="AI759" s="114">
        <f t="shared" si="238"/>
        <v>1.24</v>
      </c>
      <c r="AJ759" s="159">
        <f t="shared" si="239"/>
        <v>3.5521132369825</v>
      </c>
      <c r="AK759" s="160">
        <f t="shared" si="240"/>
        <v>3.5521132369825</v>
      </c>
      <c r="AL759" s="141">
        <f t="shared" si="241"/>
        <v>3.5521132369825</v>
      </c>
      <c r="AM759" s="241">
        <f t="shared" si="242"/>
        <v>135</v>
      </c>
      <c r="AN759" s="125">
        <v>0</v>
      </c>
      <c r="AO759" s="125"/>
      <c r="AP759" s="125">
        <v>1.02</v>
      </c>
      <c r="AQ759" s="125">
        <v>63</v>
      </c>
      <c r="AR759" s="125">
        <v>1.24</v>
      </c>
      <c r="AS759" s="241">
        <v>22</v>
      </c>
      <c r="AT759" s="242">
        <v>23.1</v>
      </c>
      <c r="AU759" s="125">
        <v>66</v>
      </c>
      <c r="AV759" s="125">
        <v>144</v>
      </c>
      <c r="AW759" s="125"/>
      <c r="AX759" s="125"/>
      <c r="AY759" s="125"/>
      <c r="AZ759" s="131" t="s">
        <v>2264</v>
      </c>
    </row>
    <row r="760" spans="1:52">
      <c r="A760" s="113" t="s">
        <v>2265</v>
      </c>
      <c r="B760" s="113" t="s">
        <v>53</v>
      </c>
      <c r="C760" s="113">
        <v>66</v>
      </c>
      <c r="D760" s="113">
        <v>1.56</v>
      </c>
      <c r="E760" s="113">
        <v>66</v>
      </c>
      <c r="F760" s="136">
        <f t="shared" si="231"/>
        <v>27.120315581854</v>
      </c>
      <c r="G760" s="113">
        <v>7</v>
      </c>
      <c r="H760" s="281">
        <v>45484</v>
      </c>
      <c r="I760" s="158">
        <v>45484</v>
      </c>
      <c r="J760" s="158">
        <v>45496</v>
      </c>
      <c r="L760" s="137">
        <v>1</v>
      </c>
      <c r="M760" s="138">
        <v>12</v>
      </c>
      <c r="N760" s="270" t="s">
        <v>2266</v>
      </c>
      <c r="Q760" s="119" t="s">
        <v>1083</v>
      </c>
      <c r="T760" s="117">
        <v>1</v>
      </c>
      <c r="U760" s="117">
        <v>0</v>
      </c>
      <c r="V760" s="117">
        <v>0</v>
      </c>
      <c r="W760" s="117">
        <v>0</v>
      </c>
      <c r="X760" s="117">
        <v>1</v>
      </c>
      <c r="Y760" s="117">
        <v>1</v>
      </c>
      <c r="Z760" s="119" t="s">
        <v>321</v>
      </c>
      <c r="AA760" s="117">
        <v>3</v>
      </c>
      <c r="AB760" s="114">
        <f t="shared" si="232"/>
        <v>1</v>
      </c>
      <c r="AC760" s="114">
        <f t="shared" si="233"/>
        <v>3</v>
      </c>
      <c r="AD760" s="114">
        <f t="shared" si="234"/>
        <v>1</v>
      </c>
      <c r="AE760" s="114">
        <f t="shared" si="235"/>
        <v>9</v>
      </c>
      <c r="AG760" s="114">
        <f t="shared" si="236"/>
        <v>1.71345029239766</v>
      </c>
      <c r="AH760" s="114">
        <f t="shared" si="237"/>
        <v>0.588235294117647</v>
      </c>
      <c r="AI760" s="114">
        <f t="shared" si="238"/>
        <v>1.42</v>
      </c>
      <c r="AJ760" s="159">
        <f t="shared" si="239"/>
        <v>12.3736913616222</v>
      </c>
      <c r="AK760" s="160">
        <f t="shared" si="240"/>
        <v>12.3736913616222</v>
      </c>
      <c r="AL760" s="141">
        <f t="shared" si="241"/>
        <v>12.3736913616222</v>
      </c>
      <c r="AM760" s="241">
        <f t="shared" si="242"/>
        <v>135</v>
      </c>
      <c r="AN760" s="117">
        <v>1</v>
      </c>
      <c r="AP760" s="117">
        <v>3.68</v>
      </c>
      <c r="AQ760" s="117">
        <v>111</v>
      </c>
      <c r="AR760" s="117">
        <v>1.42</v>
      </c>
      <c r="AS760" s="141">
        <v>27</v>
      </c>
      <c r="AT760" s="142">
        <v>29.3</v>
      </c>
      <c r="AU760" s="117">
        <v>52</v>
      </c>
      <c r="AV760" s="117">
        <v>138</v>
      </c>
      <c r="AZ760" s="119" t="s">
        <v>2267</v>
      </c>
    </row>
    <row r="761" spans="1:52">
      <c r="A761" s="113" t="s">
        <v>755</v>
      </c>
      <c r="B761" s="113" t="s">
        <v>48</v>
      </c>
      <c r="C761" s="113">
        <v>46</v>
      </c>
      <c r="D761" s="113">
        <v>1.7</v>
      </c>
      <c r="E761" s="113">
        <v>94</v>
      </c>
      <c r="F761" s="136">
        <f t="shared" si="231"/>
        <v>32.5259515570934</v>
      </c>
      <c r="G761" s="113">
        <v>6</v>
      </c>
      <c r="H761" s="281">
        <v>45481</v>
      </c>
      <c r="I761" s="158">
        <v>45481</v>
      </c>
      <c r="J761" s="158">
        <v>45488</v>
      </c>
      <c r="L761" s="137">
        <v>5</v>
      </c>
      <c r="M761" s="138">
        <v>7</v>
      </c>
      <c r="N761" s="270" t="s">
        <v>2268</v>
      </c>
      <c r="P761" s="117">
        <v>1</v>
      </c>
      <c r="T761" s="117">
        <v>0</v>
      </c>
      <c r="U761" s="117">
        <v>0</v>
      </c>
      <c r="V761" s="117">
        <v>1</v>
      </c>
      <c r="W761" s="117">
        <v>0</v>
      </c>
      <c r="X761" s="117">
        <v>1</v>
      </c>
      <c r="Y761" s="117">
        <v>1</v>
      </c>
      <c r="Z761" s="119" t="s">
        <v>58</v>
      </c>
      <c r="AA761" s="117">
        <v>1</v>
      </c>
      <c r="AB761" s="114">
        <f t="shared" si="232"/>
        <v>2</v>
      </c>
      <c r="AC761" s="114">
        <f t="shared" si="233"/>
        <v>2</v>
      </c>
      <c r="AD761" s="114">
        <f t="shared" si="234"/>
        <v>1</v>
      </c>
      <c r="AE761" s="114">
        <f t="shared" si="235"/>
        <v>7</v>
      </c>
      <c r="AG761" s="114">
        <f t="shared" si="236"/>
        <v>2.3625730994152</v>
      </c>
      <c r="AH761" s="114">
        <f t="shared" si="237"/>
        <v>0.565610859728507</v>
      </c>
      <c r="AI761" s="114">
        <f t="shared" si="238"/>
        <v>1.48</v>
      </c>
      <c r="AJ761" s="159">
        <f t="shared" si="239"/>
        <v>7.65792640463373</v>
      </c>
      <c r="AK761" s="160">
        <f t="shared" si="240"/>
        <v>7.65792640463373</v>
      </c>
      <c r="AL761" s="141">
        <f t="shared" si="241"/>
        <v>7.65792640463373</v>
      </c>
      <c r="AM761" s="241">
        <f t="shared" si="242"/>
        <v>135</v>
      </c>
      <c r="AN761" s="117">
        <v>0</v>
      </c>
      <c r="AP761" s="117">
        <v>5.13</v>
      </c>
      <c r="AQ761" s="117">
        <v>158</v>
      </c>
      <c r="AR761" s="117">
        <v>1.48</v>
      </c>
      <c r="AS761" s="141">
        <v>29</v>
      </c>
      <c r="AT761" s="142">
        <v>40.4</v>
      </c>
      <c r="AU761" s="117">
        <v>50</v>
      </c>
      <c r="AV761" s="117">
        <v>138</v>
      </c>
      <c r="AZ761" s="119" t="s">
        <v>2269</v>
      </c>
    </row>
    <row r="762" spans="1:52">
      <c r="A762" s="113" t="s">
        <v>163</v>
      </c>
      <c r="B762" s="113" t="s">
        <v>53</v>
      </c>
      <c r="C762" s="113">
        <v>66</v>
      </c>
      <c r="D762" s="113">
        <v>1.55</v>
      </c>
      <c r="E762" s="113">
        <v>50</v>
      </c>
      <c r="F762" s="136">
        <f t="shared" si="231"/>
        <v>20.8116545265349</v>
      </c>
      <c r="G762" s="113">
        <v>0</v>
      </c>
      <c r="H762" s="281">
        <v>45475</v>
      </c>
      <c r="I762" s="158">
        <v>45475</v>
      </c>
      <c r="J762" s="158">
        <v>45482</v>
      </c>
      <c r="L762" s="137">
        <v>4</v>
      </c>
      <c r="M762" s="138">
        <v>7</v>
      </c>
      <c r="N762" s="270" t="s">
        <v>2270</v>
      </c>
      <c r="R762" s="117">
        <v>1</v>
      </c>
      <c r="T762" s="117">
        <v>0</v>
      </c>
      <c r="U762" s="117">
        <v>1</v>
      </c>
      <c r="V762" s="117">
        <v>1</v>
      </c>
      <c r="W762" s="117">
        <v>0</v>
      </c>
      <c r="X762" s="117">
        <v>1</v>
      </c>
      <c r="Y762" s="117">
        <v>2</v>
      </c>
      <c r="Z762" s="119" t="s">
        <v>58</v>
      </c>
      <c r="AA762" s="117">
        <v>1</v>
      </c>
      <c r="AB762" s="114">
        <f t="shared" si="232"/>
        <v>2</v>
      </c>
      <c r="AC762" s="114">
        <f t="shared" si="233"/>
        <v>2</v>
      </c>
      <c r="AD762" s="114">
        <f t="shared" si="234"/>
        <v>1</v>
      </c>
      <c r="AE762" s="114">
        <f t="shared" si="235"/>
        <v>8</v>
      </c>
      <c r="AG762" s="114">
        <f t="shared" si="236"/>
        <v>2.94152046783626</v>
      </c>
      <c r="AH762" s="114">
        <f t="shared" si="237"/>
        <v>0.565610859728507</v>
      </c>
      <c r="AI762" s="114">
        <f t="shared" si="238"/>
        <v>1.36</v>
      </c>
      <c r="AJ762" s="159">
        <f t="shared" si="239"/>
        <v>7.54374976884606</v>
      </c>
      <c r="AK762" s="160">
        <f t="shared" si="240"/>
        <v>7.54374976884606</v>
      </c>
      <c r="AL762" s="141">
        <f t="shared" si="241"/>
        <v>7.54374976884606</v>
      </c>
      <c r="AM762" s="241">
        <f t="shared" si="242"/>
        <v>135</v>
      </c>
      <c r="AN762" s="117">
        <v>0</v>
      </c>
      <c r="AP762" s="117">
        <v>3.36</v>
      </c>
      <c r="AQ762" s="117">
        <v>98</v>
      </c>
      <c r="AR762" s="117">
        <v>1.36</v>
      </c>
      <c r="AS762" s="141">
        <v>33</v>
      </c>
      <c r="AT762" s="142">
        <v>50.3</v>
      </c>
      <c r="AU762" s="117">
        <v>50</v>
      </c>
      <c r="AV762" s="117">
        <v>140</v>
      </c>
      <c r="AZ762" s="119" t="s">
        <v>2271</v>
      </c>
    </row>
    <row r="763" spans="1:52">
      <c r="A763" s="113" t="s">
        <v>919</v>
      </c>
      <c r="B763" s="113" t="s">
        <v>48</v>
      </c>
      <c r="C763" s="113">
        <v>59</v>
      </c>
      <c r="D763" s="113">
        <v>1.78</v>
      </c>
      <c r="E763" s="113">
        <v>69</v>
      </c>
      <c r="F763" s="136">
        <f t="shared" si="231"/>
        <v>21.7775533392248</v>
      </c>
      <c r="G763" s="113">
        <v>6</v>
      </c>
      <c r="H763" s="281">
        <v>45476</v>
      </c>
      <c r="I763" s="158">
        <v>45476</v>
      </c>
      <c r="J763" s="158">
        <v>45486</v>
      </c>
      <c r="L763" s="137">
        <v>10</v>
      </c>
      <c r="M763" s="138">
        <v>10</v>
      </c>
      <c r="N763" s="270" t="s">
        <v>2272</v>
      </c>
      <c r="P763" s="117">
        <v>1</v>
      </c>
      <c r="T763" s="117">
        <v>0</v>
      </c>
      <c r="U763" s="117">
        <v>0</v>
      </c>
      <c r="V763" s="117">
        <v>1</v>
      </c>
      <c r="W763" s="117">
        <v>0</v>
      </c>
      <c r="X763" s="117">
        <v>1</v>
      </c>
      <c r="Y763" s="117">
        <v>1</v>
      </c>
      <c r="Z763" s="119" t="s">
        <v>58</v>
      </c>
      <c r="AA763" s="117">
        <v>1</v>
      </c>
      <c r="AB763" s="114">
        <f t="shared" si="232"/>
        <v>2</v>
      </c>
      <c r="AC763" s="114">
        <f t="shared" si="233"/>
        <v>2</v>
      </c>
      <c r="AD763" s="114">
        <f t="shared" si="234"/>
        <v>1</v>
      </c>
      <c r="AE763" s="114">
        <f t="shared" si="235"/>
        <v>7</v>
      </c>
      <c r="AG763" s="114">
        <f t="shared" si="236"/>
        <v>2.05263157894737</v>
      </c>
      <c r="AH763" s="114">
        <f t="shared" si="237"/>
        <v>0.599547511312217</v>
      </c>
      <c r="AI763" s="114">
        <f t="shared" si="238"/>
        <v>1.19</v>
      </c>
      <c r="AJ763" s="159">
        <f t="shared" si="239"/>
        <v>4.68094317424269</v>
      </c>
      <c r="AK763" s="160">
        <f t="shared" si="240"/>
        <v>4.68094317424269</v>
      </c>
      <c r="AL763" s="141">
        <f t="shared" si="241"/>
        <v>4.68094317424269</v>
      </c>
      <c r="AM763" s="241">
        <f t="shared" si="242"/>
        <v>135</v>
      </c>
      <c r="AN763" s="117">
        <v>0</v>
      </c>
      <c r="AP763" s="117">
        <v>2.56</v>
      </c>
      <c r="AQ763" s="117">
        <v>132</v>
      </c>
      <c r="AR763" s="117">
        <v>1.19</v>
      </c>
      <c r="AS763" s="141">
        <v>33</v>
      </c>
      <c r="AT763" s="142">
        <v>35.1</v>
      </c>
      <c r="AU763" s="117">
        <v>53</v>
      </c>
      <c r="AV763" s="117">
        <v>139</v>
      </c>
      <c r="AZ763" s="119" t="s">
        <v>2273</v>
      </c>
    </row>
    <row r="764" spans="1:52">
      <c r="A764" s="113" t="s">
        <v>2274</v>
      </c>
      <c r="B764" s="113" t="s">
        <v>53</v>
      </c>
      <c r="C764" s="113">
        <v>79</v>
      </c>
      <c r="D764" s="113">
        <v>1.55</v>
      </c>
      <c r="E764" s="113">
        <v>50</v>
      </c>
      <c r="F764" s="136">
        <f t="shared" si="231"/>
        <v>20.8116545265349</v>
      </c>
      <c r="G764" s="113">
        <v>3</v>
      </c>
      <c r="H764" s="281">
        <v>45464</v>
      </c>
      <c r="I764" s="158">
        <v>45464</v>
      </c>
      <c r="J764" s="158">
        <v>45489</v>
      </c>
      <c r="L764" s="137">
        <v>1</v>
      </c>
      <c r="M764" s="138">
        <v>25</v>
      </c>
      <c r="N764" s="270" t="s">
        <v>2275</v>
      </c>
      <c r="R764" s="117">
        <v>1</v>
      </c>
      <c r="T764" s="117">
        <v>1</v>
      </c>
      <c r="U764" s="117">
        <v>0</v>
      </c>
      <c r="V764" s="117">
        <v>1</v>
      </c>
      <c r="W764" s="117">
        <v>0</v>
      </c>
      <c r="X764" s="117">
        <v>1</v>
      </c>
      <c r="Y764" s="117">
        <v>1</v>
      </c>
      <c r="Z764" s="119" t="s">
        <v>321</v>
      </c>
      <c r="AA764" s="117">
        <v>3</v>
      </c>
      <c r="AB764" s="114">
        <f t="shared" si="232"/>
        <v>1</v>
      </c>
      <c r="AC764" s="114">
        <f t="shared" si="233"/>
        <v>2</v>
      </c>
      <c r="AD764" s="114">
        <f t="shared" si="234"/>
        <v>1</v>
      </c>
      <c r="AE764" s="114">
        <f t="shared" si="235"/>
        <v>8</v>
      </c>
      <c r="AG764" s="114">
        <f t="shared" si="236"/>
        <v>0.783625730994152</v>
      </c>
      <c r="AH764" s="114">
        <f t="shared" si="237"/>
        <v>0.995475113122172</v>
      </c>
      <c r="AI764" s="114">
        <f t="shared" si="238"/>
        <v>1.17</v>
      </c>
      <c r="AJ764" s="159">
        <f t="shared" si="239"/>
        <v>1.75844198666824</v>
      </c>
      <c r="AK764" s="160">
        <f t="shared" si="240"/>
        <v>1.75844198666824</v>
      </c>
      <c r="AL764" s="141">
        <f t="shared" si="241"/>
        <v>1.75844198666824</v>
      </c>
      <c r="AM764" s="241">
        <f t="shared" si="242"/>
        <v>135</v>
      </c>
      <c r="AN764" s="117">
        <v>0</v>
      </c>
      <c r="AP764" s="117">
        <v>3.52</v>
      </c>
      <c r="AQ764" s="117">
        <v>91</v>
      </c>
      <c r="AR764" s="117">
        <v>1.17</v>
      </c>
      <c r="AS764" s="141">
        <v>33</v>
      </c>
      <c r="AT764" s="142">
        <v>13.4</v>
      </c>
      <c r="AU764" s="117">
        <v>88</v>
      </c>
      <c r="AV764" s="117">
        <v>138</v>
      </c>
      <c r="AZ764" s="119" t="s">
        <v>58</v>
      </c>
    </row>
    <row r="765" spans="1:52">
      <c r="A765" s="113" t="s">
        <v>1324</v>
      </c>
      <c r="B765" s="113" t="s">
        <v>48</v>
      </c>
      <c r="C765" s="113">
        <v>65</v>
      </c>
      <c r="D765" s="113">
        <v>1.72</v>
      </c>
      <c r="E765" s="113">
        <v>60</v>
      </c>
      <c r="F765" s="136">
        <f t="shared" si="231"/>
        <v>20.2812330989724</v>
      </c>
      <c r="G765" s="113">
        <v>6</v>
      </c>
      <c r="H765" s="281">
        <v>45467</v>
      </c>
      <c r="I765" s="158">
        <v>45467</v>
      </c>
      <c r="J765" s="158">
        <v>45472</v>
      </c>
      <c r="L765" s="137">
        <v>2</v>
      </c>
      <c r="M765" s="138">
        <v>5</v>
      </c>
      <c r="N765" s="270" t="s">
        <v>2276</v>
      </c>
      <c r="P765" s="117">
        <v>1</v>
      </c>
      <c r="T765" s="117">
        <v>1</v>
      </c>
      <c r="U765" s="117">
        <v>0</v>
      </c>
      <c r="V765" s="117">
        <v>1</v>
      </c>
      <c r="W765" s="117">
        <v>0</v>
      </c>
      <c r="X765" s="117">
        <v>1</v>
      </c>
      <c r="Y765" s="117">
        <v>1</v>
      </c>
      <c r="Z765" s="119" t="s">
        <v>321</v>
      </c>
      <c r="AA765" s="117">
        <v>3</v>
      </c>
      <c r="AB765" s="114">
        <f t="shared" si="232"/>
        <v>1</v>
      </c>
      <c r="AC765" s="114">
        <f t="shared" si="233"/>
        <v>2</v>
      </c>
      <c r="AD765" s="114">
        <f t="shared" si="234"/>
        <v>1</v>
      </c>
      <c r="AE765" s="114">
        <f t="shared" si="235"/>
        <v>8</v>
      </c>
      <c r="AG765" s="114">
        <f t="shared" si="236"/>
        <v>0.409356725146199</v>
      </c>
      <c r="AH765" s="114">
        <f t="shared" si="237"/>
        <v>0.916289592760181</v>
      </c>
      <c r="AI765" s="114">
        <f t="shared" si="238"/>
        <v>1.24</v>
      </c>
      <c r="AJ765" s="159">
        <f t="shared" si="239"/>
        <v>2.40924745170979</v>
      </c>
      <c r="AK765" s="160">
        <f t="shared" si="240"/>
        <v>2.40924745170979</v>
      </c>
      <c r="AL765" s="141">
        <f t="shared" si="241"/>
        <v>2.40924745170979</v>
      </c>
      <c r="AM765" s="241">
        <f t="shared" si="242"/>
        <v>135</v>
      </c>
      <c r="AN765" s="117">
        <v>0</v>
      </c>
      <c r="AP765" s="117">
        <v>4.02</v>
      </c>
      <c r="AQ765" s="117">
        <v>64</v>
      </c>
      <c r="AR765" s="117">
        <v>1.24</v>
      </c>
      <c r="AS765" s="141">
        <v>30</v>
      </c>
      <c r="AT765" s="142">
        <v>7</v>
      </c>
      <c r="AU765" s="117">
        <v>81</v>
      </c>
      <c r="AV765" s="117">
        <v>142</v>
      </c>
      <c r="AZ765" s="119" t="s">
        <v>2277</v>
      </c>
    </row>
    <row r="766" spans="1:52">
      <c r="A766" s="113" t="s">
        <v>2278</v>
      </c>
      <c r="B766" s="113" t="s">
        <v>53</v>
      </c>
      <c r="C766" s="113">
        <v>50</v>
      </c>
      <c r="D766" s="113">
        <v>1.7</v>
      </c>
      <c r="E766" s="113">
        <v>77</v>
      </c>
      <c r="F766" s="136">
        <f t="shared" si="231"/>
        <v>26.643598615917</v>
      </c>
      <c r="G766" s="113">
        <v>0</v>
      </c>
      <c r="H766" s="281">
        <v>45451</v>
      </c>
      <c r="I766" s="277">
        <v>45451</v>
      </c>
      <c r="J766" s="158">
        <v>45458</v>
      </c>
      <c r="L766" s="137">
        <v>1</v>
      </c>
      <c r="M766" s="138">
        <v>7</v>
      </c>
      <c r="N766" s="270" t="s">
        <v>2279</v>
      </c>
      <c r="S766" s="119">
        <v>1</v>
      </c>
      <c r="T766" s="117">
        <v>0</v>
      </c>
      <c r="U766" s="117">
        <v>0</v>
      </c>
      <c r="V766" s="117">
        <v>1</v>
      </c>
      <c r="W766" s="117">
        <v>0</v>
      </c>
      <c r="X766" s="117">
        <v>1</v>
      </c>
      <c r="Y766" s="117">
        <v>1</v>
      </c>
      <c r="Z766" s="119" t="s">
        <v>58</v>
      </c>
      <c r="AA766" s="117">
        <v>1</v>
      </c>
      <c r="AB766" s="114">
        <f t="shared" si="232"/>
        <v>1</v>
      </c>
      <c r="AC766" s="114">
        <f t="shared" si="233"/>
        <v>1</v>
      </c>
      <c r="AD766" s="114">
        <f t="shared" si="234"/>
        <v>1</v>
      </c>
      <c r="AE766" s="114">
        <f t="shared" si="235"/>
        <v>5</v>
      </c>
      <c r="AG766" s="114">
        <f t="shared" si="236"/>
        <v>0.485380116959064</v>
      </c>
      <c r="AH766" s="114">
        <f t="shared" si="237"/>
        <v>0.520361990950226</v>
      </c>
      <c r="AI766" s="114">
        <f t="shared" si="238"/>
        <v>1.07</v>
      </c>
      <c r="AJ766" s="159">
        <f t="shared" si="239"/>
        <v>7.15777686290673</v>
      </c>
      <c r="AK766" s="160">
        <f t="shared" si="240"/>
        <v>7.15777686290673</v>
      </c>
      <c r="AL766" s="141">
        <f t="shared" si="241"/>
        <v>7.15777686290673</v>
      </c>
      <c r="AM766" s="241">
        <f t="shared" si="242"/>
        <v>135</v>
      </c>
      <c r="AN766" s="117">
        <v>1</v>
      </c>
      <c r="AP766" s="117">
        <v>2.96</v>
      </c>
      <c r="AQ766" s="117">
        <v>112</v>
      </c>
      <c r="AR766" s="117">
        <v>1.07</v>
      </c>
      <c r="AS766" s="141">
        <v>42</v>
      </c>
      <c r="AT766" s="142">
        <v>8.3</v>
      </c>
      <c r="AU766" s="117">
        <v>46</v>
      </c>
      <c r="AV766" s="117">
        <v>142</v>
      </c>
      <c r="AZ766" s="119" t="s">
        <v>58</v>
      </c>
    </row>
    <row r="767" spans="1:52">
      <c r="A767" s="113" t="s">
        <v>2280</v>
      </c>
      <c r="B767" s="113" t="s">
        <v>53</v>
      </c>
      <c r="C767" s="113">
        <v>70</v>
      </c>
      <c r="D767" s="113">
        <v>1.6</v>
      </c>
      <c r="E767" s="113">
        <v>64</v>
      </c>
      <c r="F767" s="136">
        <f t="shared" si="231"/>
        <v>25</v>
      </c>
      <c r="G767" s="113">
        <v>1</v>
      </c>
      <c r="H767" s="281">
        <v>45460</v>
      </c>
      <c r="I767" s="158">
        <v>45460</v>
      </c>
      <c r="J767" s="158">
        <v>45465</v>
      </c>
      <c r="L767" s="137">
        <v>1</v>
      </c>
      <c r="M767" s="138">
        <v>5</v>
      </c>
      <c r="N767" s="270" t="s">
        <v>2281</v>
      </c>
      <c r="O767" s="117">
        <v>1</v>
      </c>
      <c r="T767" s="117">
        <v>0</v>
      </c>
      <c r="U767" s="117">
        <v>0</v>
      </c>
      <c r="V767" s="117">
        <v>0</v>
      </c>
      <c r="W767" s="117">
        <v>0</v>
      </c>
      <c r="X767" s="117">
        <v>1</v>
      </c>
      <c r="Y767" s="117">
        <v>1</v>
      </c>
      <c r="Z767" s="119" t="s">
        <v>58</v>
      </c>
      <c r="AA767" s="117">
        <v>1</v>
      </c>
      <c r="AB767" s="114">
        <f t="shared" si="232"/>
        <v>1</v>
      </c>
      <c r="AC767" s="114">
        <f t="shared" si="233"/>
        <v>1</v>
      </c>
      <c r="AD767" s="114">
        <f t="shared" si="234"/>
        <v>1</v>
      </c>
      <c r="AE767" s="114">
        <f t="shared" si="235"/>
        <v>5</v>
      </c>
      <c r="AG767" s="114">
        <f t="shared" si="236"/>
        <v>0.713450292397661</v>
      </c>
      <c r="AH767" s="114">
        <f t="shared" si="237"/>
        <v>0.780542986425339</v>
      </c>
      <c r="AI767" s="114">
        <f t="shared" si="238"/>
        <v>1</v>
      </c>
      <c r="AJ767" s="159">
        <f t="shared" si="239"/>
        <v>6.4</v>
      </c>
      <c r="AK767" s="160">
        <f t="shared" si="240"/>
        <v>6.4</v>
      </c>
      <c r="AL767" s="141">
        <f t="shared" si="241"/>
        <v>6.4</v>
      </c>
      <c r="AM767" s="241">
        <f t="shared" si="242"/>
        <v>135</v>
      </c>
      <c r="AN767" s="117">
        <v>1</v>
      </c>
      <c r="AP767" s="117">
        <v>4.14</v>
      </c>
      <c r="AQ767" s="117">
        <v>119</v>
      </c>
      <c r="AR767" s="117">
        <v>1</v>
      </c>
      <c r="AS767" s="141">
        <v>46</v>
      </c>
      <c r="AT767" s="142">
        <v>12.2</v>
      </c>
      <c r="AU767" s="117">
        <v>69</v>
      </c>
      <c r="AV767" s="117">
        <v>143</v>
      </c>
      <c r="AZ767" s="119" t="s">
        <v>2282</v>
      </c>
    </row>
    <row r="768" spans="1:52">
      <c r="A768" s="119" t="s">
        <v>2283</v>
      </c>
      <c r="B768" s="113" t="s">
        <v>53</v>
      </c>
      <c r="C768" s="113">
        <v>65</v>
      </c>
      <c r="D768" s="113">
        <v>1.5</v>
      </c>
      <c r="E768" s="113">
        <v>45</v>
      </c>
      <c r="F768" s="136">
        <f t="shared" si="231"/>
        <v>20</v>
      </c>
      <c r="G768" s="113">
        <v>3</v>
      </c>
      <c r="H768" s="281">
        <v>45517</v>
      </c>
      <c r="I768" s="158">
        <v>45517</v>
      </c>
      <c r="J768" s="158">
        <v>45532</v>
      </c>
      <c r="L768" s="137">
        <v>1</v>
      </c>
      <c r="M768" s="138">
        <v>15</v>
      </c>
      <c r="N768" s="270" t="s">
        <v>2284</v>
      </c>
      <c r="Q768" s="117">
        <v>1</v>
      </c>
      <c r="T768" s="117">
        <v>1</v>
      </c>
      <c r="U768" s="117">
        <v>0</v>
      </c>
      <c r="V768" s="117">
        <v>1</v>
      </c>
      <c r="W768" s="117">
        <v>0</v>
      </c>
      <c r="X768" s="117">
        <v>1</v>
      </c>
      <c r="Y768" s="117">
        <v>1</v>
      </c>
      <c r="Z768" s="119" t="s">
        <v>321</v>
      </c>
      <c r="AA768" s="117">
        <v>3</v>
      </c>
      <c r="AB768" s="114">
        <f t="shared" si="232"/>
        <v>1</v>
      </c>
      <c r="AC768" s="114">
        <f t="shared" si="233"/>
        <v>2</v>
      </c>
      <c r="AD768" s="114">
        <f t="shared" si="234"/>
        <v>1</v>
      </c>
      <c r="AE768" s="114">
        <f t="shared" si="235"/>
        <v>8</v>
      </c>
      <c r="AG768" s="114">
        <f t="shared" si="236"/>
        <v>1.46198830409357</v>
      </c>
      <c r="AH768" s="114">
        <f t="shared" si="237"/>
        <v>0.633484162895928</v>
      </c>
      <c r="AI768" s="114">
        <f t="shared" si="238"/>
        <v>1.15</v>
      </c>
      <c r="AJ768" s="159">
        <f t="shared" si="239"/>
        <v>9.4085637277682</v>
      </c>
      <c r="AK768" s="160">
        <f t="shared" si="240"/>
        <v>9.4085637277682</v>
      </c>
      <c r="AL768" s="141">
        <f t="shared" si="241"/>
        <v>9.4085637277682</v>
      </c>
      <c r="AM768" s="241">
        <f t="shared" si="242"/>
        <v>135</v>
      </c>
      <c r="AN768" s="117">
        <v>1</v>
      </c>
      <c r="AP768" s="117">
        <v>4.13</v>
      </c>
      <c r="AQ768" s="117">
        <v>48</v>
      </c>
      <c r="AR768" s="117">
        <v>1.15</v>
      </c>
      <c r="AS768" s="141">
        <v>30</v>
      </c>
      <c r="AT768" s="142">
        <v>25</v>
      </c>
      <c r="AU768" s="117">
        <v>56</v>
      </c>
      <c r="AV768" s="117">
        <v>141</v>
      </c>
      <c r="AZ768" s="119" t="s">
        <v>2285</v>
      </c>
    </row>
    <row r="769" spans="1:52">
      <c r="A769" s="119" t="s">
        <v>2286</v>
      </c>
      <c r="B769" s="113" t="s">
        <v>53</v>
      </c>
      <c r="C769" s="113">
        <v>69</v>
      </c>
      <c r="D769" s="113">
        <v>1.67</v>
      </c>
      <c r="E769" s="113">
        <v>57</v>
      </c>
      <c r="F769" s="136">
        <f>E769/(D769*D769)</f>
        <v>20.4381655849977</v>
      </c>
      <c r="G769" s="113">
        <v>7</v>
      </c>
      <c r="H769" s="281">
        <v>45526</v>
      </c>
      <c r="I769" s="158">
        <v>45526</v>
      </c>
      <c r="J769" s="158">
        <v>45534</v>
      </c>
      <c r="L769" s="137">
        <v>1</v>
      </c>
      <c r="M769" s="138">
        <v>8</v>
      </c>
      <c r="N769" s="270" t="s">
        <v>2287</v>
      </c>
      <c r="O769" s="117">
        <v>1</v>
      </c>
      <c r="T769" s="117">
        <v>1</v>
      </c>
      <c r="U769" s="117">
        <v>0</v>
      </c>
      <c r="V769" s="117">
        <v>1</v>
      </c>
      <c r="W769" s="117">
        <v>1</v>
      </c>
      <c r="X769" s="117">
        <v>1</v>
      </c>
      <c r="Y769" s="117">
        <v>1</v>
      </c>
      <c r="Z769" s="119" t="s">
        <v>321</v>
      </c>
      <c r="AA769" s="117">
        <v>3</v>
      </c>
      <c r="AB769" s="114">
        <f>_xlfn.IFS(AT769&gt;51,3,AT769&gt;=34,2,AT769&lt;34,1)</f>
        <v>1</v>
      </c>
      <c r="AC769" s="114">
        <f>_xlfn.IFS(AS769&gt;35,1,AS769&gt;=28,2,AS769&lt;28,3)</f>
        <v>2</v>
      </c>
      <c r="AD769" s="114">
        <f>_xlfn.IFS(AR769&gt;2.3,3,AR769&gt;=1.7,2,AR769&lt;1.7,1)</f>
        <v>1</v>
      </c>
      <c r="AE769" s="114">
        <f>Y769+AA769+AB769+AC769+AD769</f>
        <v>8</v>
      </c>
      <c r="AG769" s="114">
        <f>AT769/17.1</f>
        <v>1.41520467836257</v>
      </c>
      <c r="AH769" s="114">
        <f>AU769/88.4</f>
        <v>0.633484162895928</v>
      </c>
      <c r="AI769" s="114">
        <f>AR769</f>
        <v>1.56</v>
      </c>
      <c r="AJ769" s="159">
        <f>LN(IF(AG769&gt;=1,AG769,1))*3.8+LN(IF(AH769&gt;=1,AH769,1))*9.6+11.2*LN(IF(AI769&gt;=1,AI769,1))+6.4*AN769</f>
        <v>12.7001230428135</v>
      </c>
      <c r="AK769" s="160">
        <f>IF(AND(AG769&gt;0,AH769&gt;0,AI769&gt;0),AJ769,"")</f>
        <v>12.7001230428135</v>
      </c>
      <c r="AL769" s="141">
        <f>AK769+1.59*(135-AM769)</f>
        <v>12.7001230428135</v>
      </c>
      <c r="AM769" s="241">
        <f>IF(AV769&gt;135,135,IF(AV769&lt;120,120,AV769))</f>
        <v>135</v>
      </c>
      <c r="AN769" s="117">
        <v>1</v>
      </c>
      <c r="AP769" s="117">
        <v>1.09</v>
      </c>
      <c r="AQ769" s="117">
        <v>87</v>
      </c>
      <c r="AR769" s="117">
        <v>1.56</v>
      </c>
      <c r="AS769" s="141">
        <v>35</v>
      </c>
      <c r="AT769" s="142">
        <v>24.2</v>
      </c>
      <c r="AU769" s="117">
        <v>56</v>
      </c>
      <c r="AV769" s="117">
        <v>140</v>
      </c>
      <c r="AZ769" s="119" t="s">
        <v>2288</v>
      </c>
    </row>
    <row r="770" spans="1:52">
      <c r="A770" s="119" t="s">
        <v>2289</v>
      </c>
      <c r="B770" s="113" t="s">
        <v>53</v>
      </c>
      <c r="C770" s="113">
        <v>81</v>
      </c>
      <c r="D770" s="113">
        <v>1.6</v>
      </c>
      <c r="E770" s="113">
        <v>57</v>
      </c>
      <c r="F770" s="136">
        <f>E770/(D770*D770)</f>
        <v>22.265625</v>
      </c>
      <c r="G770" s="113">
        <v>1</v>
      </c>
      <c r="H770" s="281">
        <v>45527</v>
      </c>
      <c r="I770" s="158">
        <v>45527</v>
      </c>
      <c r="J770" s="158">
        <v>45534</v>
      </c>
      <c r="L770" s="137">
        <v>2</v>
      </c>
      <c r="M770" s="138">
        <v>7</v>
      </c>
      <c r="N770" s="270" t="s">
        <v>2290</v>
      </c>
      <c r="Q770" s="117">
        <v>1</v>
      </c>
      <c r="T770" s="117">
        <v>1</v>
      </c>
      <c r="U770" s="117">
        <v>0</v>
      </c>
      <c r="V770" s="117">
        <v>1</v>
      </c>
      <c r="W770" s="119">
        <v>0</v>
      </c>
      <c r="X770" s="117">
        <v>1</v>
      </c>
      <c r="Y770" s="117">
        <v>1</v>
      </c>
      <c r="Z770" s="119" t="s">
        <v>300</v>
      </c>
      <c r="AA770" s="117">
        <v>2</v>
      </c>
      <c r="AB770" s="114">
        <f>_xlfn.IFS(AT770&gt;51,3,AT770&gt;=34,2,AT770&lt;34,1)</f>
        <v>1</v>
      </c>
      <c r="AC770" s="114">
        <f>_xlfn.IFS(AS770&gt;35,1,AS770&gt;=28,2,AS770&lt;28,3)</f>
        <v>2</v>
      </c>
      <c r="AD770" s="114">
        <f>_xlfn.IFS(AR770&gt;2.3,3,AR770&gt;=1.7,2,AR770&lt;1.7,1)</f>
        <v>1</v>
      </c>
      <c r="AE770" s="114">
        <f>Y770+AA770+AB770+AC770+AD770</f>
        <v>7</v>
      </c>
      <c r="AG770" s="114">
        <f>AT770/17.1</f>
        <v>0.491228070175439</v>
      </c>
      <c r="AH770" s="114">
        <f>AU770/88.4</f>
        <v>0.916289592760181</v>
      </c>
      <c r="AI770" s="114">
        <f>AR770</f>
        <v>1.16</v>
      </c>
      <c r="AJ770" s="159">
        <f>LN(IF(AG770&gt;=1,AG770,1))*3.8+LN(IF(AH770&gt;=1,AH770,1))*9.6+11.2*LN(IF(AI770&gt;=1,AI770,1))+6.4*AN770</f>
        <v>8.06230405732466</v>
      </c>
      <c r="AK770" s="160">
        <f>IF(AND(AG770&gt;0,AH770&gt;0,AI770&gt;0),AJ770,"")</f>
        <v>8.06230405732466</v>
      </c>
      <c r="AL770" s="141">
        <f>AK770+1.59*(135-AM770)</f>
        <v>8.06230405732466</v>
      </c>
      <c r="AM770" s="241">
        <f>IF(AV770&gt;135,135,IF(AV770&lt;120,120,AV770))</f>
        <v>135</v>
      </c>
      <c r="AN770" s="117">
        <v>1</v>
      </c>
      <c r="AP770" s="119">
        <v>1.71</v>
      </c>
      <c r="AQ770" s="117">
        <v>55</v>
      </c>
      <c r="AR770" s="117">
        <v>1.16</v>
      </c>
      <c r="AS770" s="141">
        <v>35</v>
      </c>
      <c r="AT770" s="142">
        <v>8.4</v>
      </c>
      <c r="AU770" s="117">
        <v>81</v>
      </c>
      <c r="AV770" s="117">
        <v>140</v>
      </c>
      <c r="AZ770" s="119" t="s">
        <v>2291</v>
      </c>
    </row>
    <row r="771" s="125" customFormat="1" spans="1:52">
      <c r="A771" s="131" t="s">
        <v>498</v>
      </c>
      <c r="B771" s="272" t="s">
        <v>53</v>
      </c>
      <c r="C771" s="272">
        <v>71</v>
      </c>
      <c r="D771" s="272">
        <v>1.6</v>
      </c>
      <c r="E771" s="272">
        <v>50</v>
      </c>
      <c r="F771" s="136">
        <f>E771/(D771*D771)</f>
        <v>19.53125</v>
      </c>
      <c r="G771" s="272">
        <v>5</v>
      </c>
      <c r="H771" s="296">
        <v>45520</v>
      </c>
      <c r="I771" s="186">
        <v>45520</v>
      </c>
      <c r="J771" s="186">
        <v>45530</v>
      </c>
      <c r="K771" s="125"/>
      <c r="L771" s="187">
        <v>10</v>
      </c>
      <c r="M771" s="187">
        <v>10</v>
      </c>
      <c r="N771" s="248" t="s">
        <v>2292</v>
      </c>
      <c r="O771" s="125"/>
      <c r="P771" s="125"/>
      <c r="Q771" s="125"/>
      <c r="R771" s="131">
        <v>1</v>
      </c>
      <c r="S771" s="125"/>
      <c r="T771" s="125">
        <v>1</v>
      </c>
      <c r="U771" s="125">
        <v>0</v>
      </c>
      <c r="V771" s="125">
        <v>1</v>
      </c>
      <c r="W771" s="125">
        <v>0</v>
      </c>
      <c r="X771" s="125">
        <v>1</v>
      </c>
      <c r="Y771" s="125">
        <v>1</v>
      </c>
      <c r="Z771" s="131" t="s">
        <v>321</v>
      </c>
      <c r="AA771" s="125">
        <v>3</v>
      </c>
      <c r="AB771" s="114">
        <f>_xlfn.IFS(AT771&gt;51,3,AT771&gt;=34,2,AT771&lt;34,1)</f>
        <v>2</v>
      </c>
      <c r="AC771" s="114">
        <f>_xlfn.IFS(AS771&gt;35,1,AS771&gt;=28,2,AS771&lt;28,3)</f>
        <v>2</v>
      </c>
      <c r="AD771" s="114">
        <f>_xlfn.IFS(AR771&gt;2.3,3,AR771&gt;=1.7,2,AR771&lt;1.7,1)</f>
        <v>1</v>
      </c>
      <c r="AE771" s="114">
        <f>Y771+AA771+AB771+AC771+AD771</f>
        <v>9</v>
      </c>
      <c r="AG771" s="114">
        <f>AT771/17.1</f>
        <v>2.64327485380117</v>
      </c>
      <c r="AH771" s="114">
        <f>AU771/88.4</f>
        <v>0.769230769230769</v>
      </c>
      <c r="AI771" s="114">
        <f>AR771</f>
        <v>1.28</v>
      </c>
      <c r="AJ771" s="159">
        <f>LN(IF(AG771&gt;=1,AG771,1))*3.8+LN(IF(AH771&gt;=1,AH771,1))*9.6+11.2*LN(IF(AI771&gt;=1,AI771,1))+6.4*AN771</f>
        <v>6.45850364148546</v>
      </c>
      <c r="AK771" s="160">
        <f>IF(AND(AG771&gt;0,AH771&gt;0,AI771&gt;0),AJ771,"")</f>
        <v>6.45850364148546</v>
      </c>
      <c r="AL771" s="141">
        <f>AK771+1.59*(135-AM771)</f>
        <v>6.45850364148546</v>
      </c>
      <c r="AM771" s="241">
        <f>IF(AV771&gt;135,135,IF(AV771&lt;120,120,AV771))</f>
        <v>135</v>
      </c>
      <c r="AN771" s="125">
        <v>0</v>
      </c>
      <c r="AO771" s="125"/>
      <c r="AP771" s="125">
        <v>2.79</v>
      </c>
      <c r="AQ771" s="125">
        <v>66</v>
      </c>
      <c r="AR771" s="125">
        <v>1.28</v>
      </c>
      <c r="AS771" s="241">
        <v>31</v>
      </c>
      <c r="AT771" s="242">
        <v>45.2</v>
      </c>
      <c r="AU771" s="125">
        <v>68</v>
      </c>
      <c r="AV771" s="125">
        <v>151</v>
      </c>
      <c r="AW771" s="125"/>
      <c r="AX771" s="125"/>
      <c r="AY771" s="125"/>
      <c r="AZ771" s="131" t="s">
        <v>2293</v>
      </c>
    </row>
    <row r="772" spans="1:52">
      <c r="A772" s="117" t="s">
        <v>2294</v>
      </c>
      <c r="B772" s="113" t="s">
        <v>53</v>
      </c>
      <c r="C772" s="113">
        <v>48</v>
      </c>
      <c r="D772" s="113">
        <v>1.65</v>
      </c>
      <c r="E772" s="113">
        <v>70</v>
      </c>
      <c r="F772" s="136">
        <f>E772/(D772*D772)</f>
        <v>25.7116620752984</v>
      </c>
      <c r="G772" s="113">
        <v>0</v>
      </c>
      <c r="H772" s="281">
        <v>45525</v>
      </c>
      <c r="I772" s="158">
        <v>45525</v>
      </c>
      <c r="J772" s="158">
        <v>45535</v>
      </c>
      <c r="L772" s="137">
        <v>1</v>
      </c>
      <c r="M772" s="138">
        <v>10</v>
      </c>
      <c r="N772" s="270" t="s">
        <v>2295</v>
      </c>
      <c r="S772" s="117">
        <v>1</v>
      </c>
      <c r="T772" s="117">
        <v>1</v>
      </c>
      <c r="U772" s="117">
        <v>0</v>
      </c>
      <c r="V772" s="117">
        <v>1</v>
      </c>
      <c r="W772" s="117">
        <v>0</v>
      </c>
      <c r="X772" s="117">
        <v>1</v>
      </c>
      <c r="Y772" s="117">
        <v>1</v>
      </c>
      <c r="Z772" s="119" t="s">
        <v>300</v>
      </c>
      <c r="AA772" s="117">
        <v>2</v>
      </c>
      <c r="AB772" s="114">
        <f>_xlfn.IFS(AT772&gt;51,3,AT772&gt;=34,2,AT772&lt;34,1)</f>
        <v>1</v>
      </c>
      <c r="AC772" s="114">
        <f>_xlfn.IFS(AS772&gt;35,1,AS772&gt;=28,2,AS772&lt;28,3)</f>
        <v>1</v>
      </c>
      <c r="AD772" s="114">
        <f>_xlfn.IFS(AR772&gt;2.3,3,AR772&gt;=1.7,2,AR772&lt;1.7,1)</f>
        <v>1</v>
      </c>
      <c r="AE772" s="114">
        <f>Y772+AA772+AB772+AC772+AD772</f>
        <v>6</v>
      </c>
      <c r="AG772" s="114">
        <f>AT772/17.1</f>
        <v>1.37426900584795</v>
      </c>
      <c r="AH772" s="114">
        <f>AU772/88.4</f>
        <v>0.497737556561086</v>
      </c>
      <c r="AI772" s="114">
        <f>AR772</f>
        <v>1.16</v>
      </c>
      <c r="AJ772" s="159">
        <f>LN(IF(AG772&gt;=1,AG772,1))*3.8+LN(IF(AH772&gt;=1,AH772,1))*9.6+11.2*LN(IF(AI772&gt;=1,AI772,1))+6.4*AN772</f>
        <v>9.27040749636236</v>
      </c>
      <c r="AK772" s="160">
        <f>IF(AND(AG772&gt;0,AH772&gt;0,AI772&gt;0),AJ772,"")</f>
        <v>9.27040749636236</v>
      </c>
      <c r="AL772" s="141">
        <f>AK772+1.59*(135-AM772)</f>
        <v>9.27040749636236</v>
      </c>
      <c r="AM772" s="241">
        <f>IF(AV772&gt;135,135,IF(AV772&lt;120,120,AV772))</f>
        <v>135</v>
      </c>
      <c r="AN772" s="117">
        <v>1</v>
      </c>
      <c r="AP772" s="117">
        <v>15.62</v>
      </c>
      <c r="AQ772" s="117">
        <v>87</v>
      </c>
      <c r="AR772" s="117">
        <v>1.16</v>
      </c>
      <c r="AS772" s="141">
        <v>38</v>
      </c>
      <c r="AT772" s="142">
        <v>23.5</v>
      </c>
      <c r="AU772" s="117">
        <v>44</v>
      </c>
      <c r="AV772" s="117">
        <v>139</v>
      </c>
      <c r="AZ772" s="119" t="s">
        <v>2296</v>
      </c>
    </row>
    <row r="773" spans="1:52">
      <c r="A773" s="117" t="s">
        <v>671</v>
      </c>
      <c r="B773" s="113" t="s">
        <v>53</v>
      </c>
      <c r="C773" s="113">
        <v>66</v>
      </c>
      <c r="D773" s="113">
        <v>1.7</v>
      </c>
      <c r="E773" s="113">
        <v>70</v>
      </c>
      <c r="F773" s="136">
        <f>E773/(D773*D773)</f>
        <v>24.2214532871972</v>
      </c>
      <c r="G773" s="113">
        <v>0</v>
      </c>
      <c r="H773" s="281">
        <v>45526</v>
      </c>
      <c r="I773" s="158">
        <v>45526</v>
      </c>
      <c r="J773" s="158">
        <v>45538</v>
      </c>
      <c r="L773" s="137">
        <v>2</v>
      </c>
      <c r="M773" s="138">
        <v>12</v>
      </c>
      <c r="N773" s="270" t="s">
        <v>2297</v>
      </c>
      <c r="R773" s="117">
        <v>1</v>
      </c>
      <c r="T773" s="117">
        <v>1</v>
      </c>
      <c r="U773" s="117">
        <v>0</v>
      </c>
      <c r="V773" s="117">
        <v>1</v>
      </c>
      <c r="W773" s="117">
        <v>0</v>
      </c>
      <c r="X773" s="117">
        <v>1</v>
      </c>
      <c r="Y773" s="117">
        <v>1</v>
      </c>
      <c r="Z773" s="119" t="s">
        <v>307</v>
      </c>
      <c r="AA773" s="117">
        <v>3</v>
      </c>
      <c r="AB773" s="114">
        <f>_xlfn.IFS(AT773&gt;51,3,AT773&gt;=34,2,AT773&lt;34,1)</f>
        <v>2</v>
      </c>
      <c r="AC773" s="114">
        <f>_xlfn.IFS(AS773&gt;35,1,AS773&gt;=28,2,AS773&lt;28,3)</f>
        <v>3</v>
      </c>
      <c r="AD773" s="114">
        <f>_xlfn.IFS(AR773&gt;2.3,3,AR773&gt;=1.7,2,AR773&lt;1.7,1)</f>
        <v>3</v>
      </c>
      <c r="AE773" s="114">
        <f>Y773+AA773+AB773+AC773+AD773</f>
        <v>12</v>
      </c>
      <c r="AG773" s="114">
        <f>AT773/17.1</f>
        <v>2.26315789473684</v>
      </c>
      <c r="AH773" s="114">
        <f>AU773/88.4</f>
        <v>0.746606334841629</v>
      </c>
      <c r="AI773" s="114">
        <f>AR773</f>
        <v>2.33</v>
      </c>
      <c r="AJ773" s="159">
        <f>LN(IF(AG773&gt;=1,AG773,1))*3.8+LN(IF(AH773&gt;=1,AH773,1))*9.6+11.2*LN(IF(AI773&gt;=1,AI773,1))+6.4*AN773</f>
        <v>12.5774169156723</v>
      </c>
      <c r="AK773" s="160">
        <f>IF(AND(AG773&gt;0,AH773&gt;0,AI773&gt;0),AJ773,"")</f>
        <v>12.5774169156723</v>
      </c>
      <c r="AL773" s="141">
        <f>AK773+1.59*(135-AM773)</f>
        <v>12.5774169156723</v>
      </c>
      <c r="AM773" s="241">
        <f>IF(AV773&gt;135,135,IF(AV773&lt;120,120,AV773))</f>
        <v>135</v>
      </c>
      <c r="AN773" s="117">
        <v>0</v>
      </c>
      <c r="AP773" s="117">
        <v>8.1</v>
      </c>
      <c r="AQ773" s="117">
        <v>61</v>
      </c>
      <c r="AR773" s="117">
        <v>2.33</v>
      </c>
      <c r="AS773" s="141">
        <v>26</v>
      </c>
      <c r="AT773" s="142">
        <v>38.7</v>
      </c>
      <c r="AU773" s="117">
        <v>66</v>
      </c>
      <c r="AV773" s="117">
        <v>139</v>
      </c>
      <c r="AZ773" s="119" t="s">
        <v>2298</v>
      </c>
    </row>
    <row r="774" spans="1:52">
      <c r="A774" s="117" t="s">
        <v>2299</v>
      </c>
      <c r="B774" s="113" t="s">
        <v>53</v>
      </c>
      <c r="C774" s="113">
        <v>61</v>
      </c>
      <c r="D774" s="113">
        <v>1.6</v>
      </c>
      <c r="E774" s="113">
        <v>60</v>
      </c>
      <c r="F774" s="136">
        <f>E774/(D774*D774)</f>
        <v>23.4375</v>
      </c>
      <c r="G774" s="113">
        <v>0</v>
      </c>
      <c r="H774" s="281">
        <v>45533</v>
      </c>
      <c r="I774" s="158">
        <v>45533</v>
      </c>
      <c r="J774" s="158">
        <v>45539</v>
      </c>
      <c r="L774" s="137">
        <v>4</v>
      </c>
      <c r="M774" s="138">
        <v>6</v>
      </c>
      <c r="N774" s="270" t="s">
        <v>2300</v>
      </c>
      <c r="Q774" s="117">
        <v>1</v>
      </c>
      <c r="T774" s="117">
        <v>0</v>
      </c>
      <c r="U774" s="117">
        <v>0</v>
      </c>
      <c r="V774" s="117">
        <v>1</v>
      </c>
      <c r="W774" s="117">
        <v>0</v>
      </c>
      <c r="X774" s="117">
        <v>1</v>
      </c>
      <c r="Y774" s="117">
        <v>1</v>
      </c>
      <c r="Z774" s="119" t="s">
        <v>58</v>
      </c>
      <c r="AA774" s="117">
        <v>1</v>
      </c>
      <c r="AB774" s="114">
        <f>_xlfn.IFS(AT774&gt;51,3,AT774&gt;=34,2,AT774&lt;34,1)</f>
        <v>2</v>
      </c>
      <c r="AC774" s="114">
        <f>_xlfn.IFS(AS774&gt;35,1,AS774&gt;=28,2,AS774&lt;28,3)</f>
        <v>3</v>
      </c>
      <c r="AD774" s="114">
        <f>_xlfn.IFS(AR774&gt;2.3,3,AR774&gt;=1.7,2,AR774&lt;1.7,1)</f>
        <v>1</v>
      </c>
      <c r="AE774" s="114">
        <f>Y774+AA774+AB774+AC774+AD774</f>
        <v>8</v>
      </c>
      <c r="AG774" s="114">
        <f>AT774/17.1</f>
        <v>2.07602339181287</v>
      </c>
      <c r="AH774" s="114">
        <f>AU774/88.4</f>
        <v>0.441176470588235</v>
      </c>
      <c r="AI774" s="114">
        <f>AR774</f>
        <v>1.43</v>
      </c>
      <c r="AJ774" s="159">
        <f>LN(IF(AG774&gt;=1,AG774,1))*3.8+LN(IF(AH774&gt;=1,AH774,1))*9.6+11.2*LN(IF(AI774&gt;=1,AI774,1))+6.4*AN774</f>
        <v>13.1816798611408</v>
      </c>
      <c r="AK774" s="160">
        <f>IF(AND(AG774&gt;0,AH774&gt;0,AI774&gt;0),AJ774,"")</f>
        <v>13.1816798611408</v>
      </c>
      <c r="AL774" s="141">
        <f>AK774+1.59*(135-AM774)</f>
        <v>13.1816798611408</v>
      </c>
      <c r="AM774" s="241">
        <f>IF(AV774&gt;135,135,IF(AV774&lt;120,120,AV774))</f>
        <v>135</v>
      </c>
      <c r="AN774" s="117">
        <v>1</v>
      </c>
      <c r="AP774" s="117">
        <v>5.93</v>
      </c>
      <c r="AQ774" s="117">
        <v>70</v>
      </c>
      <c r="AR774" s="117">
        <v>1.43</v>
      </c>
      <c r="AS774" s="141">
        <v>26</v>
      </c>
      <c r="AT774" s="142">
        <v>35.5</v>
      </c>
      <c r="AU774" s="117">
        <v>39</v>
      </c>
      <c r="AV774" s="117">
        <v>139</v>
      </c>
      <c r="AZ774" s="119" t="s">
        <v>2301</v>
      </c>
    </row>
    <row r="775" spans="1:52">
      <c r="A775" s="117" t="s">
        <v>2302</v>
      </c>
      <c r="B775" s="113" t="s">
        <v>48</v>
      </c>
      <c r="C775" s="113">
        <v>54</v>
      </c>
      <c r="D775" s="113">
        <v>1.68</v>
      </c>
      <c r="E775" s="113">
        <v>50</v>
      </c>
      <c r="F775" s="136">
        <f>E775/(D775*D775)</f>
        <v>17.7154195011338</v>
      </c>
      <c r="G775" s="113">
        <v>1</v>
      </c>
      <c r="H775" s="281">
        <v>45534</v>
      </c>
      <c r="I775" s="158">
        <v>45534</v>
      </c>
      <c r="J775" s="158">
        <v>45548</v>
      </c>
      <c r="L775" s="137">
        <v>1</v>
      </c>
      <c r="M775" s="138">
        <v>14</v>
      </c>
      <c r="N775" s="270" t="s">
        <v>2303</v>
      </c>
      <c r="S775" s="117">
        <v>1</v>
      </c>
      <c r="T775" s="117">
        <v>0</v>
      </c>
      <c r="U775" s="117">
        <v>0</v>
      </c>
      <c r="V775" s="117">
        <v>0</v>
      </c>
      <c r="W775" s="117">
        <v>0</v>
      </c>
      <c r="X775" s="117">
        <v>1</v>
      </c>
      <c r="Y775" s="117">
        <v>1</v>
      </c>
      <c r="Z775" s="119" t="s">
        <v>58</v>
      </c>
      <c r="AA775" s="117">
        <v>1</v>
      </c>
      <c r="AB775" s="114">
        <f>_xlfn.IFS(AT775&gt;51,3,AT775&gt;=34,2,AT775&lt;34,1)</f>
        <v>1</v>
      </c>
      <c r="AC775" s="114">
        <f>_xlfn.IFS(AS775&gt;35,1,AS775&gt;=28,2,AS775&lt;28,3)</f>
        <v>3</v>
      </c>
      <c r="AD775" s="114">
        <f>_xlfn.IFS(AR775&gt;2.3,3,AR775&gt;=1.7,2,AR775&lt;1.7,1)</f>
        <v>1</v>
      </c>
      <c r="AE775" s="114">
        <f>Y775+AA775+AB775+AC775+AD775</f>
        <v>7</v>
      </c>
      <c r="AG775" s="114">
        <f>AT775/17.1</f>
        <v>0.771929824561403</v>
      </c>
      <c r="AH775" s="114">
        <f>AU775/88.4</f>
        <v>0.520361990950226</v>
      </c>
      <c r="AI775" s="114">
        <f>AR775</f>
        <v>1.23</v>
      </c>
      <c r="AJ775" s="159">
        <f>LN(IF(AG775&gt;=1,AG775,1))*3.8+LN(IF(AH775&gt;=1,AH775,1))*9.6+11.2*LN(IF(AI775&gt;=1,AI775,1))+6.4*AN775</f>
        <v>8.71855869710445</v>
      </c>
      <c r="AK775" s="160">
        <f>IF(AND(AG775&gt;0,AH775&gt;0,AI775&gt;0),AJ775,"")</f>
        <v>8.71855869710445</v>
      </c>
      <c r="AL775" s="141">
        <f>AK775+1.59*(135-AM775)</f>
        <v>23.0285586971045</v>
      </c>
      <c r="AM775" s="241">
        <f>IF(AV775&gt;135,135,IF(AV775&lt;120,120,AV775))</f>
        <v>126</v>
      </c>
      <c r="AN775" s="117">
        <v>1</v>
      </c>
      <c r="AP775" s="117">
        <v>3.54</v>
      </c>
      <c r="AQ775" s="117">
        <v>86</v>
      </c>
      <c r="AR775" s="117">
        <v>1.23</v>
      </c>
      <c r="AS775" s="141">
        <v>21</v>
      </c>
      <c r="AT775" s="142">
        <v>13.2</v>
      </c>
      <c r="AU775" s="117">
        <v>46</v>
      </c>
      <c r="AV775" s="117">
        <v>126</v>
      </c>
      <c r="AZ775" s="119" t="s">
        <v>58</v>
      </c>
    </row>
    <row r="776" spans="1:52">
      <c r="A776" s="117" t="s">
        <v>2304</v>
      </c>
      <c r="B776" s="113" t="s">
        <v>48</v>
      </c>
      <c r="C776" s="113">
        <v>76</v>
      </c>
      <c r="D776" s="113">
        <v>1.7</v>
      </c>
      <c r="E776" s="113">
        <v>50</v>
      </c>
      <c r="F776" s="136">
        <f>E776/(D776*D776)</f>
        <v>17.3010380622837</v>
      </c>
      <c r="G776" s="113">
        <v>5</v>
      </c>
      <c r="H776" s="281">
        <v>45537</v>
      </c>
      <c r="I776" s="158">
        <v>45537</v>
      </c>
      <c r="J776" s="158">
        <v>45545</v>
      </c>
      <c r="L776" s="137">
        <v>6</v>
      </c>
      <c r="M776" s="138">
        <v>8</v>
      </c>
      <c r="N776" s="270" t="s">
        <v>2305</v>
      </c>
      <c r="T776" s="117">
        <v>1</v>
      </c>
      <c r="U776" s="117">
        <v>0</v>
      </c>
      <c r="V776" s="117">
        <v>0</v>
      </c>
      <c r="W776" s="117">
        <v>0</v>
      </c>
      <c r="X776" s="117">
        <v>1</v>
      </c>
      <c r="Z776" s="119" t="s">
        <v>321</v>
      </c>
      <c r="AB776" s="114">
        <f>_xlfn.IFS(AT776&gt;51,3,AT776&gt;=34,2,AT776&lt;34,1)</f>
        <v>1</v>
      </c>
      <c r="AC776" s="114">
        <f>_xlfn.IFS(AS776&gt;35,1,AS776&gt;=28,2,AS776&lt;28,3)</f>
        <v>2</v>
      </c>
      <c r="AD776" s="114">
        <f>_xlfn.IFS(AR776&gt;2.3,3,AR776&gt;=1.7,2,AR776&lt;1.7,1)</f>
        <v>1</v>
      </c>
      <c r="AE776" s="114">
        <f>Y776+AA776+AB776+AC776+AD776</f>
        <v>4</v>
      </c>
      <c r="AG776" s="114">
        <f>AT776/17.1</f>
        <v>1.34502923976608</v>
      </c>
      <c r="AH776" s="114">
        <f>AU776/88.4</f>
        <v>0.8710407239819</v>
      </c>
      <c r="AI776" s="114">
        <f>AR776</f>
        <v>0.97</v>
      </c>
      <c r="AJ776" s="159">
        <f>LN(IF(AG776&gt;=1,AG776,1))*3.8+LN(IF(AH776&gt;=1,AH776,1))*9.6+11.2*LN(IF(AI776&gt;=1,AI776,1))+6.4*AN776</f>
        <v>1.12637985919803</v>
      </c>
      <c r="AK776" s="160">
        <f>IF(AND(AG776&gt;0,AH776&gt;0,AI776&gt;0),AJ776,"")</f>
        <v>1.12637985919803</v>
      </c>
      <c r="AL776" s="141">
        <f>AK776+1.59*(135-AM776)</f>
        <v>1.12637985919803</v>
      </c>
      <c r="AM776" s="241">
        <f>IF(AV776&gt;135,135,IF(AV776&lt;120,120,AV776))</f>
        <v>135</v>
      </c>
      <c r="AP776" s="117">
        <v>4.75</v>
      </c>
      <c r="AQ776" s="117">
        <v>135</v>
      </c>
      <c r="AR776" s="117">
        <v>0.97</v>
      </c>
      <c r="AS776" s="141">
        <v>33</v>
      </c>
      <c r="AT776" s="142">
        <v>23</v>
      </c>
      <c r="AU776" s="117">
        <v>77</v>
      </c>
      <c r="AV776" s="117">
        <v>142</v>
      </c>
      <c r="AZ776" s="119" t="s">
        <v>2306</v>
      </c>
    </row>
    <row r="777" spans="1:52">
      <c r="A777" s="117" t="s">
        <v>2307</v>
      </c>
      <c r="B777" s="113" t="s">
        <v>53</v>
      </c>
      <c r="C777" s="113">
        <v>70</v>
      </c>
      <c r="D777" s="113">
        <v>1.58</v>
      </c>
      <c r="E777" s="113">
        <v>50</v>
      </c>
      <c r="F777" s="136">
        <f>E777/(D777*D777)</f>
        <v>20.0288415318058</v>
      </c>
      <c r="G777" s="113">
        <v>0</v>
      </c>
      <c r="H777" s="281">
        <v>45530</v>
      </c>
      <c r="I777" s="158">
        <v>45528</v>
      </c>
      <c r="J777" s="158">
        <v>45541</v>
      </c>
      <c r="L777" s="137">
        <v>2</v>
      </c>
      <c r="M777" s="138">
        <v>13</v>
      </c>
      <c r="N777" s="270" t="s">
        <v>2308</v>
      </c>
      <c r="T777" s="117">
        <v>1</v>
      </c>
      <c r="U777" s="117">
        <v>0</v>
      </c>
      <c r="V777" s="117">
        <v>1</v>
      </c>
      <c r="W777" s="117">
        <v>0</v>
      </c>
      <c r="X777" s="117">
        <v>1</v>
      </c>
      <c r="AB777" s="114">
        <f>_xlfn.IFS(AT777&gt;51,3,AT777&gt;=34,2,AT777&lt;34,1)</f>
        <v>1</v>
      </c>
      <c r="AC777" s="114">
        <f>_xlfn.IFS(AS777&gt;35,1,AS777&gt;=28,2,AS777&lt;28,3)</f>
        <v>1</v>
      </c>
      <c r="AD777" s="114">
        <f>_xlfn.IFS(AR777&gt;2.3,3,AR777&gt;=1.7,2,AR777&lt;1.7,1)</f>
        <v>1</v>
      </c>
      <c r="AE777" s="114">
        <f>Y777+AA777+AB777+AC777+AD777</f>
        <v>3</v>
      </c>
      <c r="AG777" s="114">
        <f>AT777/17.1</f>
        <v>0.619883040935672</v>
      </c>
      <c r="AH777" s="114">
        <f>AU777/88.4</f>
        <v>0.509049773755656</v>
      </c>
      <c r="AI777" s="114">
        <f>AR777</f>
        <v>1.21</v>
      </c>
      <c r="AJ777" s="159">
        <f>LN(IF(AG777&gt;=1,AG777,1))*3.8+LN(IF(AH777&gt;=1,AH777,1))*9.6+11.2*LN(IF(AI777&gt;=1,AI777,1))+6.4*AN777</f>
        <v>2.13494802761688</v>
      </c>
      <c r="AK777" s="160">
        <f>IF(AND(AG777&gt;0,AH777&gt;0,AI777&gt;0),AJ777,"")</f>
        <v>2.13494802761688</v>
      </c>
      <c r="AL777" s="141">
        <f>AK777+1.59*(135-AM777)</f>
        <v>2.13494802761688</v>
      </c>
      <c r="AM777" s="241">
        <f>IF(AV777&gt;135,135,IF(AV777&lt;120,120,AV777))</f>
        <v>135</v>
      </c>
      <c r="AP777" s="117">
        <v>3.05</v>
      </c>
      <c r="AQ777" s="117">
        <v>102</v>
      </c>
      <c r="AR777" s="117">
        <v>1.21</v>
      </c>
      <c r="AS777" s="141">
        <v>40</v>
      </c>
      <c r="AT777" s="142">
        <v>10.6</v>
      </c>
      <c r="AU777" s="117">
        <v>45</v>
      </c>
      <c r="AV777" s="117">
        <v>142</v>
      </c>
      <c r="AZ777" s="119" t="s">
        <v>2309</v>
      </c>
    </row>
    <row r="778" spans="1:52">
      <c r="A778" s="117" t="s">
        <v>2310</v>
      </c>
      <c r="B778" s="113" t="s">
        <v>48</v>
      </c>
      <c r="C778" s="113">
        <v>52</v>
      </c>
      <c r="D778" s="113">
        <v>1.64</v>
      </c>
      <c r="E778" s="113">
        <v>75</v>
      </c>
      <c r="F778" s="136">
        <f>E778/(D778*D778)</f>
        <v>27.8851873884593</v>
      </c>
      <c r="G778" s="113">
        <v>3</v>
      </c>
      <c r="H778" s="281">
        <v>45542</v>
      </c>
      <c r="I778" s="158">
        <v>45542</v>
      </c>
      <c r="J778" s="158">
        <v>45558</v>
      </c>
      <c r="L778" s="137">
        <v>1</v>
      </c>
      <c r="M778" s="138">
        <v>16</v>
      </c>
      <c r="N778" s="270" t="s">
        <v>2311</v>
      </c>
      <c r="T778" s="117">
        <v>1</v>
      </c>
      <c r="U778" s="117">
        <v>0</v>
      </c>
      <c r="V778" s="117">
        <v>1</v>
      </c>
      <c r="W778" s="117">
        <v>0</v>
      </c>
      <c r="X778" s="117">
        <v>1</v>
      </c>
      <c r="AB778" s="114">
        <f>_xlfn.IFS(AT778&gt;51,3,AT778&gt;=34,2,AT778&lt;34,1)</f>
        <v>1</v>
      </c>
      <c r="AC778" s="114">
        <f>_xlfn.IFS(AS778&gt;35,1,AS778&gt;=28,2,AS778&lt;28,3)</f>
        <v>2</v>
      </c>
      <c r="AD778" s="114">
        <f>_xlfn.IFS(AR778&gt;2.3,3,AR778&gt;=1.7,2,AR778&lt;1.7,1)</f>
        <v>1</v>
      </c>
      <c r="AE778" s="114">
        <f>Y778+AA778+AB778+AC778+AD778</f>
        <v>4</v>
      </c>
      <c r="AG778" s="114">
        <f>AT778/17.1</f>
        <v>0.830409356725146</v>
      </c>
      <c r="AH778" s="114">
        <f>AU778/88.4</f>
        <v>0.723981900452489</v>
      </c>
      <c r="AI778" s="114">
        <f>AR778</f>
        <v>1.32</v>
      </c>
      <c r="AJ778" s="159">
        <f>LN(IF(AG778&gt;=1,AG778,1))*3.8+LN(IF(AH778&gt;=1,AH778,1))*9.6+11.2*LN(IF(AI778&gt;=1,AI778,1))+6.4*AN778</f>
        <v>3.10947544990073</v>
      </c>
      <c r="AK778" s="160">
        <f>IF(AND(AG778&gt;0,AH778&gt;0,AI778&gt;0),AJ778,"")</f>
        <v>3.10947544990073</v>
      </c>
      <c r="AL778" s="141">
        <f>AK778+1.59*(135-AM778)</f>
        <v>3.10947544990073</v>
      </c>
      <c r="AM778" s="241">
        <f>IF(AV778&gt;135,135,IF(AV778&lt;120,120,AV778))</f>
        <v>135</v>
      </c>
      <c r="AP778" s="117">
        <v>2.14</v>
      </c>
      <c r="AQ778" s="117">
        <v>44</v>
      </c>
      <c r="AR778" s="117">
        <v>1.32</v>
      </c>
      <c r="AS778" s="141">
        <v>31</v>
      </c>
      <c r="AT778" s="142">
        <v>14.2</v>
      </c>
      <c r="AU778" s="117">
        <v>64</v>
      </c>
      <c r="AV778" s="117">
        <v>142</v>
      </c>
      <c r="AZ778" s="119" t="s">
        <v>2312</v>
      </c>
    </row>
    <row r="779" spans="1:52">
      <c r="A779" s="117" t="s">
        <v>2313</v>
      </c>
      <c r="B779" s="113" t="s">
        <v>48</v>
      </c>
      <c r="C779" s="113">
        <v>61</v>
      </c>
      <c r="D779" s="113">
        <v>1.64</v>
      </c>
      <c r="E779" s="113">
        <v>100</v>
      </c>
      <c r="F779" s="136">
        <f>E779/(D779*D779)</f>
        <v>37.180249851279</v>
      </c>
      <c r="G779" s="113">
        <v>6</v>
      </c>
      <c r="H779" s="281">
        <v>45544</v>
      </c>
      <c r="I779" s="158">
        <v>45544</v>
      </c>
      <c r="J779" s="158">
        <v>45551</v>
      </c>
      <c r="L779" s="137">
        <v>1</v>
      </c>
      <c r="M779" s="138">
        <v>7</v>
      </c>
      <c r="N779" s="139" t="s">
        <v>2314</v>
      </c>
      <c r="P779" s="117">
        <v>1</v>
      </c>
      <c r="T779" s="117">
        <v>0</v>
      </c>
      <c r="U779" s="117">
        <v>1</v>
      </c>
      <c r="V779" s="117">
        <v>1</v>
      </c>
      <c r="W779" s="117">
        <v>0</v>
      </c>
      <c r="X779" s="117">
        <v>1</v>
      </c>
      <c r="Y779" s="117">
        <v>1</v>
      </c>
      <c r="Z779" s="117" t="s">
        <v>58</v>
      </c>
      <c r="AA779" s="117">
        <v>1</v>
      </c>
      <c r="AB779" s="114">
        <f>_xlfn.IFS(AT779&gt;51,3,AT779&gt;=34,2,AT779&lt;34,1)</f>
        <v>2</v>
      </c>
      <c r="AC779" s="114">
        <f>_xlfn.IFS(AS779&gt;35,1,AS779&gt;=28,2,AS779&lt;28,3)</f>
        <v>1</v>
      </c>
      <c r="AD779" s="114">
        <f>_xlfn.IFS(AR779&gt;2.3,3,AR779&gt;=1.7,2,AR779&lt;1.7,1)</f>
        <v>1</v>
      </c>
      <c r="AE779" s="114">
        <f>Y779+AA779+AB779+AC779+AD779</f>
        <v>6</v>
      </c>
      <c r="AG779" s="114">
        <f>AT779/17.1</f>
        <v>2.73684210526316</v>
      </c>
      <c r="AH779" s="114">
        <f>AU779/88.4</f>
        <v>0.82579185520362</v>
      </c>
      <c r="AI779" s="114">
        <f>AR779</f>
        <v>1.16</v>
      </c>
      <c r="AJ779" s="159">
        <f>LN(IF(AG779&gt;=1,AG779,1))*3.8+LN(IF(AH779&gt;=1,AH779,1))*9.6+11.2*LN(IF(AI779&gt;=1,AI779,1))+6.4*AN779</f>
        <v>5.48816206710161</v>
      </c>
      <c r="AK779" s="160">
        <f>IF(AND(AG779&gt;0,AH779&gt;0,AI779&gt;0),AJ779,"")</f>
        <v>5.48816206710161</v>
      </c>
      <c r="AL779" s="141">
        <f>AK779+1.59*(135-AM779)</f>
        <v>5.48816206710161</v>
      </c>
      <c r="AM779" s="241">
        <f>IF(AV779&gt;135,135,IF(AV779&lt;120,120,AV779))</f>
        <v>135</v>
      </c>
      <c r="AN779" s="117">
        <v>0</v>
      </c>
      <c r="AP779" s="117">
        <v>3.44</v>
      </c>
      <c r="AQ779" s="117">
        <v>96</v>
      </c>
      <c r="AR779" s="117">
        <v>1.16</v>
      </c>
      <c r="AS779" s="141">
        <v>38</v>
      </c>
      <c r="AT779" s="142">
        <v>46.8</v>
      </c>
      <c r="AU779" s="117">
        <v>73</v>
      </c>
      <c r="AV779" s="117">
        <v>139</v>
      </c>
      <c r="AZ779" s="119" t="s">
        <v>2315</v>
      </c>
    </row>
    <row r="780" spans="1:52">
      <c r="A780" s="117" t="s">
        <v>2316</v>
      </c>
      <c r="B780" s="113" t="s">
        <v>53</v>
      </c>
      <c r="C780" s="113">
        <v>51</v>
      </c>
      <c r="D780" s="113">
        <v>1.6</v>
      </c>
      <c r="E780" s="113">
        <v>66</v>
      </c>
      <c r="F780" s="136">
        <f>E780/(D780*D780)</f>
        <v>25.78125</v>
      </c>
      <c r="G780" s="113">
        <v>3</v>
      </c>
      <c r="H780" s="281">
        <v>45552</v>
      </c>
      <c r="I780" s="158">
        <v>45552</v>
      </c>
      <c r="J780" s="158">
        <v>45557</v>
      </c>
      <c r="L780" s="137">
        <v>1</v>
      </c>
      <c r="M780" s="138">
        <v>5</v>
      </c>
      <c r="N780" s="139" t="s">
        <v>2317</v>
      </c>
      <c r="O780" s="117">
        <v>1</v>
      </c>
      <c r="T780" s="117">
        <v>1</v>
      </c>
      <c r="U780" s="117">
        <v>0</v>
      </c>
      <c r="V780" s="117">
        <v>1</v>
      </c>
      <c r="W780" s="117">
        <v>0</v>
      </c>
      <c r="X780" s="117">
        <v>0</v>
      </c>
      <c r="Y780" s="117">
        <v>2</v>
      </c>
      <c r="Z780" s="117" t="s">
        <v>307</v>
      </c>
      <c r="AA780" s="117">
        <v>3</v>
      </c>
      <c r="AB780" s="114">
        <f>_xlfn.IFS(AT780&gt;51,3,AT780&gt;=34,2,AT780&lt;34,1)</f>
        <v>3</v>
      </c>
      <c r="AC780" s="114">
        <f>_xlfn.IFS(AS780&gt;35,1,AS780&gt;=28,2,AS780&lt;28,3)</f>
        <v>2</v>
      </c>
      <c r="AD780" s="114">
        <f>_xlfn.IFS(AR780&gt;2.3,3,AR780&gt;=1.7,2,AR780&lt;1.7,1)</f>
        <v>1</v>
      </c>
      <c r="AE780" s="114">
        <f>Y780+AA780+AB780+AC780+AD780</f>
        <v>11</v>
      </c>
      <c r="AG780" s="114">
        <f>AT780/17.1</f>
        <v>11.9298245614035</v>
      </c>
      <c r="AH780" s="114">
        <f>AU780/88.4</f>
        <v>0.565610859728507</v>
      </c>
      <c r="AI780" s="114">
        <f>AR780</f>
        <v>1.47</v>
      </c>
      <c r="AJ780" s="159">
        <f>LN(IF(AG780&gt;=1,AG780,1))*3.8+LN(IF(AH780&gt;=1,AH780,1))*9.6+11.2*LN(IF(AI780&gt;=1,AI780,1))+6.4*AN780</f>
        <v>20.1352967041305</v>
      </c>
      <c r="AK780" s="160">
        <f>IF(AND(AG780&gt;0,AH780&gt;0,AI780&gt;0),AJ780,"")</f>
        <v>20.1352967041305</v>
      </c>
      <c r="AL780" s="141">
        <f>AK780+1.59*(135-AM780)</f>
        <v>20.1352967041305</v>
      </c>
      <c r="AM780" s="241">
        <f>IF(AV780&gt;135,135,IF(AV780&lt;120,120,AV780))</f>
        <v>135</v>
      </c>
      <c r="AN780" s="117">
        <v>1</v>
      </c>
      <c r="AP780" s="117">
        <v>2.18</v>
      </c>
      <c r="AQ780" s="117">
        <v>106</v>
      </c>
      <c r="AR780" s="117">
        <v>1.47</v>
      </c>
      <c r="AS780" s="141">
        <v>28</v>
      </c>
      <c r="AT780" s="142">
        <v>204</v>
      </c>
      <c r="AU780" s="117">
        <v>50</v>
      </c>
      <c r="AV780" s="117">
        <v>138</v>
      </c>
      <c r="AZ780" s="119" t="s">
        <v>2318</v>
      </c>
    </row>
    <row r="781" spans="1:52">
      <c r="A781" s="117" t="s">
        <v>1009</v>
      </c>
      <c r="B781" s="113" t="s">
        <v>53</v>
      </c>
      <c r="C781" s="113">
        <v>57</v>
      </c>
      <c r="D781" s="113">
        <v>1.7</v>
      </c>
      <c r="E781" s="113">
        <v>64</v>
      </c>
      <c r="F781" s="136">
        <f>E781/(D781*D781)</f>
        <v>22.1453287197232</v>
      </c>
      <c r="G781" s="113">
        <v>1</v>
      </c>
      <c r="H781" s="281">
        <v>45548</v>
      </c>
      <c r="I781" s="158">
        <v>45548</v>
      </c>
      <c r="J781" s="158">
        <v>45564</v>
      </c>
      <c r="L781" s="137">
        <v>6</v>
      </c>
      <c r="M781" s="138">
        <v>16</v>
      </c>
      <c r="N781" s="270" t="s">
        <v>2319</v>
      </c>
      <c r="Q781" s="119" t="s">
        <v>1083</v>
      </c>
      <c r="T781" s="117">
        <v>1</v>
      </c>
      <c r="U781" s="117">
        <v>0</v>
      </c>
      <c r="V781" s="117">
        <v>1</v>
      </c>
      <c r="W781" s="117">
        <v>0</v>
      </c>
      <c r="X781" s="117">
        <v>1</v>
      </c>
      <c r="Y781" s="117">
        <v>1</v>
      </c>
      <c r="Z781" s="119" t="s">
        <v>307</v>
      </c>
      <c r="AA781" s="117">
        <v>3</v>
      </c>
      <c r="AB781" s="114">
        <f>_xlfn.IFS(AT781&gt;51,3,AT781&gt;=34,2,AT781&lt;34,1)</f>
        <v>1</v>
      </c>
      <c r="AC781" s="114">
        <f>_xlfn.IFS(AS781&gt;35,1,AS781&gt;=28,2,AS781&lt;28,3)</f>
        <v>2</v>
      </c>
      <c r="AD781" s="114">
        <f>_xlfn.IFS(AR781&gt;2.3,3,AR781&gt;=1.7,2,AR781&lt;1.7,1)</f>
        <v>1</v>
      </c>
      <c r="AE781" s="114">
        <f>Y781+AA781+AB781+AC781+AD781</f>
        <v>8</v>
      </c>
      <c r="AG781" s="114">
        <f>AT781/17.1</f>
        <v>1.30409356725146</v>
      </c>
      <c r="AH781" s="114">
        <f>AU781/88.4</f>
        <v>0.780542986425339</v>
      </c>
      <c r="AI781" s="114">
        <f>AR781</f>
        <v>1.24</v>
      </c>
      <c r="AJ781" s="159">
        <f>LN(IF(AG781&gt;=1,AG781,1))*3.8+LN(IF(AH781&gt;=1,AH781,1))*9.6+11.2*LN(IF(AI781&gt;=1,AI781,1))+6.4*AN781</f>
        <v>9.81817866854813</v>
      </c>
      <c r="AK781" s="160">
        <f>IF(AND(AG781&gt;0,AH781&gt;0,AI781&gt;0),AJ781,"")</f>
        <v>9.81817866854813</v>
      </c>
      <c r="AL781" s="141">
        <f>AK781+1.59*(135-AM781)</f>
        <v>9.81817866854813</v>
      </c>
      <c r="AM781" s="241">
        <f>IF(AV781&gt;135,135,IF(AV781&lt;120,120,AV781))</f>
        <v>135</v>
      </c>
      <c r="AN781" s="117">
        <v>1</v>
      </c>
      <c r="AP781" s="117">
        <v>1.84</v>
      </c>
      <c r="AQ781" s="117">
        <v>74</v>
      </c>
      <c r="AR781" s="117">
        <v>1.24</v>
      </c>
      <c r="AS781" s="141">
        <v>31</v>
      </c>
      <c r="AT781" s="142">
        <v>22.3</v>
      </c>
      <c r="AU781" s="117">
        <v>69</v>
      </c>
      <c r="AV781" s="117">
        <v>139</v>
      </c>
      <c r="AZ781" s="119" t="s">
        <v>2320</v>
      </c>
    </row>
    <row r="782" spans="1:52">
      <c r="A782" s="117" t="s">
        <v>2321</v>
      </c>
      <c r="B782" s="113" t="s">
        <v>48</v>
      </c>
      <c r="C782" s="113">
        <v>48</v>
      </c>
      <c r="D782" s="113">
        <v>1.71</v>
      </c>
      <c r="E782" s="113">
        <v>60</v>
      </c>
      <c r="F782" s="136">
        <f>E782/(D782*D782)</f>
        <v>20.5191340925413</v>
      </c>
      <c r="G782" s="113">
        <v>1</v>
      </c>
      <c r="H782" s="113" t="s">
        <v>1571</v>
      </c>
      <c r="I782" s="158">
        <v>45554</v>
      </c>
      <c r="J782" s="158">
        <v>45563</v>
      </c>
      <c r="L782" s="137">
        <v>1</v>
      </c>
      <c r="M782" s="138">
        <v>9</v>
      </c>
      <c r="N782" s="270" t="s">
        <v>2322</v>
      </c>
      <c r="O782" s="117">
        <v>1</v>
      </c>
      <c r="T782" s="117">
        <v>0</v>
      </c>
      <c r="U782" s="117">
        <v>0</v>
      </c>
      <c r="V782" s="117">
        <v>0</v>
      </c>
      <c r="W782" s="117">
        <v>0</v>
      </c>
      <c r="X782" s="117">
        <v>0</v>
      </c>
      <c r="Y782" s="117">
        <v>1</v>
      </c>
      <c r="Z782" s="119" t="s">
        <v>58</v>
      </c>
      <c r="AA782" s="117">
        <v>1</v>
      </c>
      <c r="AB782" s="114">
        <f>_xlfn.IFS(AT782&gt;51,3,AT782&gt;=34,2,AT782&lt;34,1)</f>
        <v>1</v>
      </c>
      <c r="AC782" s="114">
        <f>_xlfn.IFS(AS782&gt;35,1,AS782&gt;=28,2,AS782&lt;28,3)</f>
        <v>2</v>
      </c>
      <c r="AD782" s="114">
        <f>_xlfn.IFS(AR782&gt;2.3,3,AR782&gt;=1.7,2,AR782&lt;1.7,1)</f>
        <v>1</v>
      </c>
      <c r="AE782" s="114">
        <f>Y782+AA782+AB782+AC782+AD782</f>
        <v>6</v>
      </c>
      <c r="AG782" s="114">
        <f>AT782/17.1</f>
        <v>0.725146198830409</v>
      </c>
      <c r="AH782" s="114">
        <f>AU782/88.4</f>
        <v>0.746606334841629</v>
      </c>
      <c r="AI782" s="114">
        <f>AR782</f>
        <v>1.08</v>
      </c>
      <c r="AJ782" s="159">
        <f>LN(IF(AG782&gt;=1,AG782,1))*3.8+LN(IF(AH782&gt;=1,AH782,1))*9.6+11.2*LN(IF(AI782&gt;=1,AI782,1))+6.4*AN782</f>
        <v>7.26196366072464</v>
      </c>
      <c r="AK782" s="160">
        <f>IF(AND(AG782&gt;0,AH782&gt;0,AI782&gt;0),AJ782,"")</f>
        <v>7.26196366072464</v>
      </c>
      <c r="AL782" s="141">
        <f>AK782+1.59*(135-AM782)</f>
        <v>7.26196366072464</v>
      </c>
      <c r="AM782" s="241">
        <f>IF(AV782&gt;135,135,IF(AV782&lt;120,120,AV782))</f>
        <v>135</v>
      </c>
      <c r="AN782" s="117">
        <v>1</v>
      </c>
      <c r="AP782" s="117">
        <v>2.37</v>
      </c>
      <c r="AQ782" s="117">
        <v>131</v>
      </c>
      <c r="AR782" s="117">
        <v>1.08</v>
      </c>
      <c r="AS782" s="141">
        <v>30</v>
      </c>
      <c r="AT782" s="142">
        <v>12.4</v>
      </c>
      <c r="AU782" s="117">
        <v>66</v>
      </c>
      <c r="AV782" s="117">
        <v>140</v>
      </c>
      <c r="AZ782" s="119" t="s">
        <v>2323</v>
      </c>
    </row>
    <row r="783" spans="1:52">
      <c r="A783" s="117" t="s">
        <v>163</v>
      </c>
      <c r="B783" s="113" t="s">
        <v>53</v>
      </c>
      <c r="C783" s="113">
        <v>66</v>
      </c>
      <c r="D783" s="113">
        <v>1.53</v>
      </c>
      <c r="E783" s="113">
        <v>48</v>
      </c>
      <c r="F783" s="136">
        <f>E783/(D783*D783)</f>
        <v>20.5049339997437</v>
      </c>
      <c r="G783" s="113">
        <v>0</v>
      </c>
      <c r="H783" s="281">
        <v>45559</v>
      </c>
      <c r="I783" s="158">
        <v>45559</v>
      </c>
      <c r="J783" s="158">
        <v>45566</v>
      </c>
      <c r="L783" s="137">
        <v>5</v>
      </c>
      <c r="M783" s="138">
        <v>7</v>
      </c>
      <c r="N783" s="270" t="s">
        <v>2324</v>
      </c>
      <c r="Q783" s="119"/>
      <c r="R783" s="117">
        <v>1</v>
      </c>
      <c r="T783" s="117">
        <v>0</v>
      </c>
      <c r="U783" s="117">
        <v>1</v>
      </c>
      <c r="V783" s="117">
        <v>0</v>
      </c>
      <c r="W783" s="117">
        <v>0</v>
      </c>
      <c r="X783" s="117">
        <v>0</v>
      </c>
      <c r="Y783" s="117">
        <v>2</v>
      </c>
      <c r="Z783" s="119" t="s">
        <v>58</v>
      </c>
      <c r="AA783" s="117">
        <v>1</v>
      </c>
      <c r="AB783" s="114">
        <f>_xlfn.IFS(AT783&gt;51,3,AT783&gt;=34,2,AT783&lt;34,1)</f>
        <v>2</v>
      </c>
      <c r="AC783" s="114">
        <f>_xlfn.IFS(AS783&gt;35,1,AS783&gt;=28,2,AS783&lt;28,3)</f>
        <v>2</v>
      </c>
      <c r="AD783" s="114">
        <f>_xlfn.IFS(AR783&gt;2.3,3,AR783&gt;=1.7,2,AR783&lt;1.7,1)</f>
        <v>1</v>
      </c>
      <c r="AE783" s="114">
        <f>Y783+AA783+AB783+AC783+AD783</f>
        <v>8</v>
      </c>
      <c r="AG783" s="114">
        <f>AT783/17.1</f>
        <v>2.47953216374269</v>
      </c>
      <c r="AH783" s="114">
        <f>AU783/88.4</f>
        <v>0.622171945701357</v>
      </c>
      <c r="AI783" s="114">
        <f>AR783</f>
        <v>1.24</v>
      </c>
      <c r="AJ783" s="159">
        <f>LN(IF(AG783&gt;=1,AG783,1))*3.8+LN(IF(AH783&gt;=1,AH783,1))*9.6+11.2*LN(IF(AI783&gt;=1,AI783,1))+6.4*AN783</f>
        <v>5.85991306688112</v>
      </c>
      <c r="AK783" s="160">
        <f>IF(AND(AG783&gt;0,AH783&gt;0,AI783&gt;0),AJ783,"")</f>
        <v>5.85991306688112</v>
      </c>
      <c r="AL783" s="141">
        <f>AK783+1.59*(135-AM783)</f>
        <v>5.85991306688112</v>
      </c>
      <c r="AM783" s="241">
        <f>IF(AV783&gt;135,135,IF(AV783&lt;120,120,AV783))</f>
        <v>135</v>
      </c>
      <c r="AN783" s="117">
        <v>0</v>
      </c>
      <c r="AP783" s="117">
        <v>2.53</v>
      </c>
      <c r="AQ783" s="117">
        <v>96</v>
      </c>
      <c r="AR783" s="117">
        <v>1.24</v>
      </c>
      <c r="AS783" s="141">
        <v>29</v>
      </c>
      <c r="AT783" s="142">
        <v>42.4</v>
      </c>
      <c r="AU783" s="117">
        <v>55</v>
      </c>
      <c r="AV783" s="117">
        <v>144</v>
      </c>
      <c r="AZ783" s="119" t="s">
        <v>1545</v>
      </c>
    </row>
    <row r="784" spans="1:52">
      <c r="A784" s="234" t="s">
        <v>1754</v>
      </c>
      <c r="B784" s="234" t="s">
        <v>48</v>
      </c>
      <c r="C784" s="234">
        <v>66</v>
      </c>
      <c r="D784" s="234">
        <v>1.75</v>
      </c>
      <c r="E784" s="234">
        <v>70</v>
      </c>
      <c r="F784" s="136">
        <f>E784/(D784*D784)</f>
        <v>22.8571428571429</v>
      </c>
      <c r="G784" s="234">
        <v>6</v>
      </c>
      <c r="H784" s="234" t="s">
        <v>2325</v>
      </c>
      <c r="I784" s="234" t="s">
        <v>2325</v>
      </c>
      <c r="J784" s="315" t="s">
        <v>2326</v>
      </c>
      <c r="K784" s="234"/>
      <c r="L784" s="315" t="s">
        <v>2327</v>
      </c>
      <c r="M784" s="315" t="s">
        <v>2328</v>
      </c>
      <c r="N784" s="316" t="s">
        <v>2329</v>
      </c>
      <c r="O784" s="234"/>
      <c r="P784" s="315" t="s">
        <v>2330</v>
      </c>
      <c r="Q784" s="234"/>
      <c r="R784" s="234"/>
      <c r="S784" s="234"/>
      <c r="T784" s="315" t="s">
        <v>2331</v>
      </c>
      <c r="U784" s="315" t="s">
        <v>2331</v>
      </c>
      <c r="V784" s="315" t="s">
        <v>2330</v>
      </c>
      <c r="W784" s="315" t="s">
        <v>2331</v>
      </c>
      <c r="X784" s="315" t="s">
        <v>2330</v>
      </c>
      <c r="Y784" s="315" t="s">
        <v>2330</v>
      </c>
      <c r="Z784" s="315" t="s">
        <v>58</v>
      </c>
      <c r="AA784" s="315" t="s">
        <v>2330</v>
      </c>
      <c r="AB784" s="114">
        <f>_xlfn.IFS(AT784&gt;51,3,AT784&gt;=34,2,AT784&lt;34,1)</f>
        <v>3</v>
      </c>
      <c r="AC784" s="114">
        <f>_xlfn.IFS(AS784&gt;35,1,AS784&gt;=28,2,AS784&lt;28,3)</f>
        <v>1</v>
      </c>
      <c r="AD784" s="114">
        <f>_xlfn.IFS(AR784&gt;2.3,3,AR784&gt;=1.7,2,AR784&lt;1.7,1)</f>
        <v>3</v>
      </c>
      <c r="AE784" s="114">
        <f>Y784+AA784+AB784+AC784+AD784</f>
        <v>9</v>
      </c>
      <c r="AF784" s="315" t="s">
        <v>59</v>
      </c>
      <c r="AG784" s="114">
        <f>AT784/17.1</f>
        <v>0.473684210526316</v>
      </c>
      <c r="AH784" s="114">
        <f>AU784/88.4</f>
        <v>0.769230769230769</v>
      </c>
      <c r="AI784" s="114" t="str">
        <f>AR784</f>
        <v>1.07</v>
      </c>
      <c r="AJ784" s="159">
        <f>LN(IF(AG784&gt;=1,AG784,1))*3.8+LN(IF(AH784&gt;=1,AH784,1))*9.6+11.2*LN(IF(AI784&gt;=1,AI784,1))+6.4*AN784</f>
        <v>0.757776862906726</v>
      </c>
      <c r="AK784" s="160">
        <f>IF(AND(AG784&gt;0,AH784&gt;0,AI784&gt;0),AJ784,"")</f>
        <v>0.757776862906726</v>
      </c>
      <c r="AL784" s="141">
        <f>AK784+1.59*(135-AM784)</f>
        <v>0.757776862906726</v>
      </c>
      <c r="AM784" s="241">
        <f>IF(AV784&gt;135,135,IF(AV784&lt;120,120,AV784))</f>
        <v>135</v>
      </c>
      <c r="AN784" s="315" t="s">
        <v>2331</v>
      </c>
      <c r="AO784" s="234"/>
      <c r="AP784" s="315" t="s">
        <v>2332</v>
      </c>
      <c r="AQ784" s="315" t="s">
        <v>2333</v>
      </c>
      <c r="AR784" s="315" t="s">
        <v>2334</v>
      </c>
      <c r="AS784" s="315" t="s">
        <v>2335</v>
      </c>
      <c r="AT784" s="315" t="s">
        <v>2336</v>
      </c>
      <c r="AU784" s="315" t="s">
        <v>2337</v>
      </c>
      <c r="AV784" s="315" t="s">
        <v>2338</v>
      </c>
      <c r="AW784" s="234"/>
      <c r="AX784" s="234"/>
      <c r="AY784" s="234"/>
      <c r="AZ784" s="119" t="s">
        <v>2339</v>
      </c>
    </row>
    <row r="785" spans="1:52">
      <c r="A785" s="234" t="s">
        <v>2340</v>
      </c>
      <c r="B785" s="234" t="s">
        <v>48</v>
      </c>
      <c r="C785" s="234">
        <v>61</v>
      </c>
      <c r="D785" s="234">
        <v>1.75</v>
      </c>
      <c r="E785" s="234">
        <v>86</v>
      </c>
      <c r="F785" s="136">
        <f>E785/(D785*D785)</f>
        <v>28.0816326530612</v>
      </c>
      <c r="G785" s="234">
        <v>0</v>
      </c>
      <c r="H785" s="234" t="s">
        <v>2325</v>
      </c>
      <c r="I785" s="234" t="s">
        <v>2325</v>
      </c>
      <c r="J785" s="315" t="s">
        <v>2341</v>
      </c>
      <c r="K785" s="234"/>
      <c r="L785" s="315" t="s">
        <v>2330</v>
      </c>
      <c r="M785" s="315" t="s">
        <v>2342</v>
      </c>
      <c r="N785" s="316" t="s">
        <v>2343</v>
      </c>
      <c r="O785" s="315" t="s">
        <v>2330</v>
      </c>
      <c r="P785" s="234"/>
      <c r="Q785" s="234"/>
      <c r="R785" s="234"/>
      <c r="S785" s="234"/>
      <c r="T785" s="315" t="s">
        <v>2331</v>
      </c>
      <c r="U785" s="315" t="s">
        <v>2331</v>
      </c>
      <c r="V785" s="315" t="s">
        <v>2330</v>
      </c>
      <c r="W785" s="315" t="s">
        <v>2331</v>
      </c>
      <c r="X785" s="315" t="s">
        <v>2330</v>
      </c>
      <c r="Y785" s="315" t="s">
        <v>2330</v>
      </c>
      <c r="Z785" s="315" t="s">
        <v>58</v>
      </c>
      <c r="AA785" s="315" t="s">
        <v>2330</v>
      </c>
      <c r="AB785" s="114">
        <f>_xlfn.IFS(AT785&gt;51,3,AT785&gt;=34,2,AT785&lt;34,1)</f>
        <v>3</v>
      </c>
      <c r="AC785" s="114">
        <f>_xlfn.IFS(AS785&gt;35,1,AS785&gt;=28,2,AS785&lt;28,3)</f>
        <v>1</v>
      </c>
      <c r="AD785" s="114">
        <f>_xlfn.IFS(AR785&gt;2.3,3,AR785&gt;=1.7,2,AR785&lt;1.7,1)</f>
        <v>3</v>
      </c>
      <c r="AE785" s="114">
        <f>Y785+AA785+AB785+AC785+AD785</f>
        <v>9</v>
      </c>
      <c r="AF785" s="315" t="s">
        <v>59</v>
      </c>
      <c r="AG785" s="114">
        <f>AT785/17.1</f>
        <v>1.44444444444444</v>
      </c>
      <c r="AH785" s="114">
        <f>AU785/88.4</f>
        <v>0.81447963800905</v>
      </c>
      <c r="AI785" s="114" t="str">
        <f>AR785</f>
        <v>1.28</v>
      </c>
      <c r="AJ785" s="159">
        <f>LN(IF(AG785&gt;=1,AG785,1))*3.8+LN(IF(AH785&gt;=1,AH785,1))*9.6+11.2*LN(IF(AI785&gt;=1,AI785,1))+6.4*AN785</f>
        <v>10.5621870373093</v>
      </c>
      <c r="AK785" s="160">
        <f>IF(AND(AG785&gt;0,AH785&gt;0,AI785&gt;0),AJ785,"")</f>
        <v>10.5621870373093</v>
      </c>
      <c r="AL785" s="141">
        <f>AK785+1.59*(135-AM785)</f>
        <v>10.5621870373093</v>
      </c>
      <c r="AM785" s="241">
        <f>IF(AV785&gt;135,135,IF(AV785&lt;120,120,AV785))</f>
        <v>135</v>
      </c>
      <c r="AN785" s="315" t="s">
        <v>2330</v>
      </c>
      <c r="AO785" s="234"/>
      <c r="AP785" s="315" t="s">
        <v>2344</v>
      </c>
      <c r="AQ785" s="315" t="s">
        <v>2345</v>
      </c>
      <c r="AR785" s="315" t="s">
        <v>2346</v>
      </c>
      <c r="AS785" s="315" t="s">
        <v>2347</v>
      </c>
      <c r="AT785" s="315" t="s">
        <v>2348</v>
      </c>
      <c r="AU785" s="315" t="s">
        <v>2349</v>
      </c>
      <c r="AV785" s="315" t="s">
        <v>2350</v>
      </c>
      <c r="AW785" s="234"/>
      <c r="AX785" s="234"/>
      <c r="AY785" s="234"/>
      <c r="AZ785" s="119" t="s">
        <v>2351</v>
      </c>
    </row>
    <row r="786" spans="1:52">
      <c r="A786" s="234" t="s">
        <v>2352</v>
      </c>
      <c r="B786" s="234" t="s">
        <v>48</v>
      </c>
      <c r="C786" s="234">
        <v>68</v>
      </c>
      <c r="D786" s="234">
        <v>1.73</v>
      </c>
      <c r="E786" s="234">
        <v>84</v>
      </c>
      <c r="F786" s="136">
        <f>E786/(D786*D786)</f>
        <v>28.0664238698253</v>
      </c>
      <c r="G786" s="234">
        <v>1</v>
      </c>
      <c r="H786" s="234"/>
      <c r="I786" s="234" t="s">
        <v>2325</v>
      </c>
      <c r="J786" s="315" t="s">
        <v>2353</v>
      </c>
      <c r="K786" s="234"/>
      <c r="L786" s="315" t="s">
        <v>2330</v>
      </c>
      <c r="M786" s="315" t="s">
        <v>2354</v>
      </c>
      <c r="N786" s="316" t="s">
        <v>2355</v>
      </c>
      <c r="O786" s="315" t="s">
        <v>2330</v>
      </c>
      <c r="P786" s="234"/>
      <c r="Q786" s="234"/>
      <c r="R786" s="234"/>
      <c r="S786" s="234"/>
      <c r="T786" s="315" t="s">
        <v>2330</v>
      </c>
      <c r="U786" s="315" t="s">
        <v>2331</v>
      </c>
      <c r="V786" s="315" t="s">
        <v>2330</v>
      </c>
      <c r="W786" s="315" t="s">
        <v>2331</v>
      </c>
      <c r="X786" s="315" t="s">
        <v>2330</v>
      </c>
      <c r="Y786" s="315" t="s">
        <v>2330</v>
      </c>
      <c r="Z786" s="315" t="s">
        <v>307</v>
      </c>
      <c r="AA786" s="315" t="s">
        <v>2356</v>
      </c>
      <c r="AB786" s="114">
        <f>_xlfn.IFS(AT786&gt;51,3,AT786&gt;=34,2,AT786&lt;34,1)</f>
        <v>3</v>
      </c>
      <c r="AC786" s="114">
        <f>_xlfn.IFS(AS786&gt;35,1,AS786&gt;=28,2,AS786&lt;28,3)</f>
        <v>1</v>
      </c>
      <c r="AD786" s="114">
        <f>_xlfn.IFS(AR786&gt;2.3,3,AR786&gt;=1.7,2,AR786&lt;1.7,1)</f>
        <v>3</v>
      </c>
      <c r="AE786" s="114">
        <f>Y786+AA786+AB786+AC786+AD786</f>
        <v>11</v>
      </c>
      <c r="AF786" s="315" t="s">
        <v>63</v>
      </c>
      <c r="AG786" s="114">
        <f>AT786/17.1</f>
        <v>1.55555555555556</v>
      </c>
      <c r="AH786" s="114">
        <f>AU786/88.4</f>
        <v>0.690045248868778</v>
      </c>
      <c r="AI786" s="114" t="str">
        <f>AR786</f>
        <v>1.28</v>
      </c>
      <c r="AJ786" s="159">
        <f>LN(IF(AG786&gt;=1,AG786,1))*3.8+LN(IF(AH786&gt;=1,AH786,1))*9.6+11.2*LN(IF(AI786&gt;=1,AI786,1))+6.4*AN786</f>
        <v>10.8437973314934</v>
      </c>
      <c r="AK786" s="160">
        <f>IF(AND(AG786&gt;0,AH786&gt;0,AI786&gt;0),AJ786,"")</f>
        <v>10.8437973314934</v>
      </c>
      <c r="AL786" s="141">
        <f>AK786+1.59*(135-AM786)</f>
        <v>10.8437973314934</v>
      </c>
      <c r="AM786" s="241">
        <f>IF(AV786&gt;135,135,IF(AV786&lt;120,120,AV786))</f>
        <v>135</v>
      </c>
      <c r="AN786" s="315" t="s">
        <v>2330</v>
      </c>
      <c r="AO786" s="234"/>
      <c r="AP786" s="315" t="s">
        <v>2357</v>
      </c>
      <c r="AQ786" s="315" t="s">
        <v>2358</v>
      </c>
      <c r="AR786" s="315" t="s">
        <v>2346</v>
      </c>
      <c r="AS786" s="315" t="s">
        <v>2335</v>
      </c>
      <c r="AT786" s="315" t="s">
        <v>2359</v>
      </c>
      <c r="AU786" s="315" t="s">
        <v>2360</v>
      </c>
      <c r="AV786" s="315" t="s">
        <v>2338</v>
      </c>
      <c r="AW786" s="234"/>
      <c r="AX786" s="234"/>
      <c r="AY786" s="234"/>
      <c r="AZ786" s="119" t="s">
        <v>2361</v>
      </c>
    </row>
    <row r="787" spans="1:52">
      <c r="A787" s="234" t="s">
        <v>2362</v>
      </c>
      <c r="B787" s="234" t="s">
        <v>48</v>
      </c>
      <c r="C787" s="234">
        <v>56</v>
      </c>
      <c r="D787" s="234">
        <v>1.84</v>
      </c>
      <c r="E787" s="234">
        <v>90</v>
      </c>
      <c r="F787" s="136">
        <f>E787/(D787*D787)</f>
        <v>26.5831758034026</v>
      </c>
      <c r="G787" s="234">
        <v>0</v>
      </c>
      <c r="H787" s="234" t="s">
        <v>2363</v>
      </c>
      <c r="I787" s="234" t="s">
        <v>2363</v>
      </c>
      <c r="J787" s="315" t="s">
        <v>2364</v>
      </c>
      <c r="K787" s="234"/>
      <c r="L787" s="315" t="s">
        <v>2330</v>
      </c>
      <c r="M787" s="315" t="s">
        <v>2365</v>
      </c>
      <c r="N787" s="316" t="s">
        <v>2366</v>
      </c>
      <c r="O787" s="315" t="s">
        <v>2330</v>
      </c>
      <c r="P787" s="234"/>
      <c r="Q787" s="234"/>
      <c r="R787" s="234"/>
      <c r="S787" s="234"/>
      <c r="T787" s="315" t="s">
        <v>2331</v>
      </c>
      <c r="U787" s="315" t="s">
        <v>2331</v>
      </c>
      <c r="V787" s="315" t="s">
        <v>2331</v>
      </c>
      <c r="W787" s="315" t="s">
        <v>2331</v>
      </c>
      <c r="X787" s="315" t="s">
        <v>2331</v>
      </c>
      <c r="Y787" s="315" t="s">
        <v>2330</v>
      </c>
      <c r="Z787" s="315" t="s">
        <v>58</v>
      </c>
      <c r="AA787" s="315" t="s">
        <v>2330</v>
      </c>
      <c r="AB787" s="114">
        <f>_xlfn.IFS(AT787&gt;51,3,AT787&gt;=34,2,AT787&lt;34,1)</f>
        <v>3</v>
      </c>
      <c r="AC787" s="114">
        <f>_xlfn.IFS(AS787&gt;35,1,AS787&gt;=28,2,AS787&lt;28,3)</f>
        <v>1</v>
      </c>
      <c r="AD787" s="114">
        <f>_xlfn.IFS(AR787&gt;2.3,3,AR787&gt;=1.7,2,AR787&lt;1.7,1)</f>
        <v>3</v>
      </c>
      <c r="AE787" s="114">
        <f>Y787+AA787+AB787+AC787+AD787</f>
        <v>9</v>
      </c>
      <c r="AF787" s="315" t="s">
        <v>59</v>
      </c>
      <c r="AG787" s="114">
        <f>AT787/17.1</f>
        <v>0.842105263157895</v>
      </c>
      <c r="AH787" s="114">
        <f>AU787/88.4</f>
        <v>0.554298642533937</v>
      </c>
      <c r="AI787" s="114" t="str">
        <f>AR787</f>
        <v>1.07</v>
      </c>
      <c r="AJ787" s="159">
        <f>LN(IF(AG787&gt;=1,AG787,1))*3.8+LN(IF(AH787&gt;=1,AH787,1))*9.6+11.2*LN(IF(AI787&gt;=1,AI787,1))+6.4*AN787</f>
        <v>7.15777686290673</v>
      </c>
      <c r="AK787" s="160">
        <f>IF(AND(AG787&gt;0,AH787&gt;0,AI787&gt;0),AJ787,"")</f>
        <v>7.15777686290673</v>
      </c>
      <c r="AL787" s="141">
        <f>AK787+1.59*(135-AM787)</f>
        <v>7.15777686290673</v>
      </c>
      <c r="AM787" s="241">
        <f>IF(AV787&gt;135,135,IF(AV787&lt;120,120,AV787))</f>
        <v>135</v>
      </c>
      <c r="AN787" s="315" t="s">
        <v>2330</v>
      </c>
      <c r="AO787" s="234"/>
      <c r="AP787" s="315" t="s">
        <v>2367</v>
      </c>
      <c r="AQ787" s="315" t="s">
        <v>2368</v>
      </c>
      <c r="AR787" s="315" t="s">
        <v>2334</v>
      </c>
      <c r="AS787" s="315" t="s">
        <v>2347</v>
      </c>
      <c r="AT787" s="315" t="s">
        <v>2369</v>
      </c>
      <c r="AU787" s="315" t="s">
        <v>2370</v>
      </c>
      <c r="AV787" s="315" t="s">
        <v>2371</v>
      </c>
      <c r="AW787" s="234"/>
      <c r="AX787" s="234"/>
      <c r="AY787" s="234"/>
      <c r="AZ787" s="119" t="s">
        <v>58</v>
      </c>
    </row>
    <row r="788" spans="1:52">
      <c r="A788" s="234" t="s">
        <v>2372</v>
      </c>
      <c r="B788" s="234" t="s">
        <v>48</v>
      </c>
      <c r="C788" s="234">
        <v>72</v>
      </c>
      <c r="D788" s="234">
        <v>1.7</v>
      </c>
      <c r="E788" s="234">
        <v>80</v>
      </c>
      <c r="F788" s="136">
        <f>E788/(D788*D788)</f>
        <v>27.681660899654</v>
      </c>
      <c r="G788" s="234">
        <v>0</v>
      </c>
      <c r="H788" s="234" t="s">
        <v>2373</v>
      </c>
      <c r="I788" s="315" t="s">
        <v>2373</v>
      </c>
      <c r="J788" s="315" t="s">
        <v>2374</v>
      </c>
      <c r="K788" s="234"/>
      <c r="L788" s="315" t="s">
        <v>2330</v>
      </c>
      <c r="M788" s="315" t="s">
        <v>2375</v>
      </c>
      <c r="N788" s="316" t="s">
        <v>2376</v>
      </c>
      <c r="O788" s="234"/>
      <c r="P788" s="315" t="s">
        <v>2330</v>
      </c>
      <c r="Q788" s="234"/>
      <c r="R788" s="234"/>
      <c r="S788" s="234"/>
      <c r="T788" s="315" t="s">
        <v>2331</v>
      </c>
      <c r="U788" s="315" t="s">
        <v>2330</v>
      </c>
      <c r="V788" s="315" t="s">
        <v>2331</v>
      </c>
      <c r="W788" s="315" t="s">
        <v>2331</v>
      </c>
      <c r="X788" s="315" t="s">
        <v>2330</v>
      </c>
      <c r="Y788" s="315" t="s">
        <v>2377</v>
      </c>
      <c r="Z788" s="315" t="s">
        <v>58</v>
      </c>
      <c r="AA788" s="315" t="s">
        <v>2330</v>
      </c>
      <c r="AB788" s="114">
        <f>_xlfn.IFS(AT788&gt;51,3,AT788&gt;=34,2,AT788&lt;34,1)</f>
        <v>3</v>
      </c>
      <c r="AC788" s="114">
        <f>_xlfn.IFS(AS788&gt;35,1,AS788&gt;=28,2,AS788&lt;28,3)</f>
        <v>1</v>
      </c>
      <c r="AD788" s="114">
        <f>_xlfn.IFS(AR788&gt;2.3,3,AR788&gt;=1.7,2,AR788&lt;1.7,1)</f>
        <v>3</v>
      </c>
      <c r="AE788" s="114">
        <f>Y788+AA788+AB788+AC788+AD788</f>
        <v>10</v>
      </c>
      <c r="AF788" s="315" t="s">
        <v>63</v>
      </c>
      <c r="AG788" s="114">
        <f>AT788/17.1</f>
        <v>0.713450292397661</v>
      </c>
      <c r="AH788" s="114">
        <f>AU788/88.4</f>
        <v>0.588235294117647</v>
      </c>
      <c r="AI788" s="114" t="str">
        <f>AR788</f>
        <v>1.66</v>
      </c>
      <c r="AJ788" s="159">
        <f>LN(IF(AG788&gt;=1,AG788,1))*3.8+LN(IF(AH788&gt;=1,AH788,1))*9.6+11.2*LN(IF(AI788&gt;=1,AI788,1))+6.4*AN788</f>
        <v>5.67635714652666</v>
      </c>
      <c r="AK788" s="160">
        <f>IF(AND(AG788&gt;0,AH788&gt;0,AI788&gt;0),AJ788,"")</f>
        <v>5.67635714652666</v>
      </c>
      <c r="AL788" s="141">
        <f>AK788+1.59*(135-AM788)</f>
        <v>5.67635714652666</v>
      </c>
      <c r="AM788" s="241">
        <f>IF(AV788&gt;135,135,IF(AV788&lt;120,120,AV788))</f>
        <v>135</v>
      </c>
      <c r="AN788" s="315" t="s">
        <v>2331</v>
      </c>
      <c r="AO788" s="234"/>
      <c r="AP788" s="315" t="s">
        <v>2378</v>
      </c>
      <c r="AQ788" s="315" t="s">
        <v>2358</v>
      </c>
      <c r="AR788" s="315" t="s">
        <v>2379</v>
      </c>
      <c r="AS788" s="315" t="s">
        <v>2380</v>
      </c>
      <c r="AT788" s="315" t="s">
        <v>2381</v>
      </c>
      <c r="AU788" s="315" t="s">
        <v>2382</v>
      </c>
      <c r="AV788" s="315" t="s">
        <v>2371</v>
      </c>
      <c r="AW788" s="234"/>
      <c r="AX788" s="234"/>
      <c r="AY788" s="234"/>
      <c r="AZ788" s="119" t="s">
        <v>58</v>
      </c>
    </row>
    <row r="789" spans="1:52">
      <c r="A789" s="234" t="s">
        <v>2383</v>
      </c>
      <c r="B789" s="234" t="s">
        <v>48</v>
      </c>
      <c r="C789" s="234">
        <v>57</v>
      </c>
      <c r="D789" s="234">
        <v>1.76</v>
      </c>
      <c r="E789" s="234">
        <v>75</v>
      </c>
      <c r="F789" s="136">
        <f>E789/(D789*D789)</f>
        <v>24.2122933884298</v>
      </c>
      <c r="G789" s="234">
        <v>3</v>
      </c>
      <c r="H789" s="234" t="s">
        <v>2384</v>
      </c>
      <c r="I789" s="315" t="s">
        <v>2384</v>
      </c>
      <c r="J789" s="315" t="s">
        <v>2385</v>
      </c>
      <c r="K789" s="234"/>
      <c r="L789" s="315" t="s">
        <v>2330</v>
      </c>
      <c r="M789" s="315" t="s">
        <v>2386</v>
      </c>
      <c r="N789" s="316" t="s">
        <v>2387</v>
      </c>
      <c r="O789" s="234"/>
      <c r="P789" s="234"/>
      <c r="Q789" s="234"/>
      <c r="R789" s="234"/>
      <c r="S789" s="315" t="s">
        <v>2330</v>
      </c>
      <c r="T789" s="315" t="s">
        <v>2330</v>
      </c>
      <c r="U789" s="315" t="s">
        <v>2331</v>
      </c>
      <c r="V789" s="315" t="s">
        <v>2330</v>
      </c>
      <c r="W789" s="315" t="s">
        <v>2331</v>
      </c>
      <c r="X789" s="315" t="s">
        <v>2330</v>
      </c>
      <c r="Y789" s="315" t="s">
        <v>2330</v>
      </c>
      <c r="Z789" s="315" t="s">
        <v>321</v>
      </c>
      <c r="AA789" s="315" t="s">
        <v>2356</v>
      </c>
      <c r="AB789" s="114">
        <f>_xlfn.IFS(AT789&gt;51,3,AT789&gt;=34,2,AT789&lt;34,1)</f>
        <v>3</v>
      </c>
      <c r="AC789" s="114">
        <f>_xlfn.IFS(AS789&gt;35,1,AS789&gt;=28,2,AS789&lt;28,3)</f>
        <v>1</v>
      </c>
      <c r="AD789" s="114">
        <f>_xlfn.IFS(AR789&gt;2.3,3,AR789&gt;=1.7,2,AR789&lt;1.7,1)</f>
        <v>3</v>
      </c>
      <c r="AE789" s="114">
        <f>Y789+AA789+AB789+AC789+AD789</f>
        <v>11</v>
      </c>
      <c r="AF789" s="315" t="s">
        <v>50</v>
      </c>
      <c r="AG789" s="114">
        <f>AT789/17.1</f>
        <v>3.10526315789474</v>
      </c>
      <c r="AH789" s="114">
        <f>AU789/88.4</f>
        <v>0.463800904977376</v>
      </c>
      <c r="AI789" s="114" t="str">
        <f>AR789</f>
        <v>1.41</v>
      </c>
      <c r="AJ789" s="159">
        <f>LN(IF(AG789&gt;=1,AG789,1))*3.8+LN(IF(AH789&gt;=1,AH789,1))*9.6+11.2*LN(IF(AI789&gt;=1,AI789,1))+6.4*AN789</f>
        <v>14.5539788551781</v>
      </c>
      <c r="AK789" s="160">
        <f>IF(AND(AG789&gt;0,AH789&gt;0,AI789&gt;0),AJ789,"")</f>
        <v>14.5539788551781</v>
      </c>
      <c r="AL789" s="141">
        <f>AK789+1.59*(135-AM789)</f>
        <v>14.5539788551781</v>
      </c>
      <c r="AM789" s="241">
        <f>IF(AV789&gt;135,135,IF(AV789&lt;120,120,AV789))</f>
        <v>135</v>
      </c>
      <c r="AN789" s="315" t="s">
        <v>2330</v>
      </c>
      <c r="AO789" s="234"/>
      <c r="AP789" s="315" t="s">
        <v>2388</v>
      </c>
      <c r="AQ789" s="315" t="s">
        <v>2389</v>
      </c>
      <c r="AR789" s="315" t="s">
        <v>2390</v>
      </c>
      <c r="AS789" s="315" t="s">
        <v>2335</v>
      </c>
      <c r="AT789" s="315" t="s">
        <v>2391</v>
      </c>
      <c r="AU789" s="315" t="s">
        <v>2392</v>
      </c>
      <c r="AV789" s="315" t="s">
        <v>2393</v>
      </c>
      <c r="AW789" s="234"/>
      <c r="AX789" s="234"/>
      <c r="AY789" s="234"/>
      <c r="AZ789" s="119" t="s">
        <v>2394</v>
      </c>
    </row>
    <row r="790" spans="1:52">
      <c r="A790" s="234" t="s">
        <v>2395</v>
      </c>
      <c r="B790" s="234" t="s">
        <v>53</v>
      </c>
      <c r="C790" s="234">
        <v>67</v>
      </c>
      <c r="D790" s="234">
        <v>1.6</v>
      </c>
      <c r="E790" s="234">
        <v>95</v>
      </c>
      <c r="F790" s="136">
        <f t="shared" ref="F790:F801" si="243">E790/(D790*D790)</f>
        <v>37.109375</v>
      </c>
      <c r="G790" s="234">
        <v>1</v>
      </c>
      <c r="H790" s="234" t="s">
        <v>2325</v>
      </c>
      <c r="I790" s="315" t="s">
        <v>2396</v>
      </c>
      <c r="J790" s="315" t="s">
        <v>2397</v>
      </c>
      <c r="K790" s="234"/>
      <c r="L790" s="315" t="s">
        <v>2377</v>
      </c>
      <c r="M790" s="315" t="s">
        <v>2398</v>
      </c>
      <c r="N790" s="316" t="s">
        <v>2399</v>
      </c>
      <c r="O790" s="234"/>
      <c r="P790" s="234"/>
      <c r="Q790" s="315" t="s">
        <v>2330</v>
      </c>
      <c r="R790" s="234"/>
      <c r="S790" s="234"/>
      <c r="T790" s="315" t="s">
        <v>2331</v>
      </c>
      <c r="U790" s="315" t="s">
        <v>2331</v>
      </c>
      <c r="V790" s="315" t="s">
        <v>2330</v>
      </c>
      <c r="W790" s="315" t="s">
        <v>2331</v>
      </c>
      <c r="X790" s="315" t="s">
        <v>2330</v>
      </c>
      <c r="Y790" s="315" t="s">
        <v>2330</v>
      </c>
      <c r="Z790" s="315" t="s">
        <v>58</v>
      </c>
      <c r="AA790" s="315" t="s">
        <v>2330</v>
      </c>
      <c r="AB790" s="114">
        <f>_xlfn.IFS(AT790&gt;51,3,AT790&gt;=34,2,AT790&lt;34,1)</f>
        <v>3</v>
      </c>
      <c r="AC790" s="114">
        <f>_xlfn.IFS(AS790&gt;35,1,AS790&gt;=28,2,AS790&lt;28,3)</f>
        <v>1</v>
      </c>
      <c r="AD790" s="114">
        <f>_xlfn.IFS(AR790&gt;2.3,3,AR790&gt;=1.7,2,AR790&lt;1.7,1)</f>
        <v>3</v>
      </c>
      <c r="AE790" s="114">
        <f>Y790+AA790+AB790+AC790+AD790</f>
        <v>9</v>
      </c>
      <c r="AF790" s="315" t="s">
        <v>59</v>
      </c>
      <c r="AG790" s="114">
        <f>AT790/17.1</f>
        <v>1</v>
      </c>
      <c r="AH790" s="114">
        <f>AU790/88.4</f>
        <v>0.373303167420814</v>
      </c>
      <c r="AI790" s="114" t="str">
        <f>AR790</f>
        <v>1.29</v>
      </c>
      <c r="AJ790" s="159">
        <f>LN(IF(AG790&gt;=1,AG790,1))*3.8+LN(IF(AH790&gt;=1,AH790,1))*9.6+11.2*LN(IF(AI790&gt;=1,AI790,1))+6.4*AN790</f>
        <v>2.8519928457841</v>
      </c>
      <c r="AK790" s="160">
        <f>IF(AND(AG790&gt;0,AH790&gt;0,AI790&gt;0),AJ790,"")</f>
        <v>2.8519928457841</v>
      </c>
      <c r="AL790" s="141">
        <f>AK790+1.59*(135-AM790)</f>
        <v>2.8519928457841</v>
      </c>
      <c r="AM790" s="241">
        <f>IF(AV790&gt;135,135,IF(AV790&lt;120,120,AV790))</f>
        <v>135</v>
      </c>
      <c r="AN790" s="315" t="s">
        <v>2331</v>
      </c>
      <c r="AO790" s="234"/>
      <c r="AP790" s="315" t="s">
        <v>2400</v>
      </c>
      <c r="AQ790" s="315" t="s">
        <v>2401</v>
      </c>
      <c r="AR790" s="315" t="s">
        <v>2402</v>
      </c>
      <c r="AS790" s="315" t="s">
        <v>2403</v>
      </c>
      <c r="AT790" s="315" t="s">
        <v>2404</v>
      </c>
      <c r="AU790" s="315" t="s">
        <v>2405</v>
      </c>
      <c r="AV790" s="315" t="s">
        <v>2406</v>
      </c>
      <c r="AW790" s="234"/>
      <c r="AX790" s="234"/>
      <c r="AY790" s="234"/>
      <c r="AZ790" s="119" t="s">
        <v>2407</v>
      </c>
    </row>
    <row r="791" spans="1:52">
      <c r="A791" s="234" t="s">
        <v>2408</v>
      </c>
      <c r="B791" s="234" t="s">
        <v>53</v>
      </c>
      <c r="C791" s="234">
        <v>74</v>
      </c>
      <c r="D791" s="234">
        <v>160</v>
      </c>
      <c r="E791" s="234">
        <v>52</v>
      </c>
      <c r="F791" s="136">
        <f t="shared" si="243"/>
        <v>0.00203125</v>
      </c>
      <c r="G791" s="234">
        <v>1</v>
      </c>
      <c r="H791" s="234" t="s">
        <v>2409</v>
      </c>
      <c r="I791" s="315" t="s">
        <v>2409</v>
      </c>
      <c r="J791" s="315" t="s">
        <v>2410</v>
      </c>
      <c r="K791" s="234"/>
      <c r="L791" s="315" t="s">
        <v>2330</v>
      </c>
      <c r="M791" s="315" t="s">
        <v>2365</v>
      </c>
      <c r="N791" s="316" t="s">
        <v>2411</v>
      </c>
      <c r="O791" s="234"/>
      <c r="P791" s="234"/>
      <c r="Q791" s="234"/>
      <c r="R791" s="234"/>
      <c r="S791" s="315" t="s">
        <v>2330</v>
      </c>
      <c r="T791" s="315" t="s">
        <v>2331</v>
      </c>
      <c r="U791" s="315" t="s">
        <v>2331</v>
      </c>
      <c r="V791" s="315" t="s">
        <v>2330</v>
      </c>
      <c r="W791" s="315" t="s">
        <v>2331</v>
      </c>
      <c r="X791" s="315" t="s">
        <v>2330</v>
      </c>
      <c r="Y791" s="315" t="s">
        <v>2330</v>
      </c>
      <c r="Z791" s="315" t="s">
        <v>58</v>
      </c>
      <c r="AA791" s="315" t="s">
        <v>2330</v>
      </c>
      <c r="AB791" s="114">
        <f>_xlfn.IFS(AT791&gt;51,3,AT791&gt;=34,2,AT791&lt;34,1)</f>
        <v>3</v>
      </c>
      <c r="AC791" s="114">
        <f>_xlfn.IFS(AS791&gt;35,1,AS791&gt;=28,2,AS791&lt;28,3)</f>
        <v>1</v>
      </c>
      <c r="AD791" s="114">
        <f>_xlfn.IFS(AR791&gt;2.3,3,AR791&gt;=1.7,2,AR791&lt;1.7,1)</f>
        <v>3</v>
      </c>
      <c r="AE791" s="114">
        <f>Y791+AA791+AB791+AC791+AD791</f>
        <v>9</v>
      </c>
      <c r="AF791" s="315" t="s">
        <v>59</v>
      </c>
      <c r="AG791" s="114">
        <f>AT791/17.1</f>
        <v>0.345029239766082</v>
      </c>
      <c r="AH791" s="114">
        <f>AU791/88.4</f>
        <v>0.497737556561086</v>
      </c>
      <c r="AI791" s="114" t="str">
        <f>AR791</f>
        <v>1.1</v>
      </c>
      <c r="AJ791" s="159">
        <f>LN(IF(AG791&gt;=1,AG791,1))*3.8+LN(IF(AH791&gt;=1,AH791,1))*9.6+11.2*LN(IF(AI791&gt;=1,AI791,1))+6.4*AN791</f>
        <v>7.46747401380844</v>
      </c>
      <c r="AK791" s="160">
        <f>IF(AND(AG791&gt;0,AH791&gt;0,AI791&gt;0),AJ791,"")</f>
        <v>7.46747401380844</v>
      </c>
      <c r="AL791" s="141">
        <f>AK791+1.59*(135-AM791)</f>
        <v>7.46747401380844</v>
      </c>
      <c r="AM791" s="241">
        <f>IF(AV791&gt;135,135,IF(AV791&lt;120,120,AV791))</f>
        <v>135</v>
      </c>
      <c r="AN791" s="315" t="s">
        <v>2330</v>
      </c>
      <c r="AO791" s="234"/>
      <c r="AP791" s="315" t="s">
        <v>2412</v>
      </c>
      <c r="AQ791" s="315" t="s">
        <v>2413</v>
      </c>
      <c r="AR791" s="315" t="s">
        <v>2414</v>
      </c>
      <c r="AS791" s="315" t="s">
        <v>2415</v>
      </c>
      <c r="AT791" s="315" t="s">
        <v>2416</v>
      </c>
      <c r="AU791" s="315" t="s">
        <v>2417</v>
      </c>
      <c r="AV791" s="315" t="s">
        <v>2345</v>
      </c>
      <c r="AW791" s="234"/>
      <c r="AX791" s="234"/>
      <c r="AY791" s="234"/>
      <c r="AZ791" s="119" t="s">
        <v>2418</v>
      </c>
    </row>
    <row r="792" spans="1:52">
      <c r="A792" s="234" t="s">
        <v>2286</v>
      </c>
      <c r="B792" s="234" t="s">
        <v>53</v>
      </c>
      <c r="C792" s="234">
        <v>69</v>
      </c>
      <c r="D792" s="234">
        <v>167</v>
      </c>
      <c r="E792" s="234">
        <v>57</v>
      </c>
      <c r="F792" s="136">
        <f t="shared" si="243"/>
        <v>0.00204381655849977</v>
      </c>
      <c r="G792" s="234">
        <v>5</v>
      </c>
      <c r="H792" s="234" t="s">
        <v>2419</v>
      </c>
      <c r="I792" s="315" t="s">
        <v>2419</v>
      </c>
      <c r="J792" s="315" t="s">
        <v>2420</v>
      </c>
      <c r="K792" s="234"/>
      <c r="L792" s="315" t="s">
        <v>2377</v>
      </c>
      <c r="M792" s="315" t="s">
        <v>2342</v>
      </c>
      <c r="N792" s="316" t="s">
        <v>2421</v>
      </c>
      <c r="O792" s="315" t="s">
        <v>2330</v>
      </c>
      <c r="P792" s="234"/>
      <c r="Q792" s="234"/>
      <c r="R792" s="234"/>
      <c r="S792" s="234"/>
      <c r="T792" s="315" t="s">
        <v>2330</v>
      </c>
      <c r="U792" s="315" t="s">
        <v>2331</v>
      </c>
      <c r="V792" s="315" t="s">
        <v>2330</v>
      </c>
      <c r="W792" s="315" t="s">
        <v>2330</v>
      </c>
      <c r="X792" s="315" t="s">
        <v>2330</v>
      </c>
      <c r="Y792" s="315" t="s">
        <v>2330</v>
      </c>
      <c r="Z792" s="315" t="s">
        <v>321</v>
      </c>
      <c r="AA792" s="315" t="s">
        <v>2356</v>
      </c>
      <c r="AB792" s="114">
        <f>_xlfn.IFS(AT792&gt;51,3,AT792&gt;=34,2,AT792&lt;34,1)</f>
        <v>3</v>
      </c>
      <c r="AC792" s="114">
        <f>_xlfn.IFS(AS792&gt;35,1,AS792&gt;=28,2,AS792&lt;28,3)</f>
        <v>1</v>
      </c>
      <c r="AD792" s="114">
        <f>_xlfn.IFS(AR792&gt;2.3,3,AR792&gt;=1.7,2,AR792&lt;1.7,1)</f>
        <v>3</v>
      </c>
      <c r="AE792" s="114">
        <f>Y792+AA792+AB792+AC792+AD792</f>
        <v>11</v>
      </c>
      <c r="AF792" s="315" t="s">
        <v>63</v>
      </c>
      <c r="AG792" s="114">
        <f>AT792/17.1</f>
        <v>0.690058479532164</v>
      </c>
      <c r="AH792" s="114">
        <f>AU792/88.4</f>
        <v>0.904977375565611</v>
      </c>
      <c r="AI792" s="114" t="str">
        <f>AR792</f>
        <v>1.45</v>
      </c>
      <c r="AJ792" s="159">
        <f>LN(IF(AG792&gt;=1,AG792,1))*3.8+LN(IF(AH792&gt;=1,AH792,1))*9.6+11.2*LN(IF(AI792&gt;=1,AI792,1))+6.4*AN792</f>
        <v>10.5615118320438</v>
      </c>
      <c r="AK792" s="160">
        <f>IF(AND(AG792&gt;0,AH792&gt;0,AI792&gt;0),AJ792,"")</f>
        <v>10.5615118320438</v>
      </c>
      <c r="AL792" s="141">
        <f>AK792+1.59*(135-AM792)</f>
        <v>10.5615118320438</v>
      </c>
      <c r="AM792" s="241">
        <f>IF(AV792&gt;135,135,IF(AV792&lt;120,120,AV792))</f>
        <v>135</v>
      </c>
      <c r="AN792" s="315" t="s">
        <v>2330</v>
      </c>
      <c r="AO792" s="234"/>
      <c r="AP792" s="315" t="s">
        <v>2422</v>
      </c>
      <c r="AQ792" s="315" t="s">
        <v>2423</v>
      </c>
      <c r="AR792" s="315" t="s">
        <v>2424</v>
      </c>
      <c r="AS792" s="315" t="s">
        <v>2425</v>
      </c>
      <c r="AT792" s="315" t="s">
        <v>2426</v>
      </c>
      <c r="AU792" s="315" t="s">
        <v>2427</v>
      </c>
      <c r="AV792" s="315" t="s">
        <v>2393</v>
      </c>
      <c r="AW792" s="234"/>
      <c r="AX792" s="234"/>
      <c r="AY792" s="234"/>
      <c r="AZ792" s="119" t="s">
        <v>2428</v>
      </c>
    </row>
    <row r="793" spans="1:52">
      <c r="A793" s="315" t="s">
        <v>1754</v>
      </c>
      <c r="B793" s="234" t="s">
        <v>48</v>
      </c>
      <c r="C793" s="234">
        <v>66</v>
      </c>
      <c r="D793" s="234">
        <v>1.75</v>
      </c>
      <c r="E793" s="234">
        <v>70</v>
      </c>
      <c r="F793" s="136">
        <f t="shared" si="243"/>
        <v>22.8571428571429</v>
      </c>
      <c r="G793" s="234">
        <v>6</v>
      </c>
      <c r="H793" s="234" t="s">
        <v>2429</v>
      </c>
      <c r="I793" s="315" t="s">
        <v>2429</v>
      </c>
      <c r="J793" s="315" t="s">
        <v>2430</v>
      </c>
      <c r="K793" s="234"/>
      <c r="L793" s="315" t="s">
        <v>2377</v>
      </c>
      <c r="M793" s="315" t="s">
        <v>2431</v>
      </c>
      <c r="N793" s="316" t="s">
        <v>2432</v>
      </c>
      <c r="O793" s="234"/>
      <c r="P793" s="315" t="s">
        <v>2330</v>
      </c>
      <c r="Q793" s="234"/>
      <c r="R793" s="234"/>
      <c r="S793" s="234"/>
      <c r="T793" s="315" t="s">
        <v>2331</v>
      </c>
      <c r="U793" s="315" t="s">
        <v>2331</v>
      </c>
      <c r="V793" s="315" t="s">
        <v>2330</v>
      </c>
      <c r="W793" s="315" t="s">
        <v>2331</v>
      </c>
      <c r="X793" s="315" t="s">
        <v>2330</v>
      </c>
      <c r="Y793" s="315" t="s">
        <v>2330</v>
      </c>
      <c r="Z793" s="315" t="s">
        <v>58</v>
      </c>
      <c r="AA793" s="315" t="s">
        <v>2330</v>
      </c>
      <c r="AB793" s="114">
        <f>_xlfn.IFS(AT793&gt;51,3,AT793&gt;=34,2,AT793&lt;34,1)</f>
        <v>3</v>
      </c>
      <c r="AC793" s="114">
        <f>_xlfn.IFS(AS793&gt;35,1,AS793&gt;=28,2,AS793&lt;28,3)</f>
        <v>1</v>
      </c>
      <c r="AD793" s="114">
        <f>_xlfn.IFS(AR793&gt;2.3,3,AR793&gt;=1.7,2,AR793&lt;1.7,1)</f>
        <v>3</v>
      </c>
      <c r="AE793" s="114">
        <f>Y793+AA793+AB793+AC793+AD793</f>
        <v>9</v>
      </c>
      <c r="AF793" s="315" t="s">
        <v>59</v>
      </c>
      <c r="AG793" s="114">
        <f>AT793/17.1</f>
        <v>0.415204678362573</v>
      </c>
      <c r="AH793" s="114">
        <f>AU793/88.4</f>
        <v>0.82579185520362</v>
      </c>
      <c r="AI793" s="114" t="str">
        <f>AR793</f>
        <v>1.17</v>
      </c>
      <c r="AJ793" s="159">
        <f>LN(IF(AG793&gt;=1,AG793,1))*3.8+LN(IF(AH793&gt;=1,AH793,1))*9.6+11.2*LN(IF(AI793&gt;=1,AI793,1))+6.4*AN793</f>
        <v>1.75844198666824</v>
      </c>
      <c r="AK793" s="160">
        <f>IF(AND(AG793&gt;0,AH793&gt;0,AI793&gt;0),AJ793,"")</f>
        <v>1.75844198666824</v>
      </c>
      <c r="AL793" s="141">
        <f>AK793+1.59*(135-AM793)</f>
        <v>1.75844198666824</v>
      </c>
      <c r="AM793" s="241">
        <f>IF(AV793&gt;135,135,IF(AV793&lt;120,120,AV793))</f>
        <v>135</v>
      </c>
      <c r="AN793" s="315" t="s">
        <v>2331</v>
      </c>
      <c r="AO793" s="234"/>
      <c r="AP793" s="315" t="s">
        <v>2433</v>
      </c>
      <c r="AQ793" s="315" t="s">
        <v>2434</v>
      </c>
      <c r="AR793" s="315" t="s">
        <v>2435</v>
      </c>
      <c r="AS793" s="315" t="s">
        <v>2436</v>
      </c>
      <c r="AT793" s="315" t="s">
        <v>2437</v>
      </c>
      <c r="AU793" s="315" t="s">
        <v>2438</v>
      </c>
      <c r="AV793" s="315" t="s">
        <v>2439</v>
      </c>
      <c r="AW793" s="234"/>
      <c r="AX793" s="234"/>
      <c r="AY793" s="234"/>
      <c r="AZ793" s="119" t="s">
        <v>2440</v>
      </c>
    </row>
    <row r="794" spans="1:52">
      <c r="A794" s="234" t="s">
        <v>2441</v>
      </c>
      <c r="B794" s="234" t="s">
        <v>53</v>
      </c>
      <c r="C794" s="234">
        <v>66</v>
      </c>
      <c r="D794" s="234">
        <v>1.6</v>
      </c>
      <c r="E794" s="234">
        <v>68</v>
      </c>
      <c r="F794" s="136">
        <f t="shared" si="243"/>
        <v>26.5625</v>
      </c>
      <c r="G794" s="234">
        <v>0</v>
      </c>
      <c r="H794" s="234" t="s">
        <v>2442</v>
      </c>
      <c r="I794" s="234" t="s">
        <v>2442</v>
      </c>
      <c r="J794" s="315" t="s">
        <v>2443</v>
      </c>
      <c r="K794" s="234"/>
      <c r="L794" s="315" t="s">
        <v>2330</v>
      </c>
      <c r="M794" s="315" t="s">
        <v>2375</v>
      </c>
      <c r="N794" s="316" t="s">
        <v>2444</v>
      </c>
      <c r="O794" s="234"/>
      <c r="P794" s="234"/>
      <c r="Q794" s="315" t="s">
        <v>2330</v>
      </c>
      <c r="R794" s="234"/>
      <c r="S794" s="234"/>
      <c r="T794" s="315" t="s">
        <v>2330</v>
      </c>
      <c r="U794" s="315" t="s">
        <v>2330</v>
      </c>
      <c r="V794" s="315" t="s">
        <v>2330</v>
      </c>
      <c r="W794" s="315" t="s">
        <v>2331</v>
      </c>
      <c r="X794" s="315" t="s">
        <v>2330</v>
      </c>
      <c r="Y794" s="315" t="s">
        <v>2377</v>
      </c>
      <c r="Z794" s="315" t="s">
        <v>307</v>
      </c>
      <c r="AA794" s="315" t="s">
        <v>2356</v>
      </c>
      <c r="AB794" s="114">
        <f>_xlfn.IFS(AT794&gt;51,3,AT794&gt;=34,2,AT794&lt;34,1)</f>
        <v>3</v>
      </c>
      <c r="AC794" s="114">
        <f>_xlfn.IFS(AS794&gt;35,1,AS794&gt;=28,2,AS794&lt;28,3)</f>
        <v>1</v>
      </c>
      <c r="AD794" s="114">
        <f>_xlfn.IFS(AR794&gt;2.3,3,AR794&gt;=1.7,2,AR794&lt;1.7,1)</f>
        <v>3</v>
      </c>
      <c r="AE794" s="114">
        <f>Y794+AA794+AB794+AC794+AD794</f>
        <v>12</v>
      </c>
      <c r="AF794" s="315" t="s">
        <v>50</v>
      </c>
      <c r="AG794" s="114">
        <f>AT794/17.1</f>
        <v>2.87719298245614</v>
      </c>
      <c r="AH794" s="114">
        <f>AU794/88.4</f>
        <v>0.452488687782805</v>
      </c>
      <c r="AI794" s="114" t="str">
        <f>AR794</f>
        <v>1.37</v>
      </c>
      <c r="AJ794" s="159">
        <f>LN(IF(AG794&gt;=1,AG794,1))*3.8+LN(IF(AH794&gt;=1,AH794,1))*9.6+11.2*LN(IF(AI794&gt;=1,AI794,1))+6.4*AN794</f>
        <v>7.54177789416904</v>
      </c>
      <c r="AK794" s="160">
        <f>IF(AND(AG794&gt;0,AH794&gt;0,AI794&gt;0),AJ794,"")</f>
        <v>7.54177789416904</v>
      </c>
      <c r="AL794" s="141">
        <f>AK794+1.59*(135-AM794)</f>
        <v>7.54177789416904</v>
      </c>
      <c r="AM794" s="241">
        <f>IF(AV794&gt;135,135,IF(AV794&lt;120,120,AV794))</f>
        <v>135</v>
      </c>
      <c r="AN794" s="315" t="s">
        <v>2331</v>
      </c>
      <c r="AO794" s="234"/>
      <c r="AP794" s="315" t="s">
        <v>2445</v>
      </c>
      <c r="AQ794" s="315" t="s">
        <v>2446</v>
      </c>
      <c r="AR794" s="315" t="s">
        <v>2447</v>
      </c>
      <c r="AS794" s="315" t="s">
        <v>2448</v>
      </c>
      <c r="AT794" s="315" t="s">
        <v>2449</v>
      </c>
      <c r="AU794" s="315" t="s">
        <v>2347</v>
      </c>
      <c r="AV794" s="315" t="s">
        <v>2371</v>
      </c>
      <c r="AW794" s="234"/>
      <c r="AX794" s="234"/>
      <c r="AY794" s="234"/>
      <c r="AZ794" s="119" t="s">
        <v>2450</v>
      </c>
    </row>
    <row r="795" spans="1:52">
      <c r="A795" s="234" t="s">
        <v>922</v>
      </c>
      <c r="B795" s="234" t="s">
        <v>48</v>
      </c>
      <c r="C795" s="234">
        <v>65</v>
      </c>
      <c r="D795" s="234">
        <v>1.7</v>
      </c>
      <c r="E795" s="234">
        <v>80</v>
      </c>
      <c r="F795" s="136">
        <f t="shared" si="243"/>
        <v>27.681660899654</v>
      </c>
      <c r="G795" s="234">
        <v>6</v>
      </c>
      <c r="H795" s="234"/>
      <c r="I795" s="315" t="s">
        <v>2451</v>
      </c>
      <c r="J795" s="315" t="s">
        <v>2452</v>
      </c>
      <c r="K795" s="234"/>
      <c r="L795" s="315" t="s">
        <v>2453</v>
      </c>
      <c r="M795" s="315" t="s">
        <v>2454</v>
      </c>
      <c r="N795" s="316" t="s">
        <v>2455</v>
      </c>
      <c r="O795" s="234"/>
      <c r="P795" s="315" t="s">
        <v>2330</v>
      </c>
      <c r="Q795" s="234"/>
      <c r="R795" s="234"/>
      <c r="S795" s="234"/>
      <c r="T795" s="315" t="s">
        <v>2330</v>
      </c>
      <c r="U795" s="315" t="s">
        <v>2331</v>
      </c>
      <c r="V795" s="315" t="s">
        <v>2330</v>
      </c>
      <c r="W795" s="315" t="s">
        <v>2330</v>
      </c>
      <c r="X795" s="315" t="s">
        <v>2330</v>
      </c>
      <c r="Y795" s="315" t="s">
        <v>2330</v>
      </c>
      <c r="Z795" s="315" t="s">
        <v>321</v>
      </c>
      <c r="AA795" s="315" t="s">
        <v>2356</v>
      </c>
      <c r="AB795" s="114">
        <f>_xlfn.IFS(AT795&gt;51,3,AT795&gt;=34,2,AT795&lt;34,1)</f>
        <v>3</v>
      </c>
      <c r="AC795" s="114">
        <f>_xlfn.IFS(AS795&gt;35,1,AS795&gt;=28,2,AS795&lt;28,3)</f>
        <v>1</v>
      </c>
      <c r="AD795" s="114">
        <f>_xlfn.IFS(AR795&gt;2.3,3,AR795&gt;=1.7,2,AR795&lt;1.7,1)</f>
        <v>3</v>
      </c>
      <c r="AE795" s="114">
        <f>Y795+AA795+AB795+AC795+AD795</f>
        <v>11</v>
      </c>
      <c r="AF795" s="234"/>
      <c r="AG795" s="114">
        <f>AT795/17.1</f>
        <v>1.65497076023392</v>
      </c>
      <c r="AH795" s="114">
        <f>AU795/88.4</f>
        <v>1.22171945701357</v>
      </c>
      <c r="AI795" s="114" t="str">
        <f>AR795</f>
        <v>1.32</v>
      </c>
      <c r="AJ795" s="159">
        <f>LN(IF(AG795&gt;=1,AG795,1))*3.8+LN(IF(AH795&gt;=1,AH795,1))*9.6+11.2*LN(IF(AI795&gt;=1,AI795,1))+6.4*AN795</f>
        <v>6.9463410180489</v>
      </c>
      <c r="AK795" s="160">
        <f>IF(AND(AG795&gt;0,AH795&gt;0,AI795&gt;0),AJ795,"")</f>
        <v>6.9463410180489</v>
      </c>
      <c r="AL795" s="141">
        <f>AK795+1.59*(135-AM795)</f>
        <v>6.9463410180489</v>
      </c>
      <c r="AM795" s="241">
        <f>IF(AV795&gt;135,135,IF(AV795&lt;120,120,AV795))</f>
        <v>135</v>
      </c>
      <c r="AN795" s="234"/>
      <c r="AO795" s="234"/>
      <c r="AP795" s="315" t="s">
        <v>2456</v>
      </c>
      <c r="AQ795" s="315" t="s">
        <v>2457</v>
      </c>
      <c r="AR795" s="315" t="s">
        <v>2458</v>
      </c>
      <c r="AS795" s="315" t="s">
        <v>2459</v>
      </c>
      <c r="AT795" s="315" t="s">
        <v>2460</v>
      </c>
      <c r="AU795" s="315" t="s">
        <v>2461</v>
      </c>
      <c r="AV795" s="315" t="s">
        <v>2462</v>
      </c>
      <c r="AW795" s="234"/>
      <c r="AX795" s="234"/>
      <c r="AY795" s="234"/>
      <c r="AZ795" s="119" t="s">
        <v>2463</v>
      </c>
    </row>
    <row r="796" spans="1:52">
      <c r="A796" s="234" t="s">
        <v>2464</v>
      </c>
      <c r="B796" s="234" t="s">
        <v>53</v>
      </c>
      <c r="C796" s="234">
        <v>70</v>
      </c>
      <c r="D796" s="234">
        <v>1.58</v>
      </c>
      <c r="E796" s="234">
        <v>52</v>
      </c>
      <c r="F796" s="136">
        <f>E796/(D796*D796)</f>
        <v>20.829995193078</v>
      </c>
      <c r="G796" s="234">
        <v>3</v>
      </c>
      <c r="H796" s="234" t="s">
        <v>2465</v>
      </c>
      <c r="I796" s="315" t="s">
        <v>2465</v>
      </c>
      <c r="J796" s="234" t="s">
        <v>2442</v>
      </c>
      <c r="K796" s="234"/>
      <c r="L796" s="315" t="s">
        <v>2330</v>
      </c>
      <c r="M796" s="315" t="s">
        <v>2431</v>
      </c>
      <c r="N796" s="316" t="s">
        <v>2466</v>
      </c>
      <c r="O796" s="234"/>
      <c r="P796" s="234"/>
      <c r="Q796" s="234"/>
      <c r="R796" s="315" t="s">
        <v>2330</v>
      </c>
      <c r="S796" s="234"/>
      <c r="T796" s="315" t="s">
        <v>2330</v>
      </c>
      <c r="U796" s="315" t="s">
        <v>2331</v>
      </c>
      <c r="V796" s="315" t="s">
        <v>2331</v>
      </c>
      <c r="W796" s="315" t="s">
        <v>2331</v>
      </c>
      <c r="X796" s="315" t="s">
        <v>2330</v>
      </c>
      <c r="Y796" s="234"/>
      <c r="Z796" s="315" t="s">
        <v>307</v>
      </c>
      <c r="AA796" s="315" t="s">
        <v>2356</v>
      </c>
      <c r="AB796" s="114">
        <f>_xlfn.IFS(AT796&gt;51,3,AT796&gt;=34,2,AT796&lt;34,1)</f>
        <v>3</v>
      </c>
      <c r="AC796" s="114">
        <f>_xlfn.IFS(AS796&gt;35,1,AS796&gt;=28,2,AS796&lt;28,3)</f>
        <v>1</v>
      </c>
      <c r="AD796" s="114">
        <f>_xlfn.IFS(AR796&gt;2.3,3,AR796&gt;=1.7,2,AR796&lt;1.7,1)</f>
        <v>3</v>
      </c>
      <c r="AE796" s="114">
        <f>Y796+AA796+AB796+AC796+AD796</f>
        <v>10</v>
      </c>
      <c r="AF796" s="234"/>
      <c r="AG796" s="114">
        <f>AT796/17.1</f>
        <v>1.67251461988304</v>
      </c>
      <c r="AH796" s="114">
        <f>AU796/88.4</f>
        <v>0.882352941176471</v>
      </c>
      <c r="AI796" s="114" t="str">
        <f>AR796</f>
        <v>1.28</v>
      </c>
      <c r="AJ796" s="159">
        <f>LN(IF(AG796&gt;=1,AG796,1))*3.8+LN(IF(AH796&gt;=1,AH796,1))*9.6+11.2*LN(IF(AI796&gt;=1,AI796,1))+6.4*AN796</f>
        <v>4.71928023923842</v>
      </c>
      <c r="AK796" s="160">
        <f>IF(AND(AG796&gt;0,AH796&gt;0,AI796&gt;0),AJ796,"")</f>
        <v>4.71928023923842</v>
      </c>
      <c r="AL796" s="141">
        <f>AK796+1.59*(135-AM796)</f>
        <v>4.71928023923842</v>
      </c>
      <c r="AM796" s="241">
        <f>IF(AV796&gt;135,135,IF(AV796&lt;120,120,AV796))</f>
        <v>135</v>
      </c>
      <c r="AN796" s="234"/>
      <c r="AO796" s="234"/>
      <c r="AP796" s="315" t="s">
        <v>2467</v>
      </c>
      <c r="AQ796" s="315" t="s">
        <v>772</v>
      </c>
      <c r="AR796" s="315" t="s">
        <v>2346</v>
      </c>
      <c r="AS796" s="315" t="s">
        <v>2405</v>
      </c>
      <c r="AT796" s="315" t="s">
        <v>2468</v>
      </c>
      <c r="AU796" s="315" t="s">
        <v>2469</v>
      </c>
      <c r="AV796" s="315" t="s">
        <v>2338</v>
      </c>
      <c r="AW796" s="234"/>
      <c r="AX796" s="234"/>
      <c r="AY796" s="234"/>
      <c r="AZ796" s="119" t="s">
        <v>58</v>
      </c>
    </row>
    <row r="797" spans="1:52">
      <c r="A797" s="234" t="s">
        <v>2470</v>
      </c>
      <c r="B797" s="234" t="s">
        <v>53</v>
      </c>
      <c r="C797" s="234">
        <v>49</v>
      </c>
      <c r="D797" s="234">
        <v>1.6</v>
      </c>
      <c r="E797" s="234">
        <v>48</v>
      </c>
      <c r="F797" s="136">
        <f>E797/(D797*D797)</f>
        <v>18.75</v>
      </c>
      <c r="G797" s="234">
        <v>1</v>
      </c>
      <c r="H797" s="234" t="s">
        <v>2452</v>
      </c>
      <c r="I797" s="315" t="s">
        <v>2452</v>
      </c>
      <c r="J797" s="315" t="s">
        <v>2471</v>
      </c>
      <c r="K797" s="234"/>
      <c r="L797" s="315" t="s">
        <v>2330</v>
      </c>
      <c r="M797" s="315" t="s">
        <v>2472</v>
      </c>
      <c r="N797" s="316" t="s">
        <v>2473</v>
      </c>
      <c r="O797" s="234"/>
      <c r="P797" s="234"/>
      <c r="Q797" s="234"/>
      <c r="R797" s="315" t="s">
        <v>2330</v>
      </c>
      <c r="S797" s="234"/>
      <c r="T797" s="315" t="s">
        <v>2331</v>
      </c>
      <c r="U797" s="315" t="s">
        <v>2331</v>
      </c>
      <c r="V797" s="315" t="s">
        <v>2330</v>
      </c>
      <c r="W797" s="315" t="s">
        <v>2331</v>
      </c>
      <c r="X797" s="315" t="s">
        <v>2330</v>
      </c>
      <c r="Y797" s="234"/>
      <c r="Z797" s="315" t="s">
        <v>58</v>
      </c>
      <c r="AA797" s="315" t="s">
        <v>2330</v>
      </c>
      <c r="AB797" s="114">
        <f>_xlfn.IFS(AT797&gt;51,3,AT797&gt;=34,2,AT797&lt;34,1)</f>
        <v>3</v>
      </c>
      <c r="AC797" s="114">
        <f>_xlfn.IFS(AS797&gt;35,1,AS797&gt;=28,2,AS797&lt;28,3)</f>
        <v>1</v>
      </c>
      <c r="AD797" s="114">
        <f>_xlfn.IFS(AR797&gt;2.3,3,AR797&gt;=1.7,2,AR797&lt;1.7,1)</f>
        <v>3</v>
      </c>
      <c r="AE797" s="114">
        <f>Y797+AA797+AB797+AC797+AD797</f>
        <v>8</v>
      </c>
      <c r="AF797" s="234"/>
      <c r="AG797" s="114">
        <f>AT797/17.1</f>
        <v>0.444444444444444</v>
      </c>
      <c r="AH797" s="114">
        <f>AU797/88.4</f>
        <v>0.339366515837104</v>
      </c>
      <c r="AI797" s="114" t="str">
        <f>AR797</f>
        <v>1.29</v>
      </c>
      <c r="AJ797" s="159">
        <f>LN(IF(AG797&gt;=1,AG797,1))*3.8+LN(IF(AH797&gt;=1,AH797,1))*9.6+11.2*LN(IF(AI797&gt;=1,AI797,1))+6.4*AN797</f>
        <v>2.8519928457841</v>
      </c>
      <c r="AK797" s="160">
        <f>IF(AND(AG797&gt;0,AH797&gt;0,AI797&gt;0),AJ797,"")</f>
        <v>2.8519928457841</v>
      </c>
      <c r="AL797" s="141">
        <f>AK797+1.59*(135-AM797)</f>
        <v>2.8519928457841</v>
      </c>
      <c r="AM797" s="241">
        <f>IF(AV797&gt;135,135,IF(AV797&lt;120,120,AV797))</f>
        <v>135</v>
      </c>
      <c r="AN797" s="234"/>
      <c r="AO797" s="234"/>
      <c r="AP797" s="315" t="s">
        <v>2474</v>
      </c>
      <c r="AQ797" s="315" t="s">
        <v>2337</v>
      </c>
      <c r="AR797" s="315" t="s">
        <v>2402</v>
      </c>
      <c r="AS797" s="315" t="s">
        <v>2415</v>
      </c>
      <c r="AT797" s="315" t="s">
        <v>2475</v>
      </c>
      <c r="AU797" s="315" t="s">
        <v>2380</v>
      </c>
      <c r="AV797" s="315" t="s">
        <v>2439</v>
      </c>
      <c r="AW797" s="234"/>
      <c r="AX797" s="234"/>
      <c r="AY797" s="234"/>
      <c r="AZ797" s="119" t="s">
        <v>2476</v>
      </c>
    </row>
    <row r="798" spans="1:52">
      <c r="A798" s="234" t="s">
        <v>2477</v>
      </c>
      <c r="B798" s="234" t="s">
        <v>48</v>
      </c>
      <c r="C798" s="234">
        <v>43</v>
      </c>
      <c r="D798" s="234">
        <v>1.65</v>
      </c>
      <c r="E798" s="234">
        <v>80</v>
      </c>
      <c r="F798" s="136">
        <f>E798/(D798*D798)</f>
        <v>29.3847566574839</v>
      </c>
      <c r="G798" s="234">
        <v>1</v>
      </c>
      <c r="H798" s="234" t="s">
        <v>2478</v>
      </c>
      <c r="I798" s="315" t="s">
        <v>2478</v>
      </c>
      <c r="J798" s="315" t="s">
        <v>2479</v>
      </c>
      <c r="K798" s="234"/>
      <c r="L798" s="315" t="s">
        <v>2330</v>
      </c>
      <c r="M798" s="315" t="s">
        <v>2472</v>
      </c>
      <c r="N798" s="316" t="s">
        <v>2480</v>
      </c>
      <c r="O798" s="315"/>
      <c r="P798" s="315" t="s">
        <v>2330</v>
      </c>
      <c r="Q798" s="234"/>
      <c r="R798" s="234"/>
      <c r="S798" s="234"/>
      <c r="T798" s="315" t="s">
        <v>2330</v>
      </c>
      <c r="U798" s="315" t="s">
        <v>2331</v>
      </c>
      <c r="V798" s="315" t="s">
        <v>2331</v>
      </c>
      <c r="W798" s="315" t="s">
        <v>2331</v>
      </c>
      <c r="X798" s="315" t="s">
        <v>2331</v>
      </c>
      <c r="Y798" s="234"/>
      <c r="Z798" s="315" t="s">
        <v>321</v>
      </c>
      <c r="AA798" s="315" t="s">
        <v>2356</v>
      </c>
      <c r="AB798" s="114">
        <f>_xlfn.IFS(AT798&gt;51,3,AT798&gt;=34,2,AT798&lt;34,1)</f>
        <v>3</v>
      </c>
      <c r="AC798" s="114">
        <f>_xlfn.IFS(AS798&gt;35,1,AS798&gt;=28,2,AS798&lt;28,3)</f>
        <v>1</v>
      </c>
      <c r="AD798" s="114">
        <f>_xlfn.IFS(AR798&gt;2.3,3,AR798&gt;=1.7,2,AR798&lt;1.7,1)</f>
        <v>3</v>
      </c>
      <c r="AE798" s="114">
        <f>Y798+AA798+AB798+AC798+AD798</f>
        <v>10</v>
      </c>
      <c r="AF798" s="234"/>
      <c r="AG798" s="114">
        <f>AT798/17.1</f>
        <v>5.45029239766082</v>
      </c>
      <c r="AH798" s="114">
        <f>AU798/88.4</f>
        <v>0.735294117647059</v>
      </c>
      <c r="AI798" s="114" t="str">
        <f>AR798</f>
        <v>1.91</v>
      </c>
      <c r="AJ798" s="159">
        <f>LN(IF(AG798&gt;=1,AG798,1))*3.8+LN(IF(AH798&gt;=1,AH798,1))*9.6+11.2*LN(IF(AI798&gt;=1,AI798,1))+6.4*AN798</f>
        <v>13.6910994921508</v>
      </c>
      <c r="AK798" s="160">
        <f>IF(AND(AG798&gt;0,AH798&gt;0,AI798&gt;0),AJ798,"")</f>
        <v>13.6910994921508</v>
      </c>
      <c r="AL798" s="141">
        <f>AK798+1.59*(135-AM798)</f>
        <v>13.6910994921508</v>
      </c>
      <c r="AM798" s="241">
        <f>IF(AV798&gt;135,135,IF(AV798&lt;120,120,AV798))</f>
        <v>135</v>
      </c>
      <c r="AN798" s="234"/>
      <c r="AO798" s="234"/>
      <c r="AP798" s="315" t="s">
        <v>2481</v>
      </c>
      <c r="AQ798" s="315" t="s">
        <v>2358</v>
      </c>
      <c r="AR798" s="315" t="s">
        <v>2482</v>
      </c>
      <c r="AS798" s="315" t="s">
        <v>2483</v>
      </c>
      <c r="AT798" s="315" t="s">
        <v>2484</v>
      </c>
      <c r="AU798" s="315" t="s">
        <v>2485</v>
      </c>
      <c r="AV798" s="315" t="s">
        <v>2486</v>
      </c>
      <c r="AW798" s="234"/>
      <c r="AX798" s="234"/>
      <c r="AY798" s="234"/>
      <c r="AZ798" s="119" t="s">
        <v>2487</v>
      </c>
    </row>
    <row r="799" s="122" customFormat="1" spans="1:52">
      <c r="A799" s="317" t="s">
        <v>2488</v>
      </c>
      <c r="B799" s="317" t="s">
        <v>48</v>
      </c>
      <c r="C799" s="317">
        <v>65</v>
      </c>
      <c r="D799" s="317">
        <v>1.7</v>
      </c>
      <c r="E799" s="317">
        <v>61</v>
      </c>
      <c r="F799" s="148">
        <f>E799/(D799*D799)</f>
        <v>21.1072664359862</v>
      </c>
      <c r="G799" s="317">
        <v>6</v>
      </c>
      <c r="H799" s="317" t="s">
        <v>2489</v>
      </c>
      <c r="I799" s="318" t="s">
        <v>2489</v>
      </c>
      <c r="J799" s="318" t="s">
        <v>2490</v>
      </c>
      <c r="K799" s="317"/>
      <c r="L799" s="318" t="s">
        <v>2330</v>
      </c>
      <c r="M799" s="318" t="s">
        <v>2491</v>
      </c>
      <c r="N799" s="319" t="s">
        <v>2492</v>
      </c>
      <c r="O799" s="317"/>
      <c r="P799" s="318" t="s">
        <v>2330</v>
      </c>
      <c r="Q799" s="317"/>
      <c r="R799" s="317"/>
      <c r="S799" s="317"/>
      <c r="T799" s="318" t="s">
        <v>2330</v>
      </c>
      <c r="U799" s="318" t="s">
        <v>2331</v>
      </c>
      <c r="V799" s="318" t="s">
        <v>2331</v>
      </c>
      <c r="W799" s="318" t="s">
        <v>2331</v>
      </c>
      <c r="X799" s="318" t="s">
        <v>2331</v>
      </c>
      <c r="Y799" s="317"/>
      <c r="Z799" s="318" t="s">
        <v>321</v>
      </c>
      <c r="AA799" s="318" t="s">
        <v>2356</v>
      </c>
      <c r="AB799" s="114">
        <f>_xlfn.IFS(AT799&gt;51,3,AT799&gt;=34,2,AT799&lt;34,1)</f>
        <v>3</v>
      </c>
      <c r="AC799" s="114">
        <f>_xlfn.IFS(AS799&gt;35,1,AS799&gt;=28,2,AS799&lt;28,3)</f>
        <v>1</v>
      </c>
      <c r="AD799" s="114">
        <f>_xlfn.IFS(AR799&gt;2.3,3,AR799&gt;=1.7,2,AR799&lt;1.7,1)</f>
        <v>3</v>
      </c>
      <c r="AE799" s="114">
        <f>Y799+AA799+AB799+AC799+AD799</f>
        <v>10</v>
      </c>
      <c r="AF799" s="317"/>
      <c r="AG799" s="114">
        <f>AT799/17.1</f>
        <v>1.12865497076023</v>
      </c>
      <c r="AH799" s="114">
        <f>AU799/88.4</f>
        <v>1.50452488687783</v>
      </c>
      <c r="AI799" s="114" t="str">
        <f>AR799</f>
        <v>1.38</v>
      </c>
      <c r="AJ799" s="159">
        <f>LN(IF(AG799&gt;=1,AG799,1))*3.8+LN(IF(AH799&gt;=1,AH799,1))*9.6+11.2*LN(IF(AI799&gt;=1,AI799,1))+6.4*AN799</f>
        <v>7.98861711617282</v>
      </c>
      <c r="AK799" s="160">
        <f>IF(AND(AG799&gt;0,AH799&gt;0,AI799&gt;0),AJ799,"")</f>
        <v>7.98861711617282</v>
      </c>
      <c r="AL799" s="141">
        <f>AK799+1.59*(135-AM799)</f>
        <v>7.98861711617282</v>
      </c>
      <c r="AM799" s="241">
        <f>IF(AV799&gt;135,135,IF(AV799&lt;120,120,AV799))</f>
        <v>135</v>
      </c>
      <c r="AN799" s="317"/>
      <c r="AO799" s="317"/>
      <c r="AP799" s="318" t="s">
        <v>2493</v>
      </c>
      <c r="AQ799" s="318" t="s">
        <v>2494</v>
      </c>
      <c r="AR799" s="318" t="s">
        <v>2495</v>
      </c>
      <c r="AS799" s="318" t="s">
        <v>2496</v>
      </c>
      <c r="AT799" s="318" t="s">
        <v>2497</v>
      </c>
      <c r="AU799" s="318" t="s">
        <v>2498</v>
      </c>
      <c r="AV799" s="318" t="s">
        <v>2499</v>
      </c>
      <c r="AW799" s="317">
        <v>5</v>
      </c>
      <c r="AY799" s="317"/>
      <c r="AZ799" s="175" t="s">
        <v>2500</v>
      </c>
    </row>
    <row r="800" s="125" customFormat="1" spans="1:52">
      <c r="A800" s="237" t="s">
        <v>1211</v>
      </c>
      <c r="B800" s="237" t="s">
        <v>48</v>
      </c>
      <c r="C800" s="237">
        <v>65</v>
      </c>
      <c r="D800" s="237">
        <v>1.56</v>
      </c>
      <c r="E800" s="237">
        <v>50</v>
      </c>
      <c r="F800" s="136">
        <f>E800/(D800*D800)</f>
        <v>20.5456936226167</v>
      </c>
      <c r="G800" s="237">
        <v>6</v>
      </c>
      <c r="H800" s="237" t="s">
        <v>2501</v>
      </c>
      <c r="I800" s="243" t="s">
        <v>2501</v>
      </c>
      <c r="J800" s="243" t="s">
        <v>2502</v>
      </c>
      <c r="K800" s="237"/>
      <c r="L800" s="243" t="s">
        <v>2356</v>
      </c>
      <c r="M800" s="243" t="s">
        <v>2472</v>
      </c>
      <c r="N800" s="320" t="s">
        <v>2503</v>
      </c>
      <c r="O800" s="237"/>
      <c r="P800" s="243" t="s">
        <v>2330</v>
      </c>
      <c r="Q800" s="237"/>
      <c r="R800" s="237"/>
      <c r="S800" s="237"/>
      <c r="T800" s="243" t="s">
        <v>2330</v>
      </c>
      <c r="U800" s="243" t="s">
        <v>2330</v>
      </c>
      <c r="V800" s="243" t="s">
        <v>2330</v>
      </c>
      <c r="W800" s="243" t="s">
        <v>2330</v>
      </c>
      <c r="X800" s="243" t="s">
        <v>2330</v>
      </c>
      <c r="Y800" s="243" t="s">
        <v>2377</v>
      </c>
      <c r="Z800" s="243" t="s">
        <v>321</v>
      </c>
      <c r="AA800" s="243" t="s">
        <v>2356</v>
      </c>
      <c r="AB800" s="114">
        <f>_xlfn.IFS(AT800&gt;51,3,AT800&gt;=34,2,AT800&lt;34,1)</f>
        <v>3</v>
      </c>
      <c r="AC800" s="114">
        <f>_xlfn.IFS(AS800&gt;35,1,AS800&gt;=28,2,AS800&lt;28,3)</f>
        <v>1</v>
      </c>
      <c r="AD800" s="114">
        <f>_xlfn.IFS(AR800&gt;2.3,3,AR800&gt;=1.7,2,AR800&lt;1.7,1)</f>
        <v>3</v>
      </c>
      <c r="AE800" s="114">
        <f>Y800+AA800+AB800+AC800+AD800</f>
        <v>12</v>
      </c>
      <c r="AF800" s="243" t="s">
        <v>50</v>
      </c>
      <c r="AG800" s="114">
        <f>AT800/17.1</f>
        <v>0.91812865497076</v>
      </c>
      <c r="AH800" s="114">
        <f>AU800/88.4</f>
        <v>0.82579185520362</v>
      </c>
      <c r="AI800" s="114" t="str">
        <f>AR800</f>
        <v>1.47</v>
      </c>
      <c r="AJ800" s="159">
        <f>LN(IF(AG800&gt;=1,AG800,1))*3.8+LN(IF(AH800&gt;=1,AH800,1))*9.6+11.2*LN(IF(AI800&gt;=1,AI800,1))+6.4*AN800</f>
        <v>4.31493888885522</v>
      </c>
      <c r="AK800" s="160">
        <f>IF(AND(AG800&gt;0,AH800&gt;0,AI800&gt;0),AJ800,"")</f>
        <v>4.31493888885522</v>
      </c>
      <c r="AL800" s="141">
        <f>AK800+1.59*(135-AM800)</f>
        <v>4.31493888885522</v>
      </c>
      <c r="AM800" s="241">
        <f>IF(AV800&gt;135,135,IF(AV800&lt;120,120,AV800))</f>
        <v>135</v>
      </c>
      <c r="AN800" s="243" t="s">
        <v>2331</v>
      </c>
      <c r="AO800" s="237"/>
      <c r="AP800" s="243" t="s">
        <v>2504</v>
      </c>
      <c r="AQ800" s="243" t="s">
        <v>2358</v>
      </c>
      <c r="AR800" s="243" t="s">
        <v>2493</v>
      </c>
      <c r="AS800" s="243" t="s">
        <v>2505</v>
      </c>
      <c r="AT800" s="243" t="s">
        <v>2506</v>
      </c>
      <c r="AU800" s="243" t="s">
        <v>2438</v>
      </c>
      <c r="AV800" s="243" t="s">
        <v>2507</v>
      </c>
      <c r="AW800" s="237">
        <v>2</v>
      </c>
      <c r="AY800" s="237" t="s">
        <v>2508</v>
      </c>
      <c r="AZ800" s="131" t="s">
        <v>2509</v>
      </c>
    </row>
    <row r="801" spans="1:52">
      <c r="A801" s="234" t="s">
        <v>2510</v>
      </c>
      <c r="B801" s="234" t="s">
        <v>53</v>
      </c>
      <c r="C801" s="234">
        <v>52</v>
      </c>
      <c r="D801" s="234">
        <v>1.58</v>
      </c>
      <c r="E801" s="234">
        <v>49</v>
      </c>
      <c r="F801" s="136">
        <f>E801/(D801*D801)</f>
        <v>19.6282647011697</v>
      </c>
      <c r="G801" s="234">
        <v>0</v>
      </c>
      <c r="H801" s="234" t="s">
        <v>2341</v>
      </c>
      <c r="I801" s="315" t="s">
        <v>2341</v>
      </c>
      <c r="J801" s="315" t="s">
        <v>2511</v>
      </c>
      <c r="K801" s="234"/>
      <c r="L801" s="315" t="s">
        <v>2377</v>
      </c>
      <c r="M801" s="315" t="s">
        <v>2512</v>
      </c>
      <c r="N801" s="316" t="s">
        <v>2513</v>
      </c>
      <c r="O801" s="234"/>
      <c r="P801" s="234"/>
      <c r="Q801" s="315" t="s">
        <v>2330</v>
      </c>
      <c r="R801" s="315" t="s">
        <v>2330</v>
      </c>
      <c r="S801" s="234"/>
      <c r="T801" s="315" t="s">
        <v>2331</v>
      </c>
      <c r="U801" s="315" t="s">
        <v>2331</v>
      </c>
      <c r="V801" s="315" t="s">
        <v>2331</v>
      </c>
      <c r="W801" s="315" t="s">
        <v>2331</v>
      </c>
      <c r="X801" s="315" t="s">
        <v>2331</v>
      </c>
      <c r="Y801" s="315" t="s">
        <v>2330</v>
      </c>
      <c r="Z801" s="315" t="s">
        <v>58</v>
      </c>
      <c r="AA801" s="315" t="s">
        <v>2330</v>
      </c>
      <c r="AB801" s="114">
        <f>_xlfn.IFS(AT801&gt;51,3,AT801&gt;=34,2,AT801&lt;34,1)</f>
        <v>3</v>
      </c>
      <c r="AC801" s="114">
        <f>_xlfn.IFS(AS801&gt;35,1,AS801&gt;=28,2,AS801&lt;28,3)</f>
        <v>1</v>
      </c>
      <c r="AD801" s="114">
        <f>_xlfn.IFS(AR801&gt;2.3,3,AR801&gt;=1.7,2,AR801&lt;1.7,1)</f>
        <v>3</v>
      </c>
      <c r="AE801" s="114">
        <f>Y801+AA801+AB801+AC801+AD801</f>
        <v>9</v>
      </c>
      <c r="AF801" s="315" t="s">
        <v>59</v>
      </c>
      <c r="AG801" s="114">
        <f>AT801/17.1</f>
        <v>1.26315789473684</v>
      </c>
      <c r="AH801" s="114">
        <f>AU801/88.4</f>
        <v>0.384615384615385</v>
      </c>
      <c r="AI801" s="114" t="str">
        <f>AR801</f>
        <v>0.99</v>
      </c>
      <c r="AJ801" s="159">
        <f>LN(IF(AG801&gt;=1,AG801,1))*3.8+LN(IF(AH801&gt;=1,AH801,1))*9.6+11.2*LN(IF(AI801&gt;=1,AI801,1))+6.4*AN801</f>
        <v>0.775172672930503</v>
      </c>
      <c r="AK801" s="160">
        <f>IF(AND(AG801&gt;0,AH801&gt;0,AI801&gt;0),AJ801,"")</f>
        <v>0.775172672930503</v>
      </c>
      <c r="AL801" s="141">
        <f>AK801+1.59*(135-AM801)</f>
        <v>0.775172672930503</v>
      </c>
      <c r="AM801" s="241">
        <f>IF(AV801&gt;135,135,IF(AV801&lt;120,120,AV801))</f>
        <v>135</v>
      </c>
      <c r="AN801" s="315" t="s">
        <v>2331</v>
      </c>
      <c r="AO801" s="234"/>
      <c r="AP801" s="315" t="s">
        <v>2514</v>
      </c>
      <c r="AQ801" s="315" t="s">
        <v>2515</v>
      </c>
      <c r="AR801" s="315" t="s">
        <v>2516</v>
      </c>
      <c r="AS801" s="315" t="s">
        <v>2517</v>
      </c>
      <c r="AT801" s="315" t="s">
        <v>2518</v>
      </c>
      <c r="AU801" s="315" t="s">
        <v>2519</v>
      </c>
      <c r="AV801" s="315" t="s">
        <v>2371</v>
      </c>
      <c r="AW801" s="234">
        <v>2</v>
      </c>
      <c r="AY801" s="234" t="s">
        <v>2520</v>
      </c>
      <c r="AZ801" s="119" t="s">
        <v>2521</v>
      </c>
    </row>
    <row r="802" spans="1:52">
      <c r="A802" s="234" t="s">
        <v>2522</v>
      </c>
      <c r="B802" s="234" t="s">
        <v>48</v>
      </c>
      <c r="C802" s="234">
        <v>55</v>
      </c>
      <c r="D802" s="234">
        <v>1.55</v>
      </c>
      <c r="E802" s="234">
        <v>78</v>
      </c>
      <c r="F802" s="136">
        <f>E802/(D802*D802)</f>
        <v>32.4661810613944</v>
      </c>
      <c r="G802" s="234">
        <v>0</v>
      </c>
      <c r="H802" s="234" t="s">
        <v>2326</v>
      </c>
      <c r="I802" s="315" t="s">
        <v>2326</v>
      </c>
      <c r="J802" s="315" t="s">
        <v>2523</v>
      </c>
      <c r="K802" s="234"/>
      <c r="L802" s="315" t="s">
        <v>2330</v>
      </c>
      <c r="M802" s="315" t="s">
        <v>2512</v>
      </c>
      <c r="N802" s="316" t="s">
        <v>2524</v>
      </c>
      <c r="O802" s="315" t="s">
        <v>2330</v>
      </c>
      <c r="P802" s="234"/>
      <c r="Q802" s="234"/>
      <c r="R802" s="234"/>
      <c r="S802" s="234"/>
      <c r="T802" s="315" t="s">
        <v>2331</v>
      </c>
      <c r="U802" s="315" t="s">
        <v>2331</v>
      </c>
      <c r="V802" s="315" t="s">
        <v>2330</v>
      </c>
      <c r="W802" s="315" t="s">
        <v>2331</v>
      </c>
      <c r="X802" s="315" t="s">
        <v>2330</v>
      </c>
      <c r="Y802" s="315" t="s">
        <v>2330</v>
      </c>
      <c r="Z802" s="315" t="s">
        <v>58</v>
      </c>
      <c r="AA802" s="315" t="s">
        <v>2330</v>
      </c>
      <c r="AB802" s="114">
        <f>_xlfn.IFS(AT802&gt;51,3,AT802&gt;=34,2,AT802&lt;34,1)</f>
        <v>3</v>
      </c>
      <c r="AC802" s="114">
        <f>_xlfn.IFS(AS802&gt;35,1,AS802&gt;=28,2,AS802&lt;28,3)</f>
        <v>1</v>
      </c>
      <c r="AD802" s="114">
        <f>_xlfn.IFS(AR802&gt;2.3,3,AR802&gt;=1.7,2,AR802&lt;1.7,1)</f>
        <v>3</v>
      </c>
      <c r="AE802" s="114">
        <f>Y802+AA802+AB802+AC802+AD802</f>
        <v>9</v>
      </c>
      <c r="AF802" s="315" t="s">
        <v>59</v>
      </c>
      <c r="AG802" s="114">
        <f>AT802/17.1</f>
        <v>1.04093567251462</v>
      </c>
      <c r="AH802" s="114">
        <f>AU802/88.4</f>
        <v>0.723981900452489</v>
      </c>
      <c r="AI802" s="114" t="str">
        <f>AR802</f>
        <v>1.13</v>
      </c>
      <c r="AJ802" s="159">
        <f>LN(IF(AG802&gt;=1,AG802,1))*3.8+LN(IF(AH802&gt;=1,AH802,1))*9.6+11.2*LN(IF(AI802&gt;=1,AI802,1))+6.4*AN802</f>
        <v>7.92129346291141</v>
      </c>
      <c r="AK802" s="160">
        <f>IF(AND(AG802&gt;0,AH802&gt;0,AI802&gt;0),AJ802,"")</f>
        <v>7.92129346291141</v>
      </c>
      <c r="AL802" s="141">
        <f>AK802+1.59*(135-AM802)</f>
        <v>7.92129346291141</v>
      </c>
      <c r="AM802" s="241">
        <f>IF(AV802&gt;135,135,IF(AV802&lt;120,120,AV802))</f>
        <v>135</v>
      </c>
      <c r="AN802" s="315" t="s">
        <v>2330</v>
      </c>
      <c r="AO802" s="234"/>
      <c r="AP802" s="315" t="s">
        <v>2525</v>
      </c>
      <c r="AQ802" s="315" t="s">
        <v>2526</v>
      </c>
      <c r="AR802" s="315" t="s">
        <v>2527</v>
      </c>
      <c r="AS802" s="315" t="s">
        <v>2335</v>
      </c>
      <c r="AT802" s="315" t="s">
        <v>2528</v>
      </c>
      <c r="AU802" s="315" t="s">
        <v>2529</v>
      </c>
      <c r="AV802" s="315" t="s">
        <v>2393</v>
      </c>
      <c r="AW802" s="234">
        <v>4</v>
      </c>
      <c r="AY802" s="234" t="s">
        <v>2530</v>
      </c>
      <c r="AZ802" s="119" t="s">
        <v>2531</v>
      </c>
    </row>
    <row r="803" spans="1:52">
      <c r="A803" s="234" t="s">
        <v>2532</v>
      </c>
      <c r="B803" s="234" t="s">
        <v>53</v>
      </c>
      <c r="C803" s="234">
        <v>70</v>
      </c>
      <c r="D803" s="234">
        <v>1.65</v>
      </c>
      <c r="E803" s="234">
        <v>70</v>
      </c>
      <c r="F803" s="136">
        <f>E803/(D803*D803)</f>
        <v>25.7116620752984</v>
      </c>
      <c r="G803" s="234">
        <v>1</v>
      </c>
      <c r="H803" s="234" t="s">
        <v>2511</v>
      </c>
      <c r="I803" s="315" t="s">
        <v>2353</v>
      </c>
      <c r="J803" s="315" t="s">
        <v>2533</v>
      </c>
      <c r="K803" s="234"/>
      <c r="L803" s="315" t="s">
        <v>2330</v>
      </c>
      <c r="M803" s="315" t="s">
        <v>2386</v>
      </c>
      <c r="N803" s="316" t="s">
        <v>2534</v>
      </c>
      <c r="O803" s="234"/>
      <c r="P803" s="234"/>
      <c r="Q803" s="234"/>
      <c r="R803" s="234"/>
      <c r="S803" s="315" t="s">
        <v>2330</v>
      </c>
      <c r="T803" s="315" t="s">
        <v>2330</v>
      </c>
      <c r="U803" s="315" t="s">
        <v>2331</v>
      </c>
      <c r="V803" s="315" t="s">
        <v>2330</v>
      </c>
      <c r="W803" s="315" t="s">
        <v>2331</v>
      </c>
      <c r="X803" s="315" t="s">
        <v>2330</v>
      </c>
      <c r="Y803" s="315" t="s">
        <v>2330</v>
      </c>
      <c r="Z803" s="315" t="s">
        <v>307</v>
      </c>
      <c r="AA803" s="315" t="s">
        <v>2356</v>
      </c>
      <c r="AB803" s="114">
        <f>_xlfn.IFS(AT803&gt;51,3,AT803&gt;=34,2,AT803&lt;34,1)</f>
        <v>3</v>
      </c>
      <c r="AC803" s="114">
        <f>_xlfn.IFS(AS803&gt;35,1,AS803&gt;=28,2,AS803&lt;28,3)</f>
        <v>1</v>
      </c>
      <c r="AD803" s="114">
        <f>_xlfn.IFS(AR803&gt;2.3,3,AR803&gt;=1.7,2,AR803&lt;1.7,1)</f>
        <v>3</v>
      </c>
      <c r="AE803" s="114">
        <f>Y803+AA803+AB803+AC803+AD803</f>
        <v>11</v>
      </c>
      <c r="AF803" s="315" t="s">
        <v>63</v>
      </c>
      <c r="AG803" s="114">
        <f>AT803/17.1</f>
        <v>1.62573099415205</v>
      </c>
      <c r="AH803" s="114">
        <f>AU803/88.4</f>
        <v>0.531674208144796</v>
      </c>
      <c r="AI803" s="114" t="str">
        <f>AR803</f>
        <v>1.26</v>
      </c>
      <c r="AJ803" s="159">
        <f>LN(IF(AG803&gt;=1,AG803,1))*3.8+LN(IF(AH803&gt;=1,AH803,1))*9.6+11.2*LN(IF(AI803&gt;=1,AI803,1))+6.4*AN803</f>
        <v>10.8350899921042</v>
      </c>
      <c r="AK803" s="160">
        <f>IF(AND(AG803&gt;0,AH803&gt;0,AI803&gt;0),AJ803,"")</f>
        <v>10.8350899921042</v>
      </c>
      <c r="AL803" s="141">
        <f>AK803+1.59*(135-AM803)</f>
        <v>10.8350899921042</v>
      </c>
      <c r="AM803" s="241">
        <f>IF(AV803&gt;135,135,IF(AV803&lt;120,120,AV803))</f>
        <v>135</v>
      </c>
      <c r="AN803" s="315" t="s">
        <v>2330</v>
      </c>
      <c r="AO803" s="234"/>
      <c r="AP803" s="315" t="s">
        <v>2535</v>
      </c>
      <c r="AQ803" s="315" t="s">
        <v>2485</v>
      </c>
      <c r="AR803" s="315" t="s">
        <v>2536</v>
      </c>
      <c r="AS803" s="315" t="s">
        <v>2335</v>
      </c>
      <c r="AT803" s="315" t="s">
        <v>2537</v>
      </c>
      <c r="AU803" s="315" t="s">
        <v>2538</v>
      </c>
      <c r="AV803" s="315" t="s">
        <v>2439</v>
      </c>
      <c r="AW803" s="234">
        <v>2</v>
      </c>
      <c r="AY803" s="234" t="s">
        <v>2539</v>
      </c>
      <c r="AZ803" s="119" t="s">
        <v>2540</v>
      </c>
    </row>
    <row r="804" spans="1:52">
      <c r="A804" s="234" t="s">
        <v>2541</v>
      </c>
      <c r="B804" s="234" t="s">
        <v>48</v>
      </c>
      <c r="C804" s="234">
        <v>65</v>
      </c>
      <c r="D804" s="234">
        <v>1.75</v>
      </c>
      <c r="E804" s="234">
        <v>75</v>
      </c>
      <c r="F804" s="136">
        <f>E804/(D804*D804)</f>
        <v>24.4897959183673</v>
      </c>
      <c r="G804" s="234">
        <v>0</v>
      </c>
      <c r="H804" s="234" t="s">
        <v>2479</v>
      </c>
      <c r="I804" s="315" t="s">
        <v>2479</v>
      </c>
      <c r="J804" s="315" t="s">
        <v>2542</v>
      </c>
      <c r="K804" s="234"/>
      <c r="L804" s="315" t="s">
        <v>2330</v>
      </c>
      <c r="M804" s="315" t="s">
        <v>2386</v>
      </c>
      <c r="N804" s="316" t="s">
        <v>2543</v>
      </c>
      <c r="O804" s="234"/>
      <c r="P804" s="234"/>
      <c r="Q804" s="234"/>
      <c r="R804" s="234"/>
      <c r="S804" s="315" t="s">
        <v>2330</v>
      </c>
      <c r="T804" s="315" t="s">
        <v>2330</v>
      </c>
      <c r="U804" s="315" t="s">
        <v>2331</v>
      </c>
      <c r="V804" s="315" t="s">
        <v>2330</v>
      </c>
      <c r="W804" s="315" t="s">
        <v>2331</v>
      </c>
      <c r="X804" s="315" t="s">
        <v>2330</v>
      </c>
      <c r="Y804" s="315" t="s">
        <v>2330</v>
      </c>
      <c r="Z804" s="315" t="s">
        <v>300</v>
      </c>
      <c r="AA804" s="315" t="s">
        <v>2377</v>
      </c>
      <c r="AB804" s="114">
        <f>_xlfn.IFS(AT804&gt;51,3,AT804&gt;=34,2,AT804&lt;34,1)</f>
        <v>3</v>
      </c>
      <c r="AC804" s="114">
        <f>_xlfn.IFS(AS804&gt;35,1,AS804&gt;=28,2,AS804&lt;28,3)</f>
        <v>1</v>
      </c>
      <c r="AD804" s="114">
        <f>_xlfn.IFS(AR804&gt;2.3,3,AR804&gt;=1.7,2,AR804&lt;1.7,1)</f>
        <v>3</v>
      </c>
      <c r="AE804" s="114">
        <f>Y804+AA804+AB804+AC804+AD804</f>
        <v>10</v>
      </c>
      <c r="AF804" s="315" t="s">
        <v>63</v>
      </c>
      <c r="AG804" s="114">
        <f>AT804/17.1</f>
        <v>1.27485380116959</v>
      </c>
      <c r="AH804" s="114">
        <f>AU804/88.4</f>
        <v>0.723981900452489</v>
      </c>
      <c r="AI804" s="114" t="str">
        <f>AR804</f>
        <v>1.27</v>
      </c>
      <c r="AJ804" s="159">
        <f>LN(IF(AG804&gt;=1,AG804,1))*3.8+LN(IF(AH804&gt;=1,AH804,1))*9.6+11.2*LN(IF(AI804&gt;=1,AI804,1))+6.4*AN804</f>
        <v>9.99974900915803</v>
      </c>
      <c r="AK804" s="160">
        <f>IF(AND(AG804&gt;0,AH804&gt;0,AI804&gt;0),AJ804,"")</f>
        <v>9.99974900915803</v>
      </c>
      <c r="AL804" s="141">
        <f>AK804+1.59*(135-AM804)</f>
        <v>9.99974900915803</v>
      </c>
      <c r="AM804" s="241">
        <f>IF(AV804&gt;135,135,IF(AV804&lt;120,120,AV804))</f>
        <v>135</v>
      </c>
      <c r="AN804" s="315" t="s">
        <v>2330</v>
      </c>
      <c r="AO804" s="234"/>
      <c r="AP804" s="315" t="s">
        <v>2544</v>
      </c>
      <c r="AQ804" s="315" t="s">
        <v>2545</v>
      </c>
      <c r="AR804" s="315" t="s">
        <v>2546</v>
      </c>
      <c r="AS804" s="315" t="s">
        <v>2496</v>
      </c>
      <c r="AT804" s="315" t="s">
        <v>2547</v>
      </c>
      <c r="AU804" s="315" t="s">
        <v>2529</v>
      </c>
      <c r="AV804" s="315" t="s">
        <v>2406</v>
      </c>
      <c r="AW804" s="234">
        <v>7</v>
      </c>
      <c r="AY804" s="234"/>
      <c r="AZ804" s="119" t="s">
        <v>2548</v>
      </c>
    </row>
    <row r="805" spans="1:52">
      <c r="A805" s="234" t="s">
        <v>2549</v>
      </c>
      <c r="B805" s="234" t="s">
        <v>53</v>
      </c>
      <c r="C805" s="234">
        <v>67</v>
      </c>
      <c r="D805" s="234">
        <v>1.6</v>
      </c>
      <c r="E805" s="234">
        <v>60</v>
      </c>
      <c r="F805" s="136">
        <f>E805/(D805*D805)</f>
        <v>23.4375</v>
      </c>
      <c r="G805" s="234">
        <v>0</v>
      </c>
      <c r="H805" s="234" t="s">
        <v>2550</v>
      </c>
      <c r="I805" s="315" t="s">
        <v>2550</v>
      </c>
      <c r="J805" s="315" t="s">
        <v>2551</v>
      </c>
      <c r="K805" s="234"/>
      <c r="L805" s="315" t="s">
        <v>2330</v>
      </c>
      <c r="M805" s="315" t="s">
        <v>2328</v>
      </c>
      <c r="N805" s="316" t="s">
        <v>2552</v>
      </c>
      <c r="O805" s="234"/>
      <c r="P805" s="315" t="s">
        <v>2330</v>
      </c>
      <c r="Q805" s="234"/>
      <c r="R805" s="234"/>
      <c r="S805" s="315"/>
      <c r="T805" s="315" t="s">
        <v>2330</v>
      </c>
      <c r="U805" s="315" t="s">
        <v>2331</v>
      </c>
      <c r="V805" s="315" t="s">
        <v>2330</v>
      </c>
      <c r="W805" s="315" t="s">
        <v>2331</v>
      </c>
      <c r="X805" s="315" t="s">
        <v>2330</v>
      </c>
      <c r="Y805" s="315" t="s">
        <v>2330</v>
      </c>
      <c r="Z805" s="315" t="s">
        <v>300</v>
      </c>
      <c r="AA805" s="315" t="s">
        <v>2377</v>
      </c>
      <c r="AB805" s="114">
        <f>_xlfn.IFS(AT805&gt;51,3,AT805&gt;=34,2,AT805&lt;34,1)</f>
        <v>3</v>
      </c>
      <c r="AC805" s="114">
        <f>_xlfn.IFS(AS805&gt;35,1,AS805&gt;=28,2,AS805&lt;28,3)</f>
        <v>1</v>
      </c>
      <c r="AD805" s="114">
        <f>_xlfn.IFS(AR805&gt;2.3,3,AR805&gt;=1.7,2,AR805&lt;1.7,1)</f>
        <v>3</v>
      </c>
      <c r="AE805" s="114">
        <f>Y805+AA805+AB805+AC805+AD805</f>
        <v>10</v>
      </c>
      <c r="AF805" s="315" t="s">
        <v>63</v>
      </c>
      <c r="AG805" s="114">
        <f>AT805/17.1</f>
        <v>1.57309941520468</v>
      </c>
      <c r="AH805" s="114">
        <f>AU805/88.4</f>
        <v>0.441176470588235</v>
      </c>
      <c r="AI805" s="114" t="str">
        <f>AR805</f>
        <v>1.19</v>
      </c>
      <c r="AJ805" s="159">
        <f>LN(IF(AG805&gt;=1,AG805,1))*3.8+LN(IF(AH805&gt;=1,AH805,1))*9.6+11.2*LN(IF(AI805&gt;=1,AI805,1))+6.4*AN805</f>
        <v>3.66985876755939</v>
      </c>
      <c r="AK805" s="160">
        <f>IF(AND(AG805&gt;0,AH805&gt;0,AI805&gt;0),AJ805,"")</f>
        <v>3.66985876755939</v>
      </c>
      <c r="AL805" s="141">
        <f>AK805+1.59*(135-AM805)</f>
        <v>3.66985876755939</v>
      </c>
      <c r="AM805" s="241">
        <f>IF(AV805&gt;135,135,IF(AV805&lt;120,120,AV805))</f>
        <v>135</v>
      </c>
      <c r="AN805" s="234"/>
      <c r="AO805" s="234"/>
      <c r="AP805" s="315" t="s">
        <v>2553</v>
      </c>
      <c r="AQ805" s="315" t="s">
        <v>2554</v>
      </c>
      <c r="AR805" s="315" t="s">
        <v>2555</v>
      </c>
      <c r="AS805" s="315" t="s">
        <v>2459</v>
      </c>
      <c r="AT805" s="315" t="s">
        <v>2556</v>
      </c>
      <c r="AU805" s="315" t="s">
        <v>2557</v>
      </c>
      <c r="AV805" s="315" t="s">
        <v>2350</v>
      </c>
      <c r="AW805" s="234">
        <v>2</v>
      </c>
      <c r="AY805" s="234" t="s">
        <v>2558</v>
      </c>
      <c r="AZ805" s="119" t="s">
        <v>2559</v>
      </c>
    </row>
    <row r="806" spans="1:52">
      <c r="A806" s="234" t="s">
        <v>2560</v>
      </c>
      <c r="B806" s="234" t="s">
        <v>48</v>
      </c>
      <c r="C806" s="234">
        <v>43</v>
      </c>
      <c r="D806" s="234">
        <v>1.78</v>
      </c>
      <c r="E806" s="234">
        <v>75</v>
      </c>
      <c r="F806" s="136">
        <f>E806/(D806*D806)</f>
        <v>23.6712536295922</v>
      </c>
      <c r="G806" s="234">
        <v>1</v>
      </c>
      <c r="H806" s="234" t="s">
        <v>2561</v>
      </c>
      <c r="I806" s="315" t="s">
        <v>2561</v>
      </c>
      <c r="J806" s="315" t="s">
        <v>2562</v>
      </c>
      <c r="K806" s="234"/>
      <c r="L806" s="315" t="s">
        <v>2330</v>
      </c>
      <c r="M806" s="315" t="s">
        <v>2431</v>
      </c>
      <c r="N806" s="316" t="s">
        <v>2563</v>
      </c>
      <c r="O806" s="234"/>
      <c r="P806" s="315" t="s">
        <v>2330</v>
      </c>
      <c r="Q806" s="234"/>
      <c r="R806" s="234"/>
      <c r="S806" s="234"/>
      <c r="T806" s="315" t="s">
        <v>2330</v>
      </c>
      <c r="U806" s="315" t="s">
        <v>2330</v>
      </c>
      <c r="V806" s="315" t="s">
        <v>2330</v>
      </c>
      <c r="W806" s="315" t="s">
        <v>2331</v>
      </c>
      <c r="X806" s="315" t="s">
        <v>2330</v>
      </c>
      <c r="Y806" s="315" t="s">
        <v>2377</v>
      </c>
      <c r="Z806" s="315" t="s">
        <v>321</v>
      </c>
      <c r="AA806" s="315" t="s">
        <v>2356</v>
      </c>
      <c r="AB806" s="114">
        <f>_xlfn.IFS(AT806&gt;51,3,AT806&gt;=34,2,AT806&lt;34,1)</f>
        <v>3</v>
      </c>
      <c r="AC806" s="114">
        <f>_xlfn.IFS(AS806&gt;35,1,AS806&gt;=28,2,AS806&lt;28,3)</f>
        <v>1</v>
      </c>
      <c r="AD806" s="114">
        <f>_xlfn.IFS(AR806&gt;2.3,3,AR806&gt;=1.7,2,AR806&lt;1.7,1)</f>
        <v>3</v>
      </c>
      <c r="AE806" s="114">
        <f>Y806+AA806+AB806+AC806+AD806</f>
        <v>12</v>
      </c>
      <c r="AF806" s="315" t="s">
        <v>50</v>
      </c>
      <c r="AG806" s="114">
        <f>AT806/17.1</f>
        <v>2.98245614035088</v>
      </c>
      <c r="AH806" s="114">
        <f>AU806/88.4</f>
        <v>0.339366515837104</v>
      </c>
      <c r="AI806" s="114" t="str">
        <f>AR806</f>
        <v>2.02</v>
      </c>
      <c r="AJ806" s="159">
        <f>LN(IF(AG806&gt;=1,AG806,1))*3.8+LN(IF(AH806&gt;=1,AH806,1))*9.6+11.2*LN(IF(AI806&gt;=1,AI806,1))+6.4*AN806</f>
        <v>12.0271313708466</v>
      </c>
      <c r="AK806" s="160">
        <f>IF(AND(AG806&gt;0,AH806&gt;0,AI806&gt;0),AJ806,"")</f>
        <v>12.0271313708466</v>
      </c>
      <c r="AL806" s="141">
        <f>AK806+1.59*(135-AM806)</f>
        <v>12.0271313708466</v>
      </c>
      <c r="AM806" s="241">
        <f>IF(AV806&gt;135,135,IF(AV806&lt;120,120,AV806))</f>
        <v>135</v>
      </c>
      <c r="AN806" s="234"/>
      <c r="AO806" s="234"/>
      <c r="AP806" s="315" t="s">
        <v>2564</v>
      </c>
      <c r="AQ806" s="315" t="s">
        <v>2565</v>
      </c>
      <c r="AR806" s="315" t="s">
        <v>2566</v>
      </c>
      <c r="AS806" s="315" t="s">
        <v>2567</v>
      </c>
      <c r="AT806" s="315" t="s">
        <v>2568</v>
      </c>
      <c r="AU806" s="315" t="s">
        <v>2380</v>
      </c>
      <c r="AV806" s="315" t="s">
        <v>2569</v>
      </c>
      <c r="AW806" s="234">
        <v>4</v>
      </c>
      <c r="AY806" s="234"/>
      <c r="AZ806" s="119" t="s">
        <v>2570</v>
      </c>
    </row>
    <row r="807" spans="1:52">
      <c r="A807" s="234" t="s">
        <v>2571</v>
      </c>
      <c r="B807" s="234" t="s">
        <v>48</v>
      </c>
      <c r="C807" s="234">
        <v>67</v>
      </c>
      <c r="D807" s="234">
        <v>1.73</v>
      </c>
      <c r="E807" s="234">
        <v>60</v>
      </c>
      <c r="F807" s="136">
        <f>E807/(D807*D807)</f>
        <v>20.0474456213038</v>
      </c>
      <c r="G807" s="234">
        <v>6</v>
      </c>
      <c r="H807" s="234" t="s">
        <v>2523</v>
      </c>
      <c r="I807" s="315" t="s">
        <v>2523</v>
      </c>
      <c r="J807" s="315" t="s">
        <v>2572</v>
      </c>
      <c r="K807" s="234"/>
      <c r="L807" s="315" t="s">
        <v>2330</v>
      </c>
      <c r="M807" s="315" t="s">
        <v>2573</v>
      </c>
      <c r="N807" s="316" t="s">
        <v>2574</v>
      </c>
      <c r="O807" s="234"/>
      <c r="P807" s="315" t="s">
        <v>2330</v>
      </c>
      <c r="Q807" s="234"/>
      <c r="R807" s="234"/>
      <c r="S807" s="234"/>
      <c r="T807" s="315" t="s">
        <v>2330</v>
      </c>
      <c r="U807" s="315" t="s">
        <v>2331</v>
      </c>
      <c r="V807" s="315" t="s">
        <v>2331</v>
      </c>
      <c r="W807" s="315" t="s">
        <v>2331</v>
      </c>
      <c r="X807" s="315" t="s">
        <v>2330</v>
      </c>
      <c r="Y807" s="315" t="s">
        <v>2330</v>
      </c>
      <c r="Z807" s="315" t="s">
        <v>300</v>
      </c>
      <c r="AA807" s="315" t="s">
        <v>2377</v>
      </c>
      <c r="AB807" s="114">
        <f>_xlfn.IFS(AT807&gt;51,3,AT807&gt;=34,2,AT807&lt;34,1)</f>
        <v>3</v>
      </c>
      <c r="AC807" s="114">
        <f>_xlfn.IFS(AS807&gt;35,1,AS807&gt;=28,2,AS807&lt;28,3)</f>
        <v>1</v>
      </c>
      <c r="AD807" s="114">
        <f>_xlfn.IFS(AR807&gt;2.3,3,AR807&gt;=1.7,2,AR807&lt;1.7,1)</f>
        <v>3</v>
      </c>
      <c r="AE807" s="114">
        <f>Y807+AA807+AB807+AC807+AD807</f>
        <v>10</v>
      </c>
      <c r="AF807" s="315" t="s">
        <v>50</v>
      </c>
      <c r="AG807" s="114" t="e">
        <f>AT807/17.1</f>
        <v>#VALUE!</v>
      </c>
      <c r="AH807" s="114">
        <f>AU807/88.4</f>
        <v>0.588235294117647</v>
      </c>
      <c r="AI807" s="114" t="str">
        <f>AR807</f>
        <v>1.57</v>
      </c>
      <c r="AJ807" s="159" t="e">
        <f>LN(IF(AG807&gt;=1,AG807,1))*3.8+LN(IF(AH807&gt;=1,AH807,1))*9.6+11.2*LN(IF(AI807&gt;=1,AI807,1))+6.4*AN807</f>
        <v>#VALUE!</v>
      </c>
      <c r="AK807" s="160" t="e">
        <f>IF(AND(AG807&gt;0,AH807&gt;0,AI807&gt;0),AJ807,"")</f>
        <v>#VALUE!</v>
      </c>
      <c r="AL807" s="141" t="e">
        <f>AK807+1.59*(135-AM807)</f>
        <v>#VALUE!</v>
      </c>
      <c r="AM807" s="241">
        <f>IF(AV807&gt;135,135,IF(AV807&lt;120,120,AV807))</f>
        <v>135</v>
      </c>
      <c r="AN807" s="234"/>
      <c r="AO807" s="234"/>
      <c r="AP807" s="315" t="s">
        <v>2575</v>
      </c>
      <c r="AQ807" s="315" t="s">
        <v>2576</v>
      </c>
      <c r="AR807" s="315" t="s">
        <v>2577</v>
      </c>
      <c r="AS807" s="315" t="s">
        <v>2354</v>
      </c>
      <c r="AT807" s="315" t="s">
        <v>2578</v>
      </c>
      <c r="AU807" s="315" t="s">
        <v>2382</v>
      </c>
      <c r="AV807" s="315" t="s">
        <v>2498</v>
      </c>
      <c r="AW807" s="234">
        <v>6</v>
      </c>
      <c r="AY807" s="234" t="s">
        <v>2530</v>
      </c>
      <c r="AZ807" s="119" t="s">
        <v>2579</v>
      </c>
    </row>
    <row r="808" spans="1:52">
      <c r="A808" s="234" t="s">
        <v>2580</v>
      </c>
      <c r="B808" s="234" t="s">
        <v>48</v>
      </c>
      <c r="C808" s="234">
        <v>74</v>
      </c>
      <c r="D808" s="234">
        <v>1.5</v>
      </c>
      <c r="E808" s="234">
        <v>40</v>
      </c>
      <c r="F808" s="136">
        <f>E808/(D808*D808)</f>
        <v>17.7777777777778</v>
      </c>
      <c r="G808" s="234">
        <v>0</v>
      </c>
      <c r="H808" s="234" t="s">
        <v>2581</v>
      </c>
      <c r="I808" s="315" t="s">
        <v>2581</v>
      </c>
      <c r="J808" s="315" t="s">
        <v>2582</v>
      </c>
      <c r="K808" s="234"/>
      <c r="L808" s="315" t="s">
        <v>2330</v>
      </c>
      <c r="M808" s="315" t="s">
        <v>2328</v>
      </c>
      <c r="N808" s="316" t="s">
        <v>2583</v>
      </c>
      <c r="O808" s="234"/>
      <c r="P808" s="234"/>
      <c r="Q808" s="315" t="s">
        <v>2330</v>
      </c>
      <c r="R808" s="234"/>
      <c r="S808" s="234"/>
      <c r="T808" s="315" t="s">
        <v>2331</v>
      </c>
      <c r="U808" s="315" t="s">
        <v>2331</v>
      </c>
      <c r="V808" s="315" t="s">
        <v>2330</v>
      </c>
      <c r="W808" s="315" t="s">
        <v>2330</v>
      </c>
      <c r="X808" s="315" t="s">
        <v>2330</v>
      </c>
      <c r="Y808" s="315" t="s">
        <v>2330</v>
      </c>
      <c r="Z808" s="315" t="s">
        <v>58</v>
      </c>
      <c r="AA808" s="315" t="s">
        <v>2330</v>
      </c>
      <c r="AB808" s="114">
        <f>_xlfn.IFS(AT808&gt;51,3,AT808&gt;=34,2,AT808&lt;34,1)</f>
        <v>3</v>
      </c>
      <c r="AC808" s="114">
        <f>_xlfn.IFS(AS808&gt;35,1,AS808&gt;=28,2,AS808&lt;28,3)</f>
        <v>1</v>
      </c>
      <c r="AD808" s="114">
        <f>_xlfn.IFS(AR808&gt;2.3,3,AR808&gt;=1.7,2,AR808&lt;1.7,1)</f>
        <v>3</v>
      </c>
      <c r="AE808" s="114">
        <f>Y808+AA808+AB808+AC808+AD808</f>
        <v>9</v>
      </c>
      <c r="AF808" s="315" t="s">
        <v>63</v>
      </c>
      <c r="AG808" s="114">
        <f>AT808/17.1</f>
        <v>1.45029239766082</v>
      </c>
      <c r="AH808" s="114">
        <f>AU808/88.4</f>
        <v>0.588235294117647</v>
      </c>
      <c r="AI808" s="114" t="str">
        <f>AR808</f>
        <v>1.42</v>
      </c>
      <c r="AJ808" s="159">
        <f>LN(IF(AG808&gt;=1,AG808,1))*3.8+LN(IF(AH808&gt;=1,AH808,1))*9.6+11.2*LN(IF(AI808&gt;=1,AI808,1))+6.4*AN808</f>
        <v>5.34006468278432</v>
      </c>
      <c r="AK808" s="160">
        <f>IF(AND(AG808&gt;0,AH808&gt;0,AI808&gt;0),AJ808,"")</f>
        <v>5.34006468278432</v>
      </c>
      <c r="AL808" s="141">
        <f>AK808+1.59*(135-AM808)</f>
        <v>5.34006468278432</v>
      </c>
      <c r="AM808" s="241">
        <f>IF(AV808&gt;135,135,IF(AV808&lt;120,120,AV808))</f>
        <v>135</v>
      </c>
      <c r="AN808" s="234"/>
      <c r="AO808" s="234"/>
      <c r="AP808" s="315" t="s">
        <v>2584</v>
      </c>
      <c r="AQ808" s="315" t="s">
        <v>2389</v>
      </c>
      <c r="AR808" s="315" t="s">
        <v>2585</v>
      </c>
      <c r="AS808" s="315" t="s">
        <v>2567</v>
      </c>
      <c r="AT808" s="315" t="s">
        <v>2586</v>
      </c>
      <c r="AU808" s="315" t="s">
        <v>2382</v>
      </c>
      <c r="AV808" s="315" t="s">
        <v>2499</v>
      </c>
      <c r="AW808" s="234">
        <v>3</v>
      </c>
      <c r="AY808" s="234" t="s">
        <v>2587</v>
      </c>
      <c r="AZ808" s="119" t="s">
        <v>2588</v>
      </c>
    </row>
    <row r="809" s="125" customFormat="1" spans="1:52">
      <c r="A809" s="237" t="s">
        <v>2589</v>
      </c>
      <c r="B809" s="237" t="s">
        <v>53</v>
      </c>
      <c r="C809" s="237">
        <v>51</v>
      </c>
      <c r="D809" s="237">
        <v>1.6</v>
      </c>
      <c r="E809" s="237">
        <v>60</v>
      </c>
      <c r="F809" s="136">
        <f>E809/(D809*D809)</f>
        <v>23.4375</v>
      </c>
      <c r="G809" s="237">
        <v>1</v>
      </c>
      <c r="H809" s="237" t="s">
        <v>2561</v>
      </c>
      <c r="I809" s="243" t="s">
        <v>2561</v>
      </c>
      <c r="J809" s="243" t="s">
        <v>2590</v>
      </c>
      <c r="K809" s="237"/>
      <c r="L809" s="243" t="s">
        <v>2330</v>
      </c>
      <c r="M809" s="243" t="s">
        <v>2386</v>
      </c>
      <c r="N809" s="320" t="s">
        <v>2591</v>
      </c>
      <c r="O809" s="237"/>
      <c r="P809" s="237"/>
      <c r="Q809" s="243" t="s">
        <v>2330</v>
      </c>
      <c r="R809" s="237"/>
      <c r="S809" s="237"/>
      <c r="T809" s="243" t="s">
        <v>2330</v>
      </c>
      <c r="U809" s="243" t="s">
        <v>2331</v>
      </c>
      <c r="V809" s="243" t="s">
        <v>2330</v>
      </c>
      <c r="W809" s="243" t="s">
        <v>2331</v>
      </c>
      <c r="X809" s="243" t="s">
        <v>2330</v>
      </c>
      <c r="Y809" s="243" t="s">
        <v>2330</v>
      </c>
      <c r="Z809" s="243" t="s">
        <v>321</v>
      </c>
      <c r="AA809" s="243" t="s">
        <v>2356</v>
      </c>
      <c r="AB809" s="114">
        <f>_xlfn.IFS(AT809&gt;51,3,AT809&gt;=34,2,AT809&lt;34,1)</f>
        <v>3</v>
      </c>
      <c r="AC809" s="114">
        <f>_xlfn.IFS(AS809&gt;35,1,AS809&gt;=28,2,AS809&lt;28,3)</f>
        <v>1</v>
      </c>
      <c r="AD809" s="114">
        <f>_xlfn.IFS(AR809&gt;2.3,3,AR809&gt;=1.7,2,AR809&lt;1.7,1)</f>
        <v>3</v>
      </c>
      <c r="AE809" s="114">
        <f>Y809+AA809+AB809+AC809+AD809</f>
        <v>11</v>
      </c>
      <c r="AF809" s="243" t="s">
        <v>63</v>
      </c>
      <c r="AG809" s="114">
        <f>AT809/17.1</f>
        <v>1.23976608187134</v>
      </c>
      <c r="AH809" s="114">
        <f>AU809/88.4</f>
        <v>0.565610859728507</v>
      </c>
      <c r="AI809" s="114" t="str">
        <f>AR809</f>
        <v>1.1</v>
      </c>
      <c r="AJ809" s="159">
        <f>LN(IF(AG809&gt;=1,AG809,1))*3.8+LN(IF(AH809&gt;=1,AH809,1))*9.6+11.2*LN(IF(AI809&gt;=1,AI809,1))+6.4*AN809</f>
        <v>1.88418034285198</v>
      </c>
      <c r="AK809" s="160">
        <f>IF(AND(AG809&gt;0,AH809&gt;0,AI809&gt;0),AJ809,"")</f>
        <v>1.88418034285198</v>
      </c>
      <c r="AL809" s="141">
        <f>AK809+1.59*(135-AM809)</f>
        <v>1.88418034285198</v>
      </c>
      <c r="AM809" s="241">
        <f>IF(AV809&gt;135,135,IF(AV809&lt;120,120,AV809))</f>
        <v>135</v>
      </c>
      <c r="AN809" s="237"/>
      <c r="AO809" s="237"/>
      <c r="AP809" s="243" t="s">
        <v>2592</v>
      </c>
      <c r="AQ809" s="243" t="s">
        <v>2349</v>
      </c>
      <c r="AR809" s="243" t="s">
        <v>2414</v>
      </c>
      <c r="AS809" s="243" t="s">
        <v>2380</v>
      </c>
      <c r="AT809" s="243" t="s">
        <v>2593</v>
      </c>
      <c r="AU809" s="243" t="s">
        <v>2594</v>
      </c>
      <c r="AV809" s="243" t="s">
        <v>2406</v>
      </c>
      <c r="AW809" s="237">
        <v>6</v>
      </c>
      <c r="AY809" s="237" t="s">
        <v>2595</v>
      </c>
      <c r="AZ809" s="131" t="s">
        <v>2596</v>
      </c>
    </row>
    <row r="810" spans="1:52">
      <c r="A810" s="234" t="s">
        <v>2597</v>
      </c>
      <c r="B810" s="234" t="s">
        <v>53</v>
      </c>
      <c r="C810" s="234">
        <v>52</v>
      </c>
      <c r="D810" s="234">
        <v>1.45</v>
      </c>
      <c r="E810" s="234">
        <v>45</v>
      </c>
      <c r="F810" s="136">
        <f t="shared" ref="F810:F827" si="244">E810/(D810*D810)</f>
        <v>21.4030915576694</v>
      </c>
      <c r="G810" s="234">
        <v>1</v>
      </c>
      <c r="H810" s="234" t="s">
        <v>2551</v>
      </c>
      <c r="I810" s="315" t="s">
        <v>2551</v>
      </c>
      <c r="J810" s="315" t="s">
        <v>2598</v>
      </c>
      <c r="K810" s="234"/>
      <c r="L810" s="315" t="s">
        <v>2330</v>
      </c>
      <c r="M810" s="315" t="s">
        <v>2599</v>
      </c>
      <c r="N810" s="316" t="s">
        <v>2600</v>
      </c>
      <c r="O810" s="234"/>
      <c r="P810" s="234"/>
      <c r="Q810" s="234"/>
      <c r="R810" s="234"/>
      <c r="S810" s="234"/>
      <c r="T810" s="315" t="s">
        <v>2330</v>
      </c>
      <c r="U810" s="315" t="s">
        <v>2331</v>
      </c>
      <c r="V810" s="315" t="s">
        <v>2331</v>
      </c>
      <c r="W810" s="315" t="s">
        <v>2330</v>
      </c>
      <c r="X810" s="315" t="s">
        <v>2330</v>
      </c>
      <c r="Y810" s="315" t="s">
        <v>2330</v>
      </c>
      <c r="Z810" s="315" t="s">
        <v>321</v>
      </c>
      <c r="AA810" s="315" t="s">
        <v>2356</v>
      </c>
      <c r="AB810" s="114">
        <f t="shared" ref="AB810:AB820" si="245">_xlfn.IFS(AT810&gt;51,3,AT810&gt;=34,2,AT810&lt;34,1)</f>
        <v>3</v>
      </c>
      <c r="AC810" s="114">
        <f t="shared" ref="AC810:AC820" si="246">_xlfn.IFS(AS810&gt;35,1,AS810&gt;=28,2,AS810&lt;28,3)</f>
        <v>1</v>
      </c>
      <c r="AD810" s="114">
        <f t="shared" ref="AD810:AD820" si="247">_xlfn.IFS(AR810&gt;2.3,3,AR810&gt;=1.7,2,AR810&lt;1.7,1)</f>
        <v>3</v>
      </c>
      <c r="AE810" s="114">
        <f t="shared" ref="AE810:AE820" si="248">Y810+AA810+AB810+AC810+AD810</f>
        <v>11</v>
      </c>
      <c r="AF810" s="234"/>
      <c r="AG810" s="114">
        <f>AT810/17.1</f>
        <v>0.350877192982456</v>
      </c>
      <c r="AH810" s="114">
        <f>AU810/88.4</f>
        <v>0.780542986425339</v>
      </c>
      <c r="AI810" s="114" t="str">
        <f>AR810</f>
        <v>1.23</v>
      </c>
      <c r="AJ810" s="159">
        <f>LN(IF(AG810&gt;=1,AG810,1))*3.8+LN(IF(AH810&gt;=1,AH810,1))*9.6+11.2*LN(IF(AI810&gt;=1,AI810,1))+6.4*AN810</f>
        <v>2.31855869710445</v>
      </c>
      <c r="AK810" s="160">
        <f>IF(AND(AG810&gt;0,AH810&gt;0,AI810&gt;0),AJ810,"")</f>
        <v>2.31855869710445</v>
      </c>
      <c r="AL810" s="141">
        <f>AK810+1.59*(135-AM810)</f>
        <v>2.31855869710445</v>
      </c>
      <c r="AM810" s="241">
        <f>IF(AV810&gt;135,135,IF(AV810&lt;120,120,AV810))</f>
        <v>135</v>
      </c>
      <c r="AN810" s="234"/>
      <c r="AO810" s="234"/>
      <c r="AP810" s="315" t="s">
        <v>2601</v>
      </c>
      <c r="AQ810" s="315" t="s">
        <v>2568</v>
      </c>
      <c r="AR810" s="315" t="s">
        <v>2602</v>
      </c>
      <c r="AS810" s="315" t="s">
        <v>2491</v>
      </c>
      <c r="AT810" s="315" t="s">
        <v>2398</v>
      </c>
      <c r="AU810" s="315" t="s">
        <v>2603</v>
      </c>
      <c r="AV810" s="315" t="s">
        <v>2604</v>
      </c>
      <c r="AW810" s="234">
        <v>4</v>
      </c>
      <c r="AY810" s="234" t="s">
        <v>2530</v>
      </c>
      <c r="AZ810" s="119" t="s">
        <v>2605</v>
      </c>
    </row>
    <row r="811" hidden="1" spans="1:52">
      <c r="A811" s="234" t="s">
        <v>2606</v>
      </c>
      <c r="B811" s="234" t="s">
        <v>53</v>
      </c>
      <c r="C811" s="234">
        <v>70</v>
      </c>
      <c r="D811" s="234">
        <v>1.6</v>
      </c>
      <c r="E811" s="234">
        <v>60</v>
      </c>
      <c r="F811" s="136">
        <f t="shared" si="244"/>
        <v>23.4375</v>
      </c>
      <c r="G811" s="234">
        <v>0</v>
      </c>
      <c r="H811" s="234" t="s">
        <v>2607</v>
      </c>
      <c r="I811" s="315" t="s">
        <v>2607</v>
      </c>
      <c r="J811" s="315" t="s">
        <v>2582</v>
      </c>
      <c r="K811" s="234"/>
      <c r="L811" s="315" t="s">
        <v>2330</v>
      </c>
      <c r="M811" s="315" t="s">
        <v>2365</v>
      </c>
      <c r="N811" s="316" t="s">
        <v>2608</v>
      </c>
      <c r="O811" s="234"/>
      <c r="P811" s="234"/>
      <c r="Q811" s="234"/>
      <c r="R811" s="234"/>
      <c r="S811" s="234"/>
      <c r="T811" s="315" t="s">
        <v>2330</v>
      </c>
      <c r="U811" s="315" t="s">
        <v>2331</v>
      </c>
      <c r="V811" s="315" t="s">
        <v>2330</v>
      </c>
      <c r="W811" s="315" t="s">
        <v>2330</v>
      </c>
      <c r="X811" s="315" t="s">
        <v>2330</v>
      </c>
      <c r="Y811" s="315" t="s">
        <v>2330</v>
      </c>
      <c r="Z811" s="315" t="s">
        <v>300</v>
      </c>
      <c r="AA811" s="315" t="s">
        <v>2377</v>
      </c>
      <c r="AB811" s="114">
        <f t="shared" si="245"/>
        <v>3</v>
      </c>
      <c r="AC811" s="114">
        <f t="shared" si="246"/>
        <v>1</v>
      </c>
      <c r="AD811" s="114">
        <f t="shared" si="247"/>
        <v>3</v>
      </c>
      <c r="AE811" s="114">
        <f t="shared" si="248"/>
        <v>10</v>
      </c>
      <c r="AF811" s="234"/>
      <c r="AG811" s="114">
        <f>AT811/17.1</f>
        <v>0.526315789473684</v>
      </c>
      <c r="AH811" s="114">
        <f>AU811/88.4</f>
        <v>0.712669683257918</v>
      </c>
      <c r="AI811" s="114" t="str">
        <f>AR811</f>
        <v>1.14</v>
      </c>
      <c r="AJ811" s="159">
        <f>LN(IF(AG811&gt;=1,AG811,1))*3.8+LN(IF(AH811&gt;=1,AH811,1))*9.6+11.2*LN(IF(AI811&gt;=1,AI811,1))+6.4*AN811</f>
        <v>1.46751653895172</v>
      </c>
      <c r="AK811" s="160">
        <f>IF(AND(AG811&gt;0,AH811&gt;0,AI811&gt;0),AJ811,"")</f>
        <v>1.46751653895172</v>
      </c>
      <c r="AL811" s="141">
        <f>AK811+1.59*(135-AM811)</f>
        <v>1.46751653895172</v>
      </c>
      <c r="AM811" s="241">
        <f>IF(AV811&gt;135,135,IF(AV811&lt;120,120,AV811))</f>
        <v>135</v>
      </c>
      <c r="AN811" s="234"/>
      <c r="AO811" s="234"/>
      <c r="AP811" s="315" t="s">
        <v>2609</v>
      </c>
      <c r="AQ811" s="315" t="s">
        <v>2610</v>
      </c>
      <c r="AR811" s="315" t="s">
        <v>2611</v>
      </c>
      <c r="AS811" s="315" t="s">
        <v>2519</v>
      </c>
      <c r="AT811" s="315" t="s">
        <v>2612</v>
      </c>
      <c r="AU811" s="315" t="s">
        <v>2613</v>
      </c>
      <c r="AV811" s="315" t="s">
        <v>2338</v>
      </c>
      <c r="AW811" s="234">
        <v>3</v>
      </c>
      <c r="AY811" s="234" t="s">
        <v>2614</v>
      </c>
      <c r="AZ811" s="119" t="s">
        <v>2615</v>
      </c>
    </row>
    <row r="812" spans="1:52">
      <c r="A812" s="234" t="s">
        <v>2616</v>
      </c>
      <c r="B812" s="234" t="s">
        <v>48</v>
      </c>
      <c r="C812" s="234">
        <v>60</v>
      </c>
      <c r="D812" s="234">
        <v>1.62</v>
      </c>
      <c r="E812" s="234">
        <v>60</v>
      </c>
      <c r="F812" s="136">
        <f t="shared" si="244"/>
        <v>22.8623685413809</v>
      </c>
      <c r="G812" s="234">
        <v>6</v>
      </c>
      <c r="H812" s="234" t="s">
        <v>2607</v>
      </c>
      <c r="I812" s="315" t="s">
        <v>2607</v>
      </c>
      <c r="J812" s="315" t="s">
        <v>2562</v>
      </c>
      <c r="K812" s="234"/>
      <c r="L812" s="315" t="s">
        <v>2330</v>
      </c>
      <c r="M812" s="315" t="s">
        <v>2327</v>
      </c>
      <c r="N812" s="316" t="s">
        <v>2617</v>
      </c>
      <c r="O812" s="234"/>
      <c r="P812" s="234"/>
      <c r="Q812" s="234"/>
      <c r="R812" s="234"/>
      <c r="S812" s="234"/>
      <c r="T812" s="315" t="s">
        <v>2331</v>
      </c>
      <c r="U812" s="315" t="s">
        <v>2331</v>
      </c>
      <c r="V812" s="315" t="s">
        <v>2330</v>
      </c>
      <c r="W812" s="315" t="s">
        <v>2331</v>
      </c>
      <c r="X812" s="315" t="s">
        <v>2331</v>
      </c>
      <c r="Y812" s="315" t="s">
        <v>2330</v>
      </c>
      <c r="Z812" s="315" t="s">
        <v>58</v>
      </c>
      <c r="AA812" s="315" t="s">
        <v>2330</v>
      </c>
      <c r="AB812" s="114">
        <f t="shared" si="245"/>
        <v>3</v>
      </c>
      <c r="AC812" s="114">
        <f t="shared" si="246"/>
        <v>1</v>
      </c>
      <c r="AD812" s="114">
        <f t="shared" si="247"/>
        <v>3</v>
      </c>
      <c r="AE812" s="114">
        <f t="shared" si="248"/>
        <v>9</v>
      </c>
      <c r="AF812" s="234"/>
      <c r="AG812" s="114">
        <f>AT812/17.1</f>
        <v>0.672514619883041</v>
      </c>
      <c r="AH812" s="114">
        <f>AU812/88.4</f>
        <v>0.667420814479638</v>
      </c>
      <c r="AI812" s="114" t="str">
        <f>AR812</f>
        <v>1.04</v>
      </c>
      <c r="AJ812" s="159">
        <f>LN(IF(AG812&gt;=1,AG812,1))*3.8+LN(IF(AH812&gt;=1,AH812,1))*9.6+11.2*LN(IF(AI812&gt;=1,AI812,1))+6.4*AN812</f>
        <v>0.439271987316751</v>
      </c>
      <c r="AK812" s="160">
        <f>IF(AND(AG812&gt;0,AH812&gt;0,AI812&gt;0),AJ812,"")</f>
        <v>0.439271987316751</v>
      </c>
      <c r="AL812" s="141">
        <f>AK812+1.59*(135-AM812)</f>
        <v>0.439271987316751</v>
      </c>
      <c r="AM812" s="241">
        <f>IF(AV812&gt;135,135,IF(AV812&lt;120,120,AV812))</f>
        <v>135</v>
      </c>
      <c r="AN812" s="234"/>
      <c r="AO812" s="234"/>
      <c r="AP812" s="315" t="s">
        <v>2618</v>
      </c>
      <c r="AQ812" s="315" t="s">
        <v>2619</v>
      </c>
      <c r="AR812" s="315" t="s">
        <v>2620</v>
      </c>
      <c r="AS812" s="315" t="s">
        <v>2436</v>
      </c>
      <c r="AT812" s="315" t="s">
        <v>2621</v>
      </c>
      <c r="AU812" s="315" t="s">
        <v>2622</v>
      </c>
      <c r="AV812" s="315" t="s">
        <v>2345</v>
      </c>
      <c r="AW812" s="234">
        <v>3</v>
      </c>
      <c r="AY812" s="234"/>
      <c r="AZ812" s="119" t="s">
        <v>2623</v>
      </c>
    </row>
    <row r="813" spans="1:52">
      <c r="A813" s="234" t="s">
        <v>2624</v>
      </c>
      <c r="B813" s="234" t="s">
        <v>48</v>
      </c>
      <c r="C813" s="234">
        <v>58</v>
      </c>
      <c r="D813" s="234">
        <v>1.68</v>
      </c>
      <c r="E813" s="234">
        <v>78</v>
      </c>
      <c r="F813" s="136">
        <f t="shared" si="244"/>
        <v>27.6360544217687</v>
      </c>
      <c r="G813" s="234">
        <v>1</v>
      </c>
      <c r="H813" s="234" t="s">
        <v>2625</v>
      </c>
      <c r="I813" s="315" t="s">
        <v>2562</v>
      </c>
      <c r="J813" s="315" t="s">
        <v>2626</v>
      </c>
      <c r="K813" s="234"/>
      <c r="L813" s="315" t="s">
        <v>2330</v>
      </c>
      <c r="M813" s="315" t="s">
        <v>2431</v>
      </c>
      <c r="N813" s="316" t="s">
        <v>2627</v>
      </c>
      <c r="O813" s="234"/>
      <c r="P813" s="234"/>
      <c r="Q813" s="234"/>
      <c r="R813" s="234"/>
      <c r="S813" s="234"/>
      <c r="T813" s="315" t="s">
        <v>2330</v>
      </c>
      <c r="U813" s="315" t="s">
        <v>2331</v>
      </c>
      <c r="V813" s="315" t="s">
        <v>2330</v>
      </c>
      <c r="W813" s="315" t="s">
        <v>2331</v>
      </c>
      <c r="X813" s="315" t="s">
        <v>2330</v>
      </c>
      <c r="Y813" s="234"/>
      <c r="Z813" s="234"/>
      <c r="AA813" s="234"/>
      <c r="AB813" s="114">
        <f t="shared" si="245"/>
        <v>3</v>
      </c>
      <c r="AC813" s="114">
        <f t="shared" si="246"/>
        <v>1</v>
      </c>
      <c r="AD813" s="114">
        <f t="shared" si="247"/>
        <v>3</v>
      </c>
      <c r="AE813" s="114">
        <f t="shared" si="248"/>
        <v>7</v>
      </c>
      <c r="AF813" s="234"/>
      <c r="AG813" s="114">
        <f>AT813/17.1</f>
        <v>0.362573099415205</v>
      </c>
      <c r="AH813" s="114">
        <f>AU813/88.4</f>
        <v>1.0972850678733</v>
      </c>
      <c r="AI813" s="114" t="str">
        <f>AR813</f>
        <v>1.14</v>
      </c>
      <c r="AJ813" s="159">
        <f>LN(IF(AG813&gt;=1,AG813,1))*3.8+LN(IF(AH813&gt;=1,AH813,1))*9.6+11.2*LN(IF(AI813&gt;=1,AI813,1))+6.4*AN813</f>
        <v>2.35877102400566</v>
      </c>
      <c r="AK813" s="160">
        <f>IF(AND(AG813&gt;0,AH813&gt;0,AI813&gt;0),AJ813,"")</f>
        <v>2.35877102400566</v>
      </c>
      <c r="AL813" s="141">
        <f>AK813+1.59*(135-AM813)</f>
        <v>2.35877102400566</v>
      </c>
      <c r="AM813" s="241">
        <f>IF(AV813&gt;135,135,IF(AV813&lt;120,120,AV813))</f>
        <v>135</v>
      </c>
      <c r="AN813" s="234"/>
      <c r="AO813" s="234"/>
      <c r="AP813" s="315" t="s">
        <v>2628</v>
      </c>
      <c r="AQ813" s="315" t="s">
        <v>2629</v>
      </c>
      <c r="AR813" s="315" t="s">
        <v>2611</v>
      </c>
      <c r="AS813" s="315" t="s">
        <v>2380</v>
      </c>
      <c r="AT813" s="315" t="s">
        <v>2630</v>
      </c>
      <c r="AU813" s="315" t="s">
        <v>2631</v>
      </c>
      <c r="AV813" s="315" t="s">
        <v>2345</v>
      </c>
      <c r="AW813" s="234">
        <v>4</v>
      </c>
      <c r="AY813" s="234" t="s">
        <v>2632</v>
      </c>
      <c r="AZ813" s="119" t="s">
        <v>2633</v>
      </c>
    </row>
    <row r="814" spans="1:52">
      <c r="A814" s="234" t="s">
        <v>1963</v>
      </c>
      <c r="B814" s="234" t="s">
        <v>48</v>
      </c>
      <c r="C814" s="234">
        <v>76</v>
      </c>
      <c r="D814" s="234">
        <v>1.75</v>
      </c>
      <c r="E814" s="234">
        <v>55</v>
      </c>
      <c r="F814" s="136">
        <f t="shared" si="244"/>
        <v>17.9591836734694</v>
      </c>
      <c r="G814" s="234">
        <v>6</v>
      </c>
      <c r="H814" s="234" t="s">
        <v>2607</v>
      </c>
      <c r="I814" s="315" t="s">
        <v>2607</v>
      </c>
      <c r="J814" s="315" t="s">
        <v>2634</v>
      </c>
      <c r="K814" s="234"/>
      <c r="L814" s="315" t="s">
        <v>2377</v>
      </c>
      <c r="M814" s="315" t="s">
        <v>2573</v>
      </c>
      <c r="N814" s="316" t="s">
        <v>2635</v>
      </c>
      <c r="O814" s="315" t="s">
        <v>2331</v>
      </c>
      <c r="P814" s="315" t="s">
        <v>2330</v>
      </c>
      <c r="Q814" s="234"/>
      <c r="R814" s="234"/>
      <c r="S814" s="234"/>
      <c r="T814" s="315" t="s">
        <v>2331</v>
      </c>
      <c r="U814" s="315" t="s">
        <v>2331</v>
      </c>
      <c r="V814" s="315" t="s">
        <v>2330</v>
      </c>
      <c r="W814" s="315" t="s">
        <v>2331</v>
      </c>
      <c r="X814" s="315" t="s">
        <v>2331</v>
      </c>
      <c r="Y814" s="234"/>
      <c r="Z814" s="234"/>
      <c r="AA814" s="234"/>
      <c r="AB814" s="114">
        <f t="shared" si="245"/>
        <v>3</v>
      </c>
      <c r="AC814" s="114">
        <f t="shared" si="246"/>
        <v>1</v>
      </c>
      <c r="AD814" s="114">
        <f t="shared" si="247"/>
        <v>3</v>
      </c>
      <c r="AE814" s="114">
        <f t="shared" si="248"/>
        <v>7</v>
      </c>
      <c r="AF814" s="234"/>
      <c r="AG814" s="114">
        <f>AT814/17.1</f>
        <v>0.964912280701754</v>
      </c>
      <c r="AH814" s="114">
        <f>AU814/88.4</f>
        <v>1.53846153846154</v>
      </c>
      <c r="AI814" s="114" t="str">
        <f>AR814</f>
        <v>1.02</v>
      </c>
      <c r="AJ814" s="159">
        <f>LN(IF(AG814&gt;=1,AG814,1))*3.8+LN(IF(AH814&gt;=1,AH814,1))*9.6+11.2*LN(IF(AI814&gt;=1,AI814,1))+6.4*AN814</f>
        <v>4.35730542020477</v>
      </c>
      <c r="AK814" s="160">
        <f>IF(AND(AG814&gt;0,AH814&gt;0,AI814&gt;0),AJ814,"")</f>
        <v>4.35730542020477</v>
      </c>
      <c r="AL814" s="141">
        <f>AK814+1.59*(135-AM814)</f>
        <v>4.35730542020477</v>
      </c>
      <c r="AM814" s="241">
        <f>IF(AV814&gt;135,135,IF(AV814&lt;120,120,AV814))</f>
        <v>135</v>
      </c>
      <c r="AN814" s="234"/>
      <c r="AO814" s="234"/>
      <c r="AP814" s="315" t="s">
        <v>2636</v>
      </c>
      <c r="AQ814" s="315" t="s">
        <v>2637</v>
      </c>
      <c r="AR814" s="315" t="s">
        <v>2638</v>
      </c>
      <c r="AS814" s="315" t="s">
        <v>2436</v>
      </c>
      <c r="AT814" s="315" t="s">
        <v>2639</v>
      </c>
      <c r="AU814" s="315" t="s">
        <v>2507</v>
      </c>
      <c r="AV814" s="315" t="s">
        <v>2350</v>
      </c>
      <c r="AW814" s="234">
        <v>2</v>
      </c>
      <c r="AY814" s="234" t="s">
        <v>2520</v>
      </c>
      <c r="AZ814" s="119" t="s">
        <v>2640</v>
      </c>
    </row>
    <row r="815" spans="1:52">
      <c r="A815" s="234" t="s">
        <v>2641</v>
      </c>
      <c r="B815" s="234" t="s">
        <v>53</v>
      </c>
      <c r="C815" s="234">
        <v>75</v>
      </c>
      <c r="D815" s="234">
        <v>1.63</v>
      </c>
      <c r="E815" s="234">
        <v>55</v>
      </c>
      <c r="F815" s="136">
        <f t="shared" si="244"/>
        <v>20.7008167413151</v>
      </c>
      <c r="G815" s="234">
        <v>0</v>
      </c>
      <c r="H815" s="234" t="s">
        <v>2642</v>
      </c>
      <c r="I815" s="315" t="s">
        <v>2642</v>
      </c>
      <c r="J815" s="315" t="s">
        <v>2643</v>
      </c>
      <c r="K815" s="234"/>
      <c r="L815" s="315" t="s">
        <v>2330</v>
      </c>
      <c r="M815" s="315" t="s">
        <v>2431</v>
      </c>
      <c r="N815" s="316" t="s">
        <v>2644</v>
      </c>
      <c r="O815" s="234"/>
      <c r="P815" s="234"/>
      <c r="Q815" s="234"/>
      <c r="R815" s="234"/>
      <c r="S815" s="234"/>
      <c r="T815" s="315" t="s">
        <v>2331</v>
      </c>
      <c r="U815" s="315" t="s">
        <v>2331</v>
      </c>
      <c r="V815" s="315" t="s">
        <v>2330</v>
      </c>
      <c r="W815" s="315" t="s">
        <v>2331</v>
      </c>
      <c r="X815" s="315" t="s">
        <v>2331</v>
      </c>
      <c r="Y815" s="234"/>
      <c r="Z815" s="234"/>
      <c r="AA815" s="234"/>
      <c r="AB815" s="114">
        <f t="shared" si="245"/>
        <v>3</v>
      </c>
      <c r="AC815" s="114">
        <f t="shared" si="246"/>
        <v>1</v>
      </c>
      <c r="AD815" s="114">
        <f t="shared" si="247"/>
        <v>3</v>
      </c>
      <c r="AE815" s="114">
        <f t="shared" si="248"/>
        <v>7</v>
      </c>
      <c r="AF815" s="234"/>
      <c r="AG815" s="114">
        <f>AT815/17.1</f>
        <v>4.03508771929824</v>
      </c>
      <c r="AH815" s="114">
        <f>AU815/88.4</f>
        <v>0.791855203619909</v>
      </c>
      <c r="AI815" s="114" t="str">
        <f>AR815</f>
        <v>1.08</v>
      </c>
      <c r="AJ815" s="159">
        <f>LN(IF(AG815&gt;=1,AG815,1))*3.8+LN(IF(AH815&gt;=1,AH815,1))*9.6+11.2*LN(IF(AI815&gt;=1,AI815,1))+6.4*AN815</f>
        <v>6.16307021686149</v>
      </c>
      <c r="AK815" s="160">
        <f>IF(AND(AG815&gt;0,AH815&gt;0,AI815&gt;0),AJ815,"")</f>
        <v>6.16307021686149</v>
      </c>
      <c r="AL815" s="141">
        <f>AK815+1.59*(135-AM815)</f>
        <v>6.16307021686149</v>
      </c>
      <c r="AM815" s="241">
        <f>IF(AV815&gt;135,135,IF(AV815&lt;120,120,AV815))</f>
        <v>135</v>
      </c>
      <c r="AN815" s="234"/>
      <c r="AO815" s="234"/>
      <c r="AP815" s="315" t="s">
        <v>2645</v>
      </c>
      <c r="AQ815" s="315" t="s">
        <v>2427</v>
      </c>
      <c r="AR815" s="315" t="s">
        <v>2646</v>
      </c>
      <c r="AS815" s="315" t="s">
        <v>2380</v>
      </c>
      <c r="AT815" s="315" t="s">
        <v>2603</v>
      </c>
      <c r="AU815" s="315" t="s">
        <v>2434</v>
      </c>
      <c r="AV815" s="315" t="s">
        <v>2393</v>
      </c>
      <c r="AW815" s="234">
        <v>5</v>
      </c>
      <c r="AY815" s="234" t="s">
        <v>2647</v>
      </c>
      <c r="AZ815" s="119" t="s">
        <v>2648</v>
      </c>
    </row>
    <row r="816" spans="1:52">
      <c r="A816" s="234" t="s">
        <v>2649</v>
      </c>
      <c r="B816" s="234" t="s">
        <v>48</v>
      </c>
      <c r="C816" s="234">
        <v>56</v>
      </c>
      <c r="D816" s="234">
        <v>1.7</v>
      </c>
      <c r="E816" s="234">
        <v>80</v>
      </c>
      <c r="F816" s="136">
        <f t="shared" si="244"/>
        <v>27.681660899654</v>
      </c>
      <c r="G816" s="234">
        <v>6</v>
      </c>
      <c r="H816" s="234" t="s">
        <v>58</v>
      </c>
      <c r="I816" s="315" t="s">
        <v>2650</v>
      </c>
      <c r="J816" s="315" t="s">
        <v>2651</v>
      </c>
      <c r="K816" s="234"/>
      <c r="L816" s="315" t="s">
        <v>2330</v>
      </c>
      <c r="M816" s="315" t="s">
        <v>2375</v>
      </c>
      <c r="N816" s="316" t="s">
        <v>2652</v>
      </c>
      <c r="O816" s="234"/>
      <c r="P816" s="234"/>
      <c r="Q816" s="234"/>
      <c r="R816" s="234"/>
      <c r="S816" s="234"/>
      <c r="T816" s="234"/>
      <c r="U816" s="234"/>
      <c r="V816" s="234"/>
      <c r="W816" s="234"/>
      <c r="X816" s="234"/>
      <c r="Y816" s="234"/>
      <c r="Z816" s="234"/>
      <c r="AA816" s="234"/>
      <c r="AB816" s="114">
        <f t="shared" si="245"/>
        <v>3</v>
      </c>
      <c r="AC816" s="114">
        <f t="shared" si="246"/>
        <v>1</v>
      </c>
      <c r="AD816" s="114">
        <f t="shared" si="247"/>
        <v>3</v>
      </c>
      <c r="AE816" s="114">
        <f t="shared" si="248"/>
        <v>7</v>
      </c>
      <c r="AF816" s="234"/>
      <c r="AG816" s="114">
        <f>AT816/17.1</f>
        <v>1.88888888888889</v>
      </c>
      <c r="AH816" s="114">
        <f>AU816/88.4</f>
        <v>0.904977375565611</v>
      </c>
      <c r="AI816" s="114" t="str">
        <f>AR816</f>
        <v>1.33</v>
      </c>
      <c r="AJ816" s="159">
        <f>LN(IF(AG816&gt;=1,AG816,1))*3.8+LN(IF(AH816&gt;=1,AH816,1))*9.6+11.2*LN(IF(AI816&gt;=1,AI816,1))+6.4*AN816</f>
        <v>5.61076146655301</v>
      </c>
      <c r="AK816" s="160">
        <f>IF(AND(AG816&gt;0,AH816&gt;0,AI816&gt;0),AJ816,"")</f>
        <v>5.61076146655301</v>
      </c>
      <c r="AL816" s="141">
        <f>AK816+1.59*(135-AM816)</f>
        <v>5.61076146655301</v>
      </c>
      <c r="AM816" s="241">
        <f>IF(AV816&gt;135,135,IF(AV816&lt;120,120,AV816))</f>
        <v>135</v>
      </c>
      <c r="AN816" s="234"/>
      <c r="AO816" s="234"/>
      <c r="AP816" s="315" t="s">
        <v>2546</v>
      </c>
      <c r="AQ816" s="315" t="s">
        <v>2653</v>
      </c>
      <c r="AR816" s="315" t="s">
        <v>2654</v>
      </c>
      <c r="AS816" s="315" t="s">
        <v>2405</v>
      </c>
      <c r="AT816" s="315" t="s">
        <v>2655</v>
      </c>
      <c r="AU816" s="315" t="s">
        <v>2427</v>
      </c>
      <c r="AV816" s="315" t="s">
        <v>2656</v>
      </c>
      <c r="AW816" s="234">
        <v>4</v>
      </c>
      <c r="AY816" s="234" t="s">
        <v>2657</v>
      </c>
      <c r="AZ816" s="119" t="s">
        <v>2658</v>
      </c>
    </row>
    <row r="817" spans="1:52">
      <c r="A817" s="234" t="s">
        <v>2659</v>
      </c>
      <c r="B817" s="234" t="s">
        <v>53</v>
      </c>
      <c r="C817" s="234">
        <v>55</v>
      </c>
      <c r="D817" s="234">
        <v>1.68</v>
      </c>
      <c r="E817" s="234">
        <v>68</v>
      </c>
      <c r="F817" s="136">
        <f t="shared" si="244"/>
        <v>24.092970521542</v>
      </c>
      <c r="G817" s="234">
        <v>0</v>
      </c>
      <c r="H817" s="234" t="s">
        <v>2551</v>
      </c>
      <c r="I817" s="315" t="s">
        <v>2650</v>
      </c>
      <c r="J817" s="315" t="s">
        <v>2660</v>
      </c>
      <c r="K817" s="234"/>
      <c r="L817" s="315" t="s">
        <v>2330</v>
      </c>
      <c r="M817" s="315" t="s">
        <v>2365</v>
      </c>
      <c r="N817" s="316" t="s">
        <v>2661</v>
      </c>
      <c r="O817" s="234"/>
      <c r="P817" s="234"/>
      <c r="Q817" s="234"/>
      <c r="R817" s="315" t="s">
        <v>2330</v>
      </c>
      <c r="S817" s="234"/>
      <c r="T817" s="315" t="s">
        <v>2331</v>
      </c>
      <c r="U817" s="315" t="s">
        <v>2331</v>
      </c>
      <c r="V817" s="315" t="s">
        <v>2331</v>
      </c>
      <c r="W817" s="315" t="s">
        <v>2331</v>
      </c>
      <c r="X817" s="315" t="s">
        <v>2331</v>
      </c>
      <c r="Y817" s="234"/>
      <c r="Z817" s="234"/>
      <c r="AA817" s="234"/>
      <c r="AB817" s="114">
        <f t="shared" si="245"/>
        <v>3</v>
      </c>
      <c r="AC817" s="114">
        <f t="shared" si="246"/>
        <v>1</v>
      </c>
      <c r="AD817" s="114">
        <f t="shared" si="247"/>
        <v>3</v>
      </c>
      <c r="AE817" s="114">
        <f t="shared" si="248"/>
        <v>7</v>
      </c>
      <c r="AF817" s="234"/>
      <c r="AG817" s="114">
        <f>AT817/17.1</f>
        <v>1.1812865497076</v>
      </c>
      <c r="AH817" s="114">
        <f>AU817/88.4</f>
        <v>0.520361990950226</v>
      </c>
      <c r="AI817" s="114" t="str">
        <f>AR817</f>
        <v>1.01</v>
      </c>
      <c r="AJ817" s="159">
        <f>LN(IF(AG817&gt;=1,AG817,1))*3.8+LN(IF(AH817&gt;=1,AH817,1))*9.6+11.2*LN(IF(AI817&gt;=1,AI817,1))+6.4*AN817</f>
        <v>0.744539440969953</v>
      </c>
      <c r="AK817" s="160">
        <f>IF(AND(AG817&gt;0,AH817&gt;0,AI817&gt;0),AJ817,"")</f>
        <v>0.744539440969953</v>
      </c>
      <c r="AL817" s="141">
        <f>AK817+1.59*(135-AM817)</f>
        <v>0.744539440969953</v>
      </c>
      <c r="AM817" s="241">
        <f>IF(AV817&gt;135,135,IF(AV817&lt;120,120,AV817))</f>
        <v>135</v>
      </c>
      <c r="AN817" s="234"/>
      <c r="AO817" s="234"/>
      <c r="AP817" s="315" t="s">
        <v>2662</v>
      </c>
      <c r="AQ817" s="315" t="s">
        <v>2663</v>
      </c>
      <c r="AR817" s="315" t="s">
        <v>2664</v>
      </c>
      <c r="AS817" s="315" t="s">
        <v>2665</v>
      </c>
      <c r="AT817" s="315" t="s">
        <v>2666</v>
      </c>
      <c r="AU817" s="315" t="s">
        <v>2667</v>
      </c>
      <c r="AV817" s="315" t="s">
        <v>2338</v>
      </c>
      <c r="AW817" s="234">
        <v>0</v>
      </c>
      <c r="AY817" s="234" t="s">
        <v>2668</v>
      </c>
      <c r="AZ817" s="119" t="s">
        <v>2669</v>
      </c>
    </row>
    <row r="818" spans="1:52">
      <c r="A818" s="234" t="s">
        <v>2252</v>
      </c>
      <c r="B818" s="234" t="s">
        <v>48</v>
      </c>
      <c r="C818" s="234">
        <v>71</v>
      </c>
      <c r="D818" s="234">
        <v>1.76</v>
      </c>
      <c r="E818" s="234">
        <v>65</v>
      </c>
      <c r="F818" s="136">
        <f t="shared" si="244"/>
        <v>20.9839876033058</v>
      </c>
      <c r="G818" s="234">
        <v>6</v>
      </c>
      <c r="H818" s="234" t="s">
        <v>2598</v>
      </c>
      <c r="I818" s="315" t="s">
        <v>2598</v>
      </c>
      <c r="J818" s="315" t="s">
        <v>2670</v>
      </c>
      <c r="K818" s="234"/>
      <c r="L818" s="315" t="s">
        <v>2356</v>
      </c>
      <c r="M818" s="315" t="s">
        <v>2398</v>
      </c>
      <c r="N818" s="316" t="s">
        <v>2671</v>
      </c>
      <c r="O818" s="315"/>
      <c r="P818" s="315" t="s">
        <v>2330</v>
      </c>
      <c r="Q818" s="315"/>
      <c r="R818" s="315"/>
      <c r="S818" s="234"/>
      <c r="T818" s="315" t="s">
        <v>2331</v>
      </c>
      <c r="U818" s="315" t="s">
        <v>2330</v>
      </c>
      <c r="V818" s="315" t="s">
        <v>2330</v>
      </c>
      <c r="W818" s="315" t="s">
        <v>2331</v>
      </c>
      <c r="X818" s="315" t="s">
        <v>2331</v>
      </c>
      <c r="Y818" s="234"/>
      <c r="Z818" s="234"/>
      <c r="AA818" s="234"/>
      <c r="AB818" s="114">
        <f t="shared" si="245"/>
        <v>3</v>
      </c>
      <c r="AC818" s="114">
        <f t="shared" si="246"/>
        <v>1</v>
      </c>
      <c r="AD818" s="114">
        <f t="shared" si="247"/>
        <v>3</v>
      </c>
      <c r="AE818" s="114">
        <f t="shared" si="248"/>
        <v>7</v>
      </c>
      <c r="AF818" s="234"/>
      <c r="AG818" s="114">
        <f>AT818/17.1</f>
        <v>1.53801169590643</v>
      </c>
      <c r="AH818" s="114">
        <f>AU818/88.4</f>
        <v>0.588235294117647</v>
      </c>
      <c r="AI818" s="114" t="str">
        <f>AR818</f>
        <v>1.14</v>
      </c>
      <c r="AJ818" s="159">
        <f>LN(IF(AG818&gt;=1,AG818,1))*3.8+LN(IF(AH818&gt;=1,AH818,1))*9.6+11.2*LN(IF(AI818&gt;=1,AI818,1))+6.4*AN818</f>
        <v>3.10338034651712</v>
      </c>
      <c r="AK818" s="160">
        <f>IF(AND(AG818&gt;0,AH818&gt;0,AI818&gt;0),AJ818,"")</f>
        <v>3.10338034651712</v>
      </c>
      <c r="AL818" s="141">
        <f>AK818+1.59*(135-AM818)</f>
        <v>3.10338034651712</v>
      </c>
      <c r="AM818" s="241">
        <f>IF(AV818&gt;135,135,IF(AV818&lt;120,120,AV818))</f>
        <v>135</v>
      </c>
      <c r="AN818" s="234"/>
      <c r="AO818" s="234"/>
      <c r="AP818" s="315" t="s">
        <v>2672</v>
      </c>
      <c r="AQ818" s="315" t="s">
        <v>2673</v>
      </c>
      <c r="AR818" s="315" t="s">
        <v>2611</v>
      </c>
      <c r="AS818" s="315" t="s">
        <v>2674</v>
      </c>
      <c r="AT818" s="315" t="s">
        <v>2675</v>
      </c>
      <c r="AU818" s="315" t="s">
        <v>2382</v>
      </c>
      <c r="AV818" s="315" t="s">
        <v>2338</v>
      </c>
      <c r="AW818" s="234">
        <v>3</v>
      </c>
      <c r="AY818" s="234" t="s">
        <v>2520</v>
      </c>
      <c r="AZ818" s="119" t="s">
        <v>2676</v>
      </c>
    </row>
    <row r="819" spans="1:52">
      <c r="A819" s="234" t="s">
        <v>2677</v>
      </c>
      <c r="B819" s="234" t="s">
        <v>48</v>
      </c>
      <c r="C819" s="234">
        <v>76</v>
      </c>
      <c r="D819" s="234">
        <v>1.7</v>
      </c>
      <c r="E819" s="234">
        <v>72.5</v>
      </c>
      <c r="F819" s="136">
        <f>E819/(D819*D819)</f>
        <v>25.0865051903114</v>
      </c>
      <c r="G819" s="234">
        <v>1</v>
      </c>
      <c r="H819" s="234" t="s">
        <v>2678</v>
      </c>
      <c r="I819" s="315" t="s">
        <v>2679</v>
      </c>
      <c r="J819" s="315" t="s">
        <v>2680</v>
      </c>
      <c r="K819" s="234"/>
      <c r="L819" s="315" t="s">
        <v>2377</v>
      </c>
      <c r="M819" s="315" t="s">
        <v>2573</v>
      </c>
      <c r="N819" s="316" t="s">
        <v>2681</v>
      </c>
      <c r="O819" s="234"/>
      <c r="P819" s="234"/>
      <c r="Q819" s="234"/>
      <c r="R819" s="234"/>
      <c r="S819" s="315" t="s">
        <v>2330</v>
      </c>
      <c r="T819" s="315" t="s">
        <v>2331</v>
      </c>
      <c r="U819" s="315" t="s">
        <v>2331</v>
      </c>
      <c r="V819" s="315" t="s">
        <v>2330</v>
      </c>
      <c r="W819" s="315" t="s">
        <v>2331</v>
      </c>
      <c r="X819" s="315" t="s">
        <v>2331</v>
      </c>
      <c r="Y819" s="315" t="s">
        <v>2330</v>
      </c>
      <c r="Z819" s="315" t="s">
        <v>58</v>
      </c>
      <c r="AA819" s="315" t="s">
        <v>2330</v>
      </c>
      <c r="AB819" s="114">
        <f>_xlfn.IFS(AT819&gt;51,3,AT819&gt;=34,2,AT819&lt;34,1)</f>
        <v>3</v>
      </c>
      <c r="AC819" s="114">
        <f>_xlfn.IFS(AS819&gt;35,1,AS819&gt;=28,2,AS819&lt;28,3)</f>
        <v>1</v>
      </c>
      <c r="AD819" s="114">
        <f>_xlfn.IFS(AR819&gt;2.3,3,AR819&gt;=1.7,2,AR819&lt;1.7,1)</f>
        <v>3</v>
      </c>
      <c r="AE819" s="114">
        <f>Y819+AA819+AB819+AC819+AD819</f>
        <v>9</v>
      </c>
      <c r="AF819" s="234"/>
      <c r="AG819" s="114">
        <f t="shared" ref="AG819:AG840" si="249">AT819/17.1</f>
        <v>0.532163742690058</v>
      </c>
      <c r="AH819" s="114">
        <f t="shared" ref="AH819:AH840" si="250">AU819/88.4</f>
        <v>1.210407239819</v>
      </c>
      <c r="AI819" s="114" t="str">
        <f t="shared" ref="AI819:AI840" si="251">AR819</f>
        <v>1.17</v>
      </c>
      <c r="AJ819" s="159">
        <f t="shared" ref="AJ819:AJ840" si="252">LN(IF(AG819&gt;=1,AG819,1))*3.8+LN(IF(AH819&gt;=1,AH819,1))*9.6+11.2*LN(IF(AI819&gt;=1,AI819,1))+6.4*AN819</f>
        <v>9.991627888924</v>
      </c>
      <c r="AK819" s="160">
        <f t="shared" ref="AK819:AK840" si="253">IF(AND(AG819&gt;0,AH819&gt;0,AI819&gt;0),AJ819,"")</f>
        <v>9.991627888924</v>
      </c>
      <c r="AL819" s="141">
        <f t="shared" ref="AL819:AL840" si="254">AK819+1.59*(135-AM819)</f>
        <v>9.991627888924</v>
      </c>
      <c r="AM819" s="241">
        <f t="shared" ref="AM819:AM840" si="255">IF(AV819&gt;135,135,IF(AV819&lt;120,120,AV819))</f>
        <v>135</v>
      </c>
      <c r="AN819" s="315" t="s">
        <v>2330</v>
      </c>
      <c r="AO819" s="234"/>
      <c r="AP819" s="315" t="s">
        <v>2682</v>
      </c>
      <c r="AQ819" s="315" t="s">
        <v>2349</v>
      </c>
      <c r="AR819" s="315" t="s">
        <v>2435</v>
      </c>
      <c r="AS819" s="315" t="s">
        <v>2405</v>
      </c>
      <c r="AT819" s="315" t="s">
        <v>2683</v>
      </c>
      <c r="AU819" s="315" t="s">
        <v>2684</v>
      </c>
      <c r="AV819" s="315" t="s">
        <v>2371</v>
      </c>
      <c r="AW819" s="234">
        <v>5</v>
      </c>
      <c r="AY819" s="234" t="s">
        <v>2685</v>
      </c>
      <c r="AZ819" s="119" t="s">
        <v>2686</v>
      </c>
    </row>
    <row r="820" spans="1:52">
      <c r="A820" s="234" t="s">
        <v>2687</v>
      </c>
      <c r="B820" s="234" t="s">
        <v>53</v>
      </c>
      <c r="C820" s="234">
        <v>64</v>
      </c>
      <c r="D820" s="234">
        <v>1.56</v>
      </c>
      <c r="E820" s="234">
        <v>74</v>
      </c>
      <c r="F820" s="136">
        <f>E820/(D820*D820)</f>
        <v>30.4076265614727</v>
      </c>
      <c r="G820" s="234">
        <v>0</v>
      </c>
      <c r="H820" s="234" t="s">
        <v>2688</v>
      </c>
      <c r="I820" s="315" t="s">
        <v>2688</v>
      </c>
      <c r="J820" s="315" t="s">
        <v>2689</v>
      </c>
      <c r="K820" s="234"/>
      <c r="L820" s="315" t="s">
        <v>2330</v>
      </c>
      <c r="M820" s="315" t="s">
        <v>2690</v>
      </c>
      <c r="N820" s="316" t="s">
        <v>2691</v>
      </c>
      <c r="O820" s="234"/>
      <c r="P820" s="234"/>
      <c r="Q820" s="234"/>
      <c r="R820" s="234"/>
      <c r="S820" s="315" t="s">
        <v>2330</v>
      </c>
      <c r="T820" s="315" t="s">
        <v>2331</v>
      </c>
      <c r="U820" s="315" t="s">
        <v>2331</v>
      </c>
      <c r="V820" s="315" t="s">
        <v>2330</v>
      </c>
      <c r="W820" s="315" t="s">
        <v>2331</v>
      </c>
      <c r="X820" s="315" t="s">
        <v>2330</v>
      </c>
      <c r="Y820" s="315" t="s">
        <v>2330</v>
      </c>
      <c r="Z820" s="315" t="s">
        <v>58</v>
      </c>
      <c r="AA820" s="315" t="s">
        <v>2330</v>
      </c>
      <c r="AB820" s="114">
        <f>_xlfn.IFS(AT820&gt;51,3,AT820&gt;=34,2,AT820&lt;34,1)</f>
        <v>3</v>
      </c>
      <c r="AC820" s="114">
        <f>_xlfn.IFS(AS820&gt;35,1,AS820&gt;=28,2,AS820&lt;28,3)</f>
        <v>1</v>
      </c>
      <c r="AD820" s="114">
        <f>_xlfn.IFS(AR820&gt;2.3,3,AR820&gt;=1.7,2,AR820&lt;1.7,1)</f>
        <v>3</v>
      </c>
      <c r="AE820" s="114">
        <f>Y820+AA820+AB820+AC820+AD820</f>
        <v>9</v>
      </c>
      <c r="AF820" s="234"/>
      <c r="AG820" s="114">
        <f t="shared" si="249"/>
        <v>1.37426900584795</v>
      </c>
      <c r="AH820" s="114">
        <f t="shared" si="250"/>
        <v>0.339366515837104</v>
      </c>
      <c r="AI820" s="114" t="str">
        <f t="shared" si="251"/>
        <v>1.65</v>
      </c>
      <c r="AJ820" s="159">
        <f t="shared" si="252"/>
        <v>13.2167866636576</v>
      </c>
      <c r="AK820" s="160">
        <f t="shared" si="253"/>
        <v>13.2167866636576</v>
      </c>
      <c r="AL820" s="141">
        <f t="shared" si="254"/>
        <v>13.2167866636576</v>
      </c>
      <c r="AM820" s="241">
        <f t="shared" si="255"/>
        <v>135</v>
      </c>
      <c r="AN820" s="315" t="s">
        <v>2330</v>
      </c>
      <c r="AO820" s="234"/>
      <c r="AP820" s="315" t="s">
        <v>2692</v>
      </c>
      <c r="AQ820" s="315" t="s">
        <v>2693</v>
      </c>
      <c r="AR820" s="315" t="s">
        <v>2694</v>
      </c>
      <c r="AS820" s="315" t="s">
        <v>2403</v>
      </c>
      <c r="AT820" s="315" t="s">
        <v>2695</v>
      </c>
      <c r="AU820" s="315" t="s">
        <v>2380</v>
      </c>
      <c r="AV820" s="315" t="s">
        <v>2345</v>
      </c>
      <c r="AW820" s="234">
        <v>0</v>
      </c>
      <c r="AY820" s="234" t="s">
        <v>2696</v>
      </c>
      <c r="AZ820" s="119" t="s">
        <v>2697</v>
      </c>
    </row>
    <row r="821" spans="1:52">
      <c r="A821" s="234" t="s">
        <v>2698</v>
      </c>
      <c r="B821" s="234" t="s">
        <v>48</v>
      </c>
      <c r="C821" s="234">
        <v>69</v>
      </c>
      <c r="D821" s="234">
        <v>1.72</v>
      </c>
      <c r="E821" s="234">
        <v>72.5</v>
      </c>
      <c r="F821" s="136">
        <f>E821/(D821*D821)</f>
        <v>24.5064899945917</v>
      </c>
      <c r="G821" s="234">
        <v>3</v>
      </c>
      <c r="H821" s="234" t="s">
        <v>2699</v>
      </c>
      <c r="I821" s="315" t="s">
        <v>2700</v>
      </c>
      <c r="J821" s="315" t="s">
        <v>2701</v>
      </c>
      <c r="K821" s="234"/>
      <c r="L821" s="315" t="s">
        <v>2330</v>
      </c>
      <c r="M821" s="315" t="s">
        <v>2453</v>
      </c>
      <c r="N821" s="316" t="s">
        <v>2702</v>
      </c>
      <c r="O821" s="234"/>
      <c r="P821" s="315" t="s">
        <v>2330</v>
      </c>
      <c r="Q821" s="234"/>
      <c r="R821" s="234"/>
      <c r="S821" s="234"/>
      <c r="T821" s="315" t="s">
        <v>2330</v>
      </c>
      <c r="U821" s="315" t="s">
        <v>2330</v>
      </c>
      <c r="V821" s="315" t="s">
        <v>2330</v>
      </c>
      <c r="W821" s="315" t="s">
        <v>2331</v>
      </c>
      <c r="X821" s="315" t="s">
        <v>2330</v>
      </c>
      <c r="Y821" s="315" t="s">
        <v>2377</v>
      </c>
      <c r="Z821" s="315" t="s">
        <v>307</v>
      </c>
      <c r="AA821" s="315" t="s">
        <v>2356</v>
      </c>
      <c r="AB821" s="114">
        <f>_xlfn.IFS(AT821&gt;51,3,AT821&gt;=34,2,AT821&lt;34,1)</f>
        <v>3</v>
      </c>
      <c r="AC821" s="114">
        <f>_xlfn.IFS(AS821&gt;35,1,AS821&gt;=28,2,AS821&lt;28,3)</f>
        <v>1</v>
      </c>
      <c r="AD821" s="114">
        <f>_xlfn.IFS(AR821&gt;2.3,3,AR821&gt;=1.7,2,AR821&lt;1.7,1)</f>
        <v>3</v>
      </c>
      <c r="AE821" s="114">
        <f>Y821+AA821+AB821+AC821+AD821</f>
        <v>12</v>
      </c>
      <c r="AF821" s="234"/>
      <c r="AG821" s="114">
        <f t="shared" si="249"/>
        <v>4.60233918128655</v>
      </c>
      <c r="AH821" s="114">
        <f t="shared" si="250"/>
        <v>0.780542986425339</v>
      </c>
      <c r="AI821" s="114" t="str">
        <f t="shared" si="251"/>
        <v>1.93</v>
      </c>
      <c r="AJ821" s="159">
        <f t="shared" si="252"/>
        <v>13.1651698619441</v>
      </c>
      <c r="AK821" s="160">
        <f t="shared" si="253"/>
        <v>13.1651698619441</v>
      </c>
      <c r="AL821" s="141">
        <f t="shared" si="254"/>
        <v>13.1651698619441</v>
      </c>
      <c r="AM821" s="241">
        <f t="shared" si="255"/>
        <v>135</v>
      </c>
      <c r="AN821" s="315" t="s">
        <v>2331</v>
      </c>
      <c r="AO821" s="234"/>
      <c r="AP821" s="315" t="s">
        <v>2703</v>
      </c>
      <c r="AQ821" s="315" t="s">
        <v>2704</v>
      </c>
      <c r="AR821" s="315" t="s">
        <v>2705</v>
      </c>
      <c r="AS821" s="315" t="s">
        <v>2496</v>
      </c>
      <c r="AT821" s="315" t="s">
        <v>2706</v>
      </c>
      <c r="AU821" s="315" t="s">
        <v>2603</v>
      </c>
      <c r="AV821" s="315" t="s">
        <v>2371</v>
      </c>
      <c r="AW821" s="234">
        <v>3</v>
      </c>
      <c r="AY821" s="234"/>
      <c r="AZ821" s="119" t="s">
        <v>2707</v>
      </c>
    </row>
    <row r="822" spans="1:52">
      <c r="A822" s="234" t="s">
        <v>2708</v>
      </c>
      <c r="B822" s="234" t="s">
        <v>48</v>
      </c>
      <c r="C822" s="234">
        <v>62</v>
      </c>
      <c r="D822" s="234">
        <v>1.8</v>
      </c>
      <c r="E822" s="234">
        <v>76</v>
      </c>
      <c r="F822" s="136">
        <f>E822/(D822*D822)</f>
        <v>23.4567901234568</v>
      </c>
      <c r="G822" s="234">
        <v>1</v>
      </c>
      <c r="H822" s="234" t="s">
        <v>2709</v>
      </c>
      <c r="I822" s="315" t="s">
        <v>2709</v>
      </c>
      <c r="J822" s="315" t="s">
        <v>2710</v>
      </c>
      <c r="K822" s="234"/>
      <c r="L822" s="315" t="s">
        <v>2330</v>
      </c>
      <c r="M822" s="315" t="s">
        <v>2690</v>
      </c>
      <c r="N822" s="316" t="s">
        <v>2711</v>
      </c>
      <c r="O822" s="234"/>
      <c r="P822" s="234"/>
      <c r="Q822" s="234"/>
      <c r="R822" s="234"/>
      <c r="S822" s="315" t="s">
        <v>2330</v>
      </c>
      <c r="T822" s="315" t="s">
        <v>2331</v>
      </c>
      <c r="U822" s="315" t="s">
        <v>2331</v>
      </c>
      <c r="V822" s="315" t="s">
        <v>2330</v>
      </c>
      <c r="W822" s="315" t="s">
        <v>2331</v>
      </c>
      <c r="X822" s="315" t="s">
        <v>2330</v>
      </c>
      <c r="Y822" s="315" t="s">
        <v>2330</v>
      </c>
      <c r="Z822" s="315" t="s">
        <v>58</v>
      </c>
      <c r="AA822" s="315" t="s">
        <v>2330</v>
      </c>
      <c r="AB822" s="114">
        <f>_xlfn.IFS(AT822&gt;51,3,AT822&gt;=34,2,AT822&lt;34,1)</f>
        <v>3</v>
      </c>
      <c r="AC822" s="114">
        <f>_xlfn.IFS(AS822&gt;35,1,AS822&gt;=28,2,AS822&lt;28,3)</f>
        <v>1</v>
      </c>
      <c r="AD822" s="114">
        <f>_xlfn.IFS(AR822&gt;2.3,3,AR822&gt;=1.7,2,AR822&lt;1.7,1)</f>
        <v>3</v>
      </c>
      <c r="AE822" s="114">
        <f>Y822+AA822+AB822+AC822+AD822</f>
        <v>9</v>
      </c>
      <c r="AF822" s="234"/>
      <c r="AG822" s="114">
        <f t="shared" si="249"/>
        <v>0.830409356725146</v>
      </c>
      <c r="AH822" s="114">
        <f t="shared" si="250"/>
        <v>0.893665158371041</v>
      </c>
      <c r="AI822" s="114" t="str">
        <f t="shared" si="251"/>
        <v>1.14</v>
      </c>
      <c r="AJ822" s="159">
        <f t="shared" si="252"/>
        <v>7.86751653895173</v>
      </c>
      <c r="AK822" s="160">
        <f t="shared" si="253"/>
        <v>7.86751653895173</v>
      </c>
      <c r="AL822" s="141">
        <f t="shared" si="254"/>
        <v>7.86751653895173</v>
      </c>
      <c r="AM822" s="241">
        <f t="shared" si="255"/>
        <v>135</v>
      </c>
      <c r="AN822" s="315" t="s">
        <v>2330</v>
      </c>
      <c r="AO822" s="234"/>
      <c r="AP822" s="315" t="s">
        <v>2712</v>
      </c>
      <c r="AQ822" s="315" t="s">
        <v>2713</v>
      </c>
      <c r="AR822" s="315" t="s">
        <v>2611</v>
      </c>
      <c r="AS822" s="315" t="s">
        <v>2405</v>
      </c>
      <c r="AT822" s="315" t="s">
        <v>2714</v>
      </c>
      <c r="AU822" s="315" t="s">
        <v>2554</v>
      </c>
      <c r="AV822" s="315" t="s">
        <v>2345</v>
      </c>
      <c r="AW822" s="234">
        <v>3</v>
      </c>
      <c r="AY822" s="234" t="s">
        <v>2696</v>
      </c>
      <c r="AZ822" s="119" t="s">
        <v>2715</v>
      </c>
    </row>
    <row r="823" spans="1:52">
      <c r="A823" s="234" t="s">
        <v>2716</v>
      </c>
      <c r="B823" s="234" t="s">
        <v>53</v>
      </c>
      <c r="C823" s="234">
        <v>70</v>
      </c>
      <c r="D823" s="234">
        <v>1.55</v>
      </c>
      <c r="E823" s="234">
        <v>65</v>
      </c>
      <c r="F823" s="136">
        <f>E823/(D823*D823)</f>
        <v>27.0551508844953</v>
      </c>
      <c r="G823" s="234">
        <v>1</v>
      </c>
      <c r="H823" s="234" t="s">
        <v>58</v>
      </c>
      <c r="I823" s="315" t="s">
        <v>2717</v>
      </c>
      <c r="J823" s="315" t="s">
        <v>2718</v>
      </c>
      <c r="K823" s="234"/>
      <c r="L823" s="315" t="s">
        <v>2330</v>
      </c>
      <c r="M823" s="315" t="s">
        <v>2354</v>
      </c>
      <c r="N823" s="316" t="s">
        <v>2719</v>
      </c>
      <c r="O823" s="234"/>
      <c r="P823" s="234"/>
      <c r="Q823" s="234"/>
      <c r="R823" s="234"/>
      <c r="S823" s="315" t="s">
        <v>2330</v>
      </c>
      <c r="T823" s="315" t="s">
        <v>2331</v>
      </c>
      <c r="U823" s="315" t="s">
        <v>2331</v>
      </c>
      <c r="V823" s="315" t="s">
        <v>2330</v>
      </c>
      <c r="W823" s="315" t="s">
        <v>2331</v>
      </c>
      <c r="X823" s="315" t="s">
        <v>2330</v>
      </c>
      <c r="Y823" s="315" t="s">
        <v>2330</v>
      </c>
      <c r="Z823" s="315" t="s">
        <v>58</v>
      </c>
      <c r="AA823" s="315" t="s">
        <v>2330</v>
      </c>
      <c r="AB823" s="114">
        <f>_xlfn.IFS(AT823&gt;51,3,AT823&gt;=34,2,AT823&lt;34,1)</f>
        <v>3</v>
      </c>
      <c r="AC823" s="114">
        <f>_xlfn.IFS(AS823&gt;35,1,AS823&gt;=28,2,AS823&lt;28,3)</f>
        <v>1</v>
      </c>
      <c r="AD823" s="114">
        <f>_xlfn.IFS(AR823&gt;2.3,3,AR823&gt;=1.7,2,AR823&lt;1.7,1)</f>
        <v>3</v>
      </c>
      <c r="AE823" s="114">
        <f>Y823+AA823+AB823+AC823+AD823</f>
        <v>9</v>
      </c>
      <c r="AF823" s="234"/>
      <c r="AG823" s="114">
        <f t="shared" si="249"/>
        <v>0.883040935672515</v>
      </c>
      <c r="AH823" s="114">
        <f t="shared" si="250"/>
        <v>0.520361990950226</v>
      </c>
      <c r="AI823" s="114" t="str">
        <f t="shared" si="251"/>
        <v>1.25</v>
      </c>
      <c r="AJ823" s="159">
        <f t="shared" si="252"/>
        <v>8.89920777471915</v>
      </c>
      <c r="AK823" s="160">
        <f t="shared" si="253"/>
        <v>8.89920777471915</v>
      </c>
      <c r="AL823" s="141">
        <f t="shared" si="254"/>
        <v>8.89920777471915</v>
      </c>
      <c r="AM823" s="241">
        <f t="shared" si="255"/>
        <v>135</v>
      </c>
      <c r="AN823" s="315" t="s">
        <v>2330</v>
      </c>
      <c r="AO823" s="234"/>
      <c r="AP823" s="315" t="s">
        <v>2720</v>
      </c>
      <c r="AQ823" s="315" t="s">
        <v>2568</v>
      </c>
      <c r="AR823" s="315" t="s">
        <v>2721</v>
      </c>
      <c r="AS823" s="315" t="s">
        <v>2405</v>
      </c>
      <c r="AT823" s="315" t="s">
        <v>2722</v>
      </c>
      <c r="AU823" s="315" t="s">
        <v>2667</v>
      </c>
      <c r="AV823" s="315" t="s">
        <v>2393</v>
      </c>
      <c r="AW823" s="234">
        <v>0</v>
      </c>
      <c r="AY823" s="234" t="s">
        <v>2668</v>
      </c>
      <c r="AZ823" s="119" t="s">
        <v>2723</v>
      </c>
    </row>
    <row r="824" spans="1:52">
      <c r="A824" s="234" t="s">
        <v>813</v>
      </c>
      <c r="B824" s="234" t="s">
        <v>53</v>
      </c>
      <c r="C824" s="234">
        <v>55</v>
      </c>
      <c r="D824" s="234">
        <v>1.55</v>
      </c>
      <c r="E824" s="234">
        <v>60</v>
      </c>
      <c r="F824" s="136">
        <f>E824/(D824*D824)</f>
        <v>24.9739854318418</v>
      </c>
      <c r="G824" s="234">
        <v>0</v>
      </c>
      <c r="H824" s="234" t="s">
        <v>2724</v>
      </c>
      <c r="I824" s="315" t="s">
        <v>2725</v>
      </c>
      <c r="J824" s="315" t="s">
        <v>2726</v>
      </c>
      <c r="K824" s="234"/>
      <c r="L824" s="315" t="s">
        <v>2377</v>
      </c>
      <c r="M824" s="315" t="s">
        <v>2386</v>
      </c>
      <c r="N824" s="316" t="s">
        <v>2727</v>
      </c>
      <c r="O824" s="315" t="s">
        <v>2330</v>
      </c>
      <c r="P824" s="234"/>
      <c r="Q824" s="234"/>
      <c r="R824" s="234"/>
      <c r="S824" s="234"/>
      <c r="T824" s="315" t="s">
        <v>2331</v>
      </c>
      <c r="U824" s="315" t="s">
        <v>2331</v>
      </c>
      <c r="V824" s="315" t="s">
        <v>2330</v>
      </c>
      <c r="W824" s="315" t="s">
        <v>2331</v>
      </c>
      <c r="X824" s="315" t="s">
        <v>2330</v>
      </c>
      <c r="Y824" s="315" t="s">
        <v>2330</v>
      </c>
      <c r="Z824" s="315" t="s">
        <v>58</v>
      </c>
      <c r="AA824" s="315" t="s">
        <v>2330</v>
      </c>
      <c r="AB824" s="114">
        <f>_xlfn.IFS(AT824&gt;51,3,AT824&gt;=34,2,AT824&lt;34,1)</f>
        <v>3</v>
      </c>
      <c r="AC824" s="114">
        <f>_xlfn.IFS(AS824&gt;35,1,AS824&gt;=28,2,AS824&lt;28,3)</f>
        <v>1</v>
      </c>
      <c r="AD824" s="114">
        <f>_xlfn.IFS(AR824&gt;2.3,3,AR824&gt;=1.7,2,AR824&lt;1.7,1)</f>
        <v>3</v>
      </c>
      <c r="AE824" s="114">
        <f>Y824+AA824+AB824+AC824+AD824</f>
        <v>9</v>
      </c>
      <c r="AF824" s="234"/>
      <c r="AG824" s="114">
        <f t="shared" si="249"/>
        <v>1.33333333333333</v>
      </c>
      <c r="AH824" s="114">
        <f t="shared" si="250"/>
        <v>0.757918552036199</v>
      </c>
      <c r="AI824" s="114" t="str">
        <f t="shared" si="251"/>
        <v>1.21</v>
      </c>
      <c r="AJ824" s="159">
        <f t="shared" si="252"/>
        <v>9.62813990293364</v>
      </c>
      <c r="AK824" s="160">
        <f t="shared" si="253"/>
        <v>9.62813990293364</v>
      </c>
      <c r="AL824" s="141">
        <f t="shared" si="254"/>
        <v>9.62813990293364</v>
      </c>
      <c r="AM824" s="241">
        <f t="shared" si="255"/>
        <v>135</v>
      </c>
      <c r="AN824" s="315" t="s">
        <v>2330</v>
      </c>
      <c r="AO824" s="234"/>
      <c r="AP824" s="315" t="s">
        <v>2728</v>
      </c>
      <c r="AQ824" s="315" t="s">
        <v>2545</v>
      </c>
      <c r="AR824" s="315" t="s">
        <v>2729</v>
      </c>
      <c r="AS824" s="315" t="s">
        <v>2380</v>
      </c>
      <c r="AT824" s="315" t="s">
        <v>2730</v>
      </c>
      <c r="AU824" s="315" t="s">
        <v>2629</v>
      </c>
      <c r="AV824" s="315" t="s">
        <v>2393</v>
      </c>
      <c r="AW824" s="234">
        <v>8</v>
      </c>
      <c r="AY824" s="234"/>
      <c r="AZ824" s="119" t="s">
        <v>815</v>
      </c>
    </row>
    <row r="825" spans="1:52">
      <c r="A825" s="234" t="s">
        <v>1754</v>
      </c>
      <c r="B825" s="234" t="s">
        <v>48</v>
      </c>
      <c r="C825" s="234">
        <v>67</v>
      </c>
      <c r="D825" s="234">
        <v>1.75</v>
      </c>
      <c r="E825" s="234">
        <v>65</v>
      </c>
      <c r="F825" s="136">
        <f>E825/(D825*D825)</f>
        <v>21.2244897959184</v>
      </c>
      <c r="G825" s="234">
        <v>6</v>
      </c>
      <c r="H825" s="234" t="s">
        <v>2724</v>
      </c>
      <c r="I825" s="315" t="s">
        <v>2724</v>
      </c>
      <c r="J825" s="315" t="s">
        <v>2731</v>
      </c>
      <c r="K825" s="234"/>
      <c r="L825" s="315" t="s">
        <v>2453</v>
      </c>
      <c r="M825" s="315" t="s">
        <v>2453</v>
      </c>
      <c r="N825" s="316" t="s">
        <v>2732</v>
      </c>
      <c r="O825" s="234"/>
      <c r="P825" s="315" t="s">
        <v>2330</v>
      </c>
      <c r="Q825" s="234"/>
      <c r="R825" s="234"/>
      <c r="S825" s="234"/>
      <c r="T825" s="315" t="s">
        <v>2331</v>
      </c>
      <c r="U825" s="315" t="s">
        <v>2331</v>
      </c>
      <c r="V825" s="315" t="s">
        <v>2330</v>
      </c>
      <c r="W825" s="315" t="s">
        <v>2331</v>
      </c>
      <c r="X825" s="315" t="s">
        <v>2331</v>
      </c>
      <c r="Y825" s="315" t="s">
        <v>2330</v>
      </c>
      <c r="Z825" s="315" t="s">
        <v>58</v>
      </c>
      <c r="AA825" s="315" t="s">
        <v>2330</v>
      </c>
      <c r="AB825" s="114">
        <f>_xlfn.IFS(AT825&gt;51,3,AT825&gt;=34,2,AT825&lt;34,1)</f>
        <v>3</v>
      </c>
      <c r="AC825" s="114">
        <f>_xlfn.IFS(AS825&gt;35,1,AS825&gt;=28,2,AS825&lt;28,3)</f>
        <v>1</v>
      </c>
      <c r="AD825" s="114">
        <f>_xlfn.IFS(AR825&gt;2.3,3,AR825&gt;=1.7,2,AR825&lt;1.7,1)</f>
        <v>3</v>
      </c>
      <c r="AE825" s="114">
        <f>Y825+AA825+AB825+AC825+AD825</f>
        <v>9</v>
      </c>
      <c r="AF825" s="234"/>
      <c r="AG825" s="114">
        <f t="shared" si="249"/>
        <v>0.461988304093567</v>
      </c>
      <c r="AH825" s="114">
        <f t="shared" si="250"/>
        <v>0.723981900452489</v>
      </c>
      <c r="AI825" s="114" t="str">
        <f t="shared" si="251"/>
        <v>1.2</v>
      </c>
      <c r="AJ825" s="159">
        <f t="shared" si="252"/>
        <v>2.04200143609229</v>
      </c>
      <c r="AK825" s="160">
        <f t="shared" si="253"/>
        <v>2.04200143609229</v>
      </c>
      <c r="AL825" s="141">
        <f t="shared" si="254"/>
        <v>2.04200143609229</v>
      </c>
      <c r="AM825" s="241">
        <f t="shared" si="255"/>
        <v>135</v>
      </c>
      <c r="AN825" s="315" t="s">
        <v>2331</v>
      </c>
      <c r="AO825" s="234"/>
      <c r="AP825" s="315" t="s">
        <v>2733</v>
      </c>
      <c r="AQ825" s="315" t="s">
        <v>2427</v>
      </c>
      <c r="AR825" s="315" t="s">
        <v>2734</v>
      </c>
      <c r="AS825" s="315" t="s">
        <v>2459</v>
      </c>
      <c r="AT825" s="315" t="s">
        <v>2735</v>
      </c>
      <c r="AU825" s="315" t="s">
        <v>2529</v>
      </c>
      <c r="AV825" s="315" t="s">
        <v>2439</v>
      </c>
      <c r="AW825" s="234">
        <v>6</v>
      </c>
      <c r="AY825" s="234" t="s">
        <v>2668</v>
      </c>
      <c r="AZ825" s="119" t="s">
        <v>2736</v>
      </c>
    </row>
    <row r="826" spans="1:52">
      <c r="A826" s="234" t="s">
        <v>2441</v>
      </c>
      <c r="B826" s="234" t="s">
        <v>53</v>
      </c>
      <c r="C826" s="234">
        <v>67</v>
      </c>
      <c r="D826" s="234">
        <v>1.6</v>
      </c>
      <c r="E826" s="234">
        <v>68</v>
      </c>
      <c r="F826" s="136">
        <f>E826/(D826*D826)</f>
        <v>26.5625</v>
      </c>
      <c r="G826" s="234">
        <v>3</v>
      </c>
      <c r="H826" s="234" t="s">
        <v>2689</v>
      </c>
      <c r="I826" s="315" t="s">
        <v>2689</v>
      </c>
      <c r="J826" s="315" t="s">
        <v>2737</v>
      </c>
      <c r="K826" s="234"/>
      <c r="L826" s="315" t="s">
        <v>2377</v>
      </c>
      <c r="M826" s="315" t="s">
        <v>2431</v>
      </c>
      <c r="N826" s="316" t="s">
        <v>2738</v>
      </c>
      <c r="O826" s="234"/>
      <c r="P826" s="234"/>
      <c r="Q826" s="315" t="s">
        <v>2330</v>
      </c>
      <c r="R826" s="234"/>
      <c r="S826" s="234"/>
      <c r="T826" s="315" t="s">
        <v>2331</v>
      </c>
      <c r="U826" s="315" t="s">
        <v>2330</v>
      </c>
      <c r="V826" s="315" t="s">
        <v>2330</v>
      </c>
      <c r="W826" s="315" t="s">
        <v>2331</v>
      </c>
      <c r="X826" s="315" t="s">
        <v>2331</v>
      </c>
      <c r="Y826" s="315" t="s">
        <v>2377</v>
      </c>
      <c r="Z826" s="315" t="s">
        <v>58</v>
      </c>
      <c r="AA826" s="315" t="s">
        <v>2330</v>
      </c>
      <c r="AB826" s="114">
        <f>_xlfn.IFS(AT826&gt;51,3,AT826&gt;=34,2,AT826&lt;34,1)</f>
        <v>3</v>
      </c>
      <c r="AC826" s="114">
        <f>_xlfn.IFS(AS826&gt;35,1,AS826&gt;=28,2,AS826&lt;28,3)</f>
        <v>1</v>
      </c>
      <c r="AD826" s="114">
        <f>_xlfn.IFS(AR826&gt;2.3,3,AR826&gt;=1.7,2,AR826&lt;1.7,1)</f>
        <v>3</v>
      </c>
      <c r="AE826" s="114">
        <f>Y826+AA826+AB826+AC826+AD826</f>
        <v>10</v>
      </c>
      <c r="AF826" s="234"/>
      <c r="AG826" s="114">
        <f t="shared" si="249"/>
        <v>2.85964912280702</v>
      </c>
      <c r="AH826" s="114">
        <f t="shared" si="250"/>
        <v>0.452488687782805</v>
      </c>
      <c r="AI826" s="114" t="str">
        <f t="shared" si="251"/>
        <v>1.4</v>
      </c>
      <c r="AJ826" s="159">
        <f t="shared" si="252"/>
        <v>14.161144995452</v>
      </c>
      <c r="AK826" s="160">
        <f t="shared" si="253"/>
        <v>14.161144995452</v>
      </c>
      <c r="AL826" s="141">
        <f t="shared" si="254"/>
        <v>14.161144995452</v>
      </c>
      <c r="AM826" s="241">
        <f t="shared" si="255"/>
        <v>135</v>
      </c>
      <c r="AN826" s="315" t="s">
        <v>2330</v>
      </c>
      <c r="AO826" s="234"/>
      <c r="AP826" s="315" t="s">
        <v>2739</v>
      </c>
      <c r="AQ826" s="315" t="s">
        <v>2740</v>
      </c>
      <c r="AR826" s="315" t="s">
        <v>2609</v>
      </c>
      <c r="AS826" s="315" t="s">
        <v>2496</v>
      </c>
      <c r="AT826" s="315" t="s">
        <v>2741</v>
      </c>
      <c r="AU826" s="315" t="s">
        <v>2347</v>
      </c>
      <c r="AV826" s="315" t="s">
        <v>2486</v>
      </c>
      <c r="AW826" s="234">
        <v>5</v>
      </c>
      <c r="AY826" s="234"/>
      <c r="AZ826" s="119" t="s">
        <v>2742</v>
      </c>
    </row>
    <row r="827" s="125" customFormat="1" spans="1:52">
      <c r="A827" s="237" t="s">
        <v>2589</v>
      </c>
      <c r="B827" s="237" t="s">
        <v>53</v>
      </c>
      <c r="C827" s="237">
        <v>52</v>
      </c>
      <c r="D827" s="237">
        <v>1.6</v>
      </c>
      <c r="E827" s="237">
        <v>60</v>
      </c>
      <c r="F827" s="136">
        <f>E827/(D827*D827)</f>
        <v>23.4375</v>
      </c>
      <c r="G827" s="237">
        <v>0</v>
      </c>
      <c r="H827" s="237" t="s">
        <v>2743</v>
      </c>
      <c r="I827" s="243" t="s">
        <v>2743</v>
      </c>
      <c r="J827" s="243" t="s">
        <v>2744</v>
      </c>
      <c r="K827" s="237"/>
      <c r="L827" s="243" t="s">
        <v>2377</v>
      </c>
      <c r="M827" s="243" t="s">
        <v>2328</v>
      </c>
      <c r="N827" s="243" t="s">
        <v>2745</v>
      </c>
      <c r="O827" s="237"/>
      <c r="P827" s="237"/>
      <c r="Q827" s="243" t="s">
        <v>2330</v>
      </c>
      <c r="R827" s="237"/>
      <c r="S827" s="237"/>
      <c r="T827" s="315" t="s">
        <v>2331</v>
      </c>
      <c r="U827" s="315" t="s">
        <v>2331</v>
      </c>
      <c r="V827" s="243" t="s">
        <v>2330</v>
      </c>
      <c r="W827" s="243" t="s">
        <v>2331</v>
      </c>
      <c r="X827" s="243" t="s">
        <v>2330</v>
      </c>
      <c r="Y827" s="243" t="s">
        <v>2330</v>
      </c>
      <c r="Z827" s="243" t="s">
        <v>58</v>
      </c>
      <c r="AA827" s="243" t="s">
        <v>2330</v>
      </c>
      <c r="AB827" s="114">
        <f>_xlfn.IFS(AT827&gt;51,3,AT827&gt;=34,2,AT827&lt;34,1)</f>
        <v>3</v>
      </c>
      <c r="AC827" s="114">
        <f>_xlfn.IFS(AS827&gt;35,1,AS827&gt;=28,2,AS827&lt;28,3)</f>
        <v>1</v>
      </c>
      <c r="AD827" s="114">
        <f>_xlfn.IFS(AR827&gt;2.3,3,AR827&gt;=1.7,2,AR827&lt;1.7,1)</f>
        <v>3</v>
      </c>
      <c r="AE827" s="114">
        <f>Y827+AA827+AB827+AC827+AD827</f>
        <v>9</v>
      </c>
      <c r="AF827" s="237"/>
      <c r="AG827" s="114">
        <f t="shared" si="249"/>
        <v>0.935672514619883</v>
      </c>
      <c r="AH827" s="114">
        <f t="shared" si="250"/>
        <v>0.554298642533937</v>
      </c>
      <c r="AI827" s="114" t="str">
        <f t="shared" si="251"/>
        <v>1.03</v>
      </c>
      <c r="AJ827" s="159">
        <f t="shared" si="252"/>
        <v>6.7310585851053</v>
      </c>
      <c r="AK827" s="160">
        <f t="shared" si="253"/>
        <v>6.7310585851053</v>
      </c>
      <c r="AL827" s="141">
        <f t="shared" si="254"/>
        <v>6.7310585851053</v>
      </c>
      <c r="AM827" s="241">
        <f t="shared" si="255"/>
        <v>135</v>
      </c>
      <c r="AN827" s="243" t="s">
        <v>2330</v>
      </c>
      <c r="AO827" s="237"/>
      <c r="AP827" s="243" t="s">
        <v>2585</v>
      </c>
      <c r="AQ827" s="243" t="s">
        <v>2629</v>
      </c>
      <c r="AR827" s="243" t="s">
        <v>2746</v>
      </c>
      <c r="AS827" s="243" t="s">
        <v>2335</v>
      </c>
      <c r="AT827" s="243" t="s">
        <v>2599</v>
      </c>
      <c r="AU827" s="243" t="s">
        <v>2370</v>
      </c>
      <c r="AV827" s="243" t="s">
        <v>2439</v>
      </c>
      <c r="AW827" s="237">
        <v>6</v>
      </c>
      <c r="AY827" s="237" t="s">
        <v>2747</v>
      </c>
      <c r="AZ827" s="131" t="s">
        <v>2748</v>
      </c>
    </row>
    <row r="828" spans="1:52">
      <c r="A828" s="234" t="s">
        <v>2749</v>
      </c>
      <c r="B828" s="234" t="s">
        <v>48</v>
      </c>
      <c r="C828" s="234">
        <v>70</v>
      </c>
      <c r="D828" s="234">
        <v>1.7</v>
      </c>
      <c r="E828" s="234">
        <v>90</v>
      </c>
      <c r="F828" s="136">
        <f>E828/(D828*D828)</f>
        <v>31.1418685121107</v>
      </c>
      <c r="G828" s="234">
        <v>6</v>
      </c>
      <c r="H828" s="234" t="s">
        <v>2737</v>
      </c>
      <c r="I828" s="315" t="s">
        <v>2737</v>
      </c>
      <c r="J828" s="315" t="s">
        <v>2750</v>
      </c>
      <c r="K828" s="234"/>
      <c r="L828" s="315" t="s">
        <v>2330</v>
      </c>
      <c r="M828" s="315" t="s">
        <v>2431</v>
      </c>
      <c r="N828" s="315" t="s">
        <v>2751</v>
      </c>
      <c r="O828" s="234"/>
      <c r="P828" s="234"/>
      <c r="Q828" s="234"/>
      <c r="R828" s="234"/>
      <c r="S828" s="234"/>
      <c r="T828" s="117">
        <v>0</v>
      </c>
      <c r="U828" s="117">
        <v>0</v>
      </c>
      <c r="V828" s="315" t="s">
        <v>2330</v>
      </c>
      <c r="W828" s="315" t="s">
        <v>2331</v>
      </c>
      <c r="X828" s="315" t="s">
        <v>2330</v>
      </c>
      <c r="Y828" s="315" t="s">
        <v>2330</v>
      </c>
      <c r="Z828" s="315" t="s">
        <v>58</v>
      </c>
      <c r="AA828" s="315" t="s">
        <v>2330</v>
      </c>
      <c r="AB828" s="114">
        <f>_xlfn.IFS(AT828&gt;51,3,AT828&gt;=34,2,AT828&lt;34,1)</f>
        <v>3</v>
      </c>
      <c r="AC828" s="114">
        <f>_xlfn.IFS(AS828&gt;35,1,AS828&gt;=28,2,AS828&lt;28,3)</f>
        <v>1</v>
      </c>
      <c r="AD828" s="114">
        <f>_xlfn.IFS(AR828&gt;2.3,3,AR828&gt;=1.7,2,AR828&lt;1.7,1)</f>
        <v>3</v>
      </c>
      <c r="AE828" s="114">
        <f>Y828+AA828+AB828+AC828+AD828</f>
        <v>9</v>
      </c>
      <c r="AF828" s="234"/>
      <c r="AG828" s="114" t="e">
        <f t="shared" si="249"/>
        <v>#VALUE!</v>
      </c>
      <c r="AH828" s="114">
        <f t="shared" si="250"/>
        <v>0.588235294117647</v>
      </c>
      <c r="AI828" s="114" t="str">
        <f t="shared" si="251"/>
        <v>0.96</v>
      </c>
      <c r="AJ828" s="159" t="e">
        <f t="shared" si="252"/>
        <v>#VALUE!</v>
      </c>
      <c r="AK828" s="160" t="e">
        <f t="shared" si="253"/>
        <v>#VALUE!</v>
      </c>
      <c r="AL828" s="141" t="e">
        <f t="shared" si="254"/>
        <v>#VALUE!</v>
      </c>
      <c r="AM828" s="241">
        <f t="shared" si="255"/>
        <v>135</v>
      </c>
      <c r="AN828" s="315" t="s">
        <v>2330</v>
      </c>
      <c r="AO828" s="234"/>
      <c r="AP828" s="315" t="s">
        <v>2752</v>
      </c>
      <c r="AQ828" s="315" t="s">
        <v>2753</v>
      </c>
      <c r="AR828" s="315" t="s">
        <v>2754</v>
      </c>
      <c r="AS828" s="315" t="s">
        <v>2347</v>
      </c>
      <c r="AT828" s="315" t="s">
        <v>2755</v>
      </c>
      <c r="AU828" s="315" t="s">
        <v>2382</v>
      </c>
      <c r="AV828" s="315" t="s">
        <v>2350</v>
      </c>
      <c r="AW828" s="234">
        <v>9</v>
      </c>
      <c r="AY828" s="234" t="s">
        <v>2756</v>
      </c>
      <c r="AZ828" s="119" t="s">
        <v>2757</v>
      </c>
    </row>
    <row r="829" s="123" customFormat="1" spans="1:52">
      <c r="A829" s="238" t="s">
        <v>1446</v>
      </c>
      <c r="B829" s="238" t="s">
        <v>48</v>
      </c>
      <c r="C829" s="238">
        <v>65</v>
      </c>
      <c r="D829" s="238">
        <v>1.6</v>
      </c>
      <c r="E829" s="238">
        <v>60</v>
      </c>
      <c r="F829" s="189">
        <f>E829/(D829*D829)</f>
        <v>23.4375</v>
      </c>
      <c r="G829" s="238">
        <v>1</v>
      </c>
      <c r="H829" s="238" t="s">
        <v>2718</v>
      </c>
      <c r="I829" s="321" t="s">
        <v>2758</v>
      </c>
      <c r="J829" s="321" t="s">
        <v>2750</v>
      </c>
      <c r="K829" s="238"/>
      <c r="L829" s="321" t="s">
        <v>2342</v>
      </c>
      <c r="M829" s="321" t="s">
        <v>2375</v>
      </c>
      <c r="N829" s="254" t="s">
        <v>2759</v>
      </c>
      <c r="O829" s="238"/>
      <c r="P829" s="238"/>
      <c r="Q829" s="238"/>
      <c r="R829" s="238"/>
      <c r="S829" s="238"/>
      <c r="T829" s="321" t="s">
        <v>2331</v>
      </c>
      <c r="U829" s="321" t="s">
        <v>2331</v>
      </c>
      <c r="V829" s="321" t="s">
        <v>2331</v>
      </c>
      <c r="W829" s="321" t="s">
        <v>2330</v>
      </c>
      <c r="X829" s="321" t="s">
        <v>2330</v>
      </c>
      <c r="Y829" s="321" t="s">
        <v>2330</v>
      </c>
      <c r="Z829" s="321" t="s">
        <v>58</v>
      </c>
      <c r="AA829" s="321" t="s">
        <v>2330</v>
      </c>
      <c r="AB829" s="114">
        <f>_xlfn.IFS(AT829&gt;51,3,AT829&gt;=34,2,AT829&lt;34,1)</f>
        <v>3</v>
      </c>
      <c r="AC829" s="114">
        <f>_xlfn.IFS(AS829&gt;35,1,AS829&gt;=28,2,AS829&lt;28,3)</f>
        <v>1</v>
      </c>
      <c r="AD829" s="114">
        <f>_xlfn.IFS(AR829&gt;2.3,3,AR829&gt;=1.7,2,AR829&lt;1.7,1)</f>
        <v>3</v>
      </c>
      <c r="AE829" s="114">
        <f>Y829+AA829+AB829+AC829+AD829</f>
        <v>9</v>
      </c>
      <c r="AF829" s="238"/>
      <c r="AG829" s="114">
        <f t="shared" si="249"/>
        <v>0.538011695906433</v>
      </c>
      <c r="AH829" s="114">
        <f t="shared" si="250"/>
        <v>0.622171945701357</v>
      </c>
      <c r="AI829" s="114" t="str">
        <f t="shared" si="251"/>
        <v>1.01</v>
      </c>
      <c r="AJ829" s="159">
        <f t="shared" si="252"/>
        <v>6.51144370555548</v>
      </c>
      <c r="AK829" s="160">
        <f t="shared" si="253"/>
        <v>6.51144370555548</v>
      </c>
      <c r="AL829" s="141">
        <f t="shared" si="254"/>
        <v>6.51144370555548</v>
      </c>
      <c r="AM829" s="241">
        <f t="shared" si="255"/>
        <v>135</v>
      </c>
      <c r="AN829" s="321" t="s">
        <v>2330</v>
      </c>
      <c r="AO829" s="238"/>
      <c r="AP829" s="321" t="s">
        <v>2760</v>
      </c>
      <c r="AQ829" s="321" t="s">
        <v>2761</v>
      </c>
      <c r="AR829" s="321" t="s">
        <v>2664</v>
      </c>
      <c r="AS829" s="321" t="s">
        <v>2517</v>
      </c>
      <c r="AT829" s="321" t="s">
        <v>2762</v>
      </c>
      <c r="AU829" s="321" t="s">
        <v>2763</v>
      </c>
      <c r="AV829" s="321" t="s">
        <v>2499</v>
      </c>
      <c r="AW829" s="238">
        <v>2</v>
      </c>
      <c r="AX829" s="123"/>
      <c r="AY829" s="238" t="s">
        <v>2558</v>
      </c>
      <c r="AZ829" s="132" t="s">
        <v>2764</v>
      </c>
    </row>
    <row r="830" spans="1:52">
      <c r="A830" s="234" t="s">
        <v>2765</v>
      </c>
      <c r="B830" s="234" t="s">
        <v>48</v>
      </c>
      <c r="C830" s="234">
        <v>65</v>
      </c>
      <c r="D830" s="234">
        <v>1.68</v>
      </c>
      <c r="E830" s="234">
        <v>86</v>
      </c>
      <c r="F830" s="136">
        <f>E830/(D830*D830)</f>
        <v>30.4705215419501</v>
      </c>
      <c r="G830" s="234">
        <v>1</v>
      </c>
      <c r="H830" s="234" t="s">
        <v>2718</v>
      </c>
      <c r="I830" s="315" t="s">
        <v>2718</v>
      </c>
      <c r="J830" s="315" t="s">
        <v>2766</v>
      </c>
      <c r="K830" s="234"/>
      <c r="L830" s="315" t="s">
        <v>2330</v>
      </c>
      <c r="M830" s="315" t="s">
        <v>2375</v>
      </c>
      <c r="N830" s="315" t="s">
        <v>2767</v>
      </c>
      <c r="O830" s="315" t="s">
        <v>2330</v>
      </c>
      <c r="P830" s="234"/>
      <c r="Q830" s="234"/>
      <c r="R830" s="234"/>
      <c r="S830" s="234"/>
      <c r="T830" s="315" t="s">
        <v>2330</v>
      </c>
      <c r="U830" s="315" t="s">
        <v>2331</v>
      </c>
      <c r="V830" s="315" t="s">
        <v>2331</v>
      </c>
      <c r="W830" s="315" t="s">
        <v>2331</v>
      </c>
      <c r="X830" s="315" t="s">
        <v>2331</v>
      </c>
      <c r="Y830" s="315" t="s">
        <v>2330</v>
      </c>
      <c r="Z830" s="315" t="s">
        <v>300</v>
      </c>
      <c r="AA830" s="315" t="s">
        <v>2377</v>
      </c>
      <c r="AB830" s="114">
        <f>_xlfn.IFS(AT830&gt;51,3,AT830&gt;=34,2,AT830&lt;34,1)</f>
        <v>3</v>
      </c>
      <c r="AC830" s="114">
        <f>_xlfn.IFS(AS830&gt;35,1,AS830&gt;=28,2,AS830&lt;28,3)</f>
        <v>1</v>
      </c>
      <c r="AD830" s="114">
        <f>_xlfn.IFS(AR830&gt;2.3,3,AR830&gt;=1.7,2,AR830&lt;1.7,1)</f>
        <v>3</v>
      </c>
      <c r="AE830" s="114">
        <f>Y830+AA830+AB830+AC830+AD830</f>
        <v>10</v>
      </c>
      <c r="AF830" s="234"/>
      <c r="AG830" s="114">
        <f t="shared" si="249"/>
        <v>1.04093567251462</v>
      </c>
      <c r="AH830" s="114">
        <f t="shared" si="250"/>
        <v>0.972850678733032</v>
      </c>
      <c r="AI830" s="114" t="str">
        <f t="shared" si="251"/>
        <v>1.06</v>
      </c>
      <c r="AJ830" s="159">
        <f t="shared" si="252"/>
        <v>7.20506774738835</v>
      </c>
      <c r="AK830" s="160">
        <f t="shared" si="253"/>
        <v>7.20506774738835</v>
      </c>
      <c r="AL830" s="141">
        <f t="shared" si="254"/>
        <v>7.20506774738835</v>
      </c>
      <c r="AM830" s="241">
        <f t="shared" si="255"/>
        <v>135</v>
      </c>
      <c r="AN830" s="315" t="s">
        <v>2330</v>
      </c>
      <c r="AO830" s="234"/>
      <c r="AP830" s="315" t="s">
        <v>2768</v>
      </c>
      <c r="AQ830" s="315" t="s">
        <v>2446</v>
      </c>
      <c r="AR830" s="315" t="s">
        <v>2769</v>
      </c>
      <c r="AS830" s="315" t="s">
        <v>2567</v>
      </c>
      <c r="AT830" s="315" t="s">
        <v>2528</v>
      </c>
      <c r="AU830" s="315" t="s">
        <v>2389</v>
      </c>
      <c r="AV830" s="315" t="s">
        <v>2350</v>
      </c>
      <c r="AW830" s="234">
        <v>5</v>
      </c>
      <c r="AY830" s="234" t="s">
        <v>2530</v>
      </c>
      <c r="AZ830" s="119" t="s">
        <v>2770</v>
      </c>
    </row>
    <row r="831" spans="1:52">
      <c r="A831" s="234" t="s">
        <v>2283</v>
      </c>
      <c r="B831" s="234" t="s">
        <v>53</v>
      </c>
      <c r="C831" s="234">
        <v>66</v>
      </c>
      <c r="D831" s="234">
        <v>1.5</v>
      </c>
      <c r="E831" s="234">
        <v>45</v>
      </c>
      <c r="F831" s="136">
        <f>E831/(D831*D831)</f>
        <v>20</v>
      </c>
      <c r="G831" s="234">
        <v>0</v>
      </c>
      <c r="H831" s="234" t="s">
        <v>2771</v>
      </c>
      <c r="I831" s="315" t="s">
        <v>2718</v>
      </c>
      <c r="J831" s="315" t="s">
        <v>2772</v>
      </c>
      <c r="K831" s="234"/>
      <c r="L831" s="315" t="s">
        <v>2365</v>
      </c>
      <c r="M831" s="315" t="s">
        <v>2512</v>
      </c>
      <c r="N831" s="270" t="s">
        <v>2773</v>
      </c>
      <c r="O831" s="234"/>
      <c r="P831" s="234"/>
      <c r="Q831" s="315" t="s">
        <v>2330</v>
      </c>
      <c r="R831" s="234"/>
      <c r="S831" s="234"/>
      <c r="T831" s="315" t="s">
        <v>2331</v>
      </c>
      <c r="U831" s="315" t="s">
        <v>2331</v>
      </c>
      <c r="V831" s="315" t="s">
        <v>2330</v>
      </c>
      <c r="W831" s="315" t="s">
        <v>2331</v>
      </c>
      <c r="X831" s="315" t="s">
        <v>2330</v>
      </c>
      <c r="Y831" s="315" t="s">
        <v>2330</v>
      </c>
      <c r="Z831" s="315" t="s">
        <v>58</v>
      </c>
      <c r="AA831" s="315" t="s">
        <v>2330</v>
      </c>
      <c r="AB831" s="114">
        <f>_xlfn.IFS(AT831&gt;51,3,AT831&gt;=34,2,AT831&lt;34,1)</f>
        <v>3</v>
      </c>
      <c r="AC831" s="114">
        <f>_xlfn.IFS(AS831&gt;35,1,AS831&gt;=28,2,AS831&lt;28,3)</f>
        <v>1</v>
      </c>
      <c r="AD831" s="114">
        <f>_xlfn.IFS(AR831&gt;2.3,3,AR831&gt;=1.7,2,AR831&lt;1.7,1)</f>
        <v>3</v>
      </c>
      <c r="AE831" s="114">
        <f>Y831+AA831+AB831+AC831+AD831</f>
        <v>9</v>
      </c>
      <c r="AF831" s="234"/>
      <c r="AG831" s="114">
        <f>AT831/17.1</f>
        <v>0.415204678362573</v>
      </c>
      <c r="AH831" s="114">
        <f>AU831/88.4</f>
        <v>0.395927601809955</v>
      </c>
      <c r="AI831" s="114" t="str">
        <f>AR831</f>
        <v>1.17</v>
      </c>
      <c r="AJ831" s="159">
        <f>LN(IF(AG831&gt;=1,AG831,1))*3.8+LN(IF(AH831&gt;=1,AH831,1))*9.6+11.2*LN(IF(AI831&gt;=1,AI831,1))+6.4*AN831</f>
        <v>8.15844198666824</v>
      </c>
      <c r="AK831" s="160">
        <f>IF(AND(AG831&gt;0,AH831&gt;0,AI831&gt;0),AJ831,"")</f>
        <v>8.15844198666824</v>
      </c>
      <c r="AL831" s="141">
        <f>AK831+1.59*(135-AM831)</f>
        <v>8.15844198666824</v>
      </c>
      <c r="AM831" s="241">
        <f>IF(AV831&gt;135,135,IF(AV831&lt;120,120,AV831))</f>
        <v>135</v>
      </c>
      <c r="AN831" s="315" t="s">
        <v>2330</v>
      </c>
      <c r="AO831" s="234"/>
      <c r="AP831" s="315" t="s">
        <v>2774</v>
      </c>
      <c r="AQ831" s="315" t="s">
        <v>2775</v>
      </c>
      <c r="AR831" s="315" t="s">
        <v>2435</v>
      </c>
      <c r="AS831" s="315" t="s">
        <v>2459</v>
      </c>
      <c r="AT831" s="315" t="s">
        <v>2437</v>
      </c>
      <c r="AU831" s="315" t="s">
        <v>2459</v>
      </c>
      <c r="AV831" s="315" t="s">
        <v>2393</v>
      </c>
      <c r="AW831" s="234">
        <v>2</v>
      </c>
      <c r="AY831" s="234"/>
      <c r="AZ831" s="119" t="s">
        <v>2776</v>
      </c>
    </row>
    <row r="832" spans="1:52">
      <c r="A832" s="110" t="s">
        <v>2777</v>
      </c>
      <c r="B832" s="234" t="s">
        <v>53</v>
      </c>
      <c r="C832" s="234">
        <v>69</v>
      </c>
      <c r="D832" s="234">
        <v>1.69</v>
      </c>
      <c r="E832" s="234">
        <v>73</v>
      </c>
      <c r="F832" s="136">
        <f>E832/(D832*D832)</f>
        <v>25.5593291551416</v>
      </c>
      <c r="G832" s="234">
        <v>7</v>
      </c>
      <c r="H832" s="234"/>
      <c r="I832" s="315" t="s">
        <v>2778</v>
      </c>
      <c r="J832" s="315" t="s">
        <v>2779</v>
      </c>
      <c r="K832" s="234"/>
      <c r="L832" s="315" t="s">
        <v>2330</v>
      </c>
      <c r="M832" s="315" t="s">
        <v>2342</v>
      </c>
      <c r="N832" s="315" t="s">
        <v>2780</v>
      </c>
      <c r="O832" s="234"/>
      <c r="P832" s="234"/>
      <c r="Q832" s="234"/>
      <c r="R832" s="315" t="s">
        <v>2330</v>
      </c>
      <c r="S832" s="234"/>
      <c r="T832" s="315" t="s">
        <v>2330</v>
      </c>
      <c r="U832" s="315" t="s">
        <v>2331</v>
      </c>
      <c r="V832" s="315" t="s">
        <v>2331</v>
      </c>
      <c r="W832" s="315" t="s">
        <v>2331</v>
      </c>
      <c r="X832" s="315" t="s">
        <v>2331</v>
      </c>
      <c r="Y832" s="315" t="s">
        <v>2330</v>
      </c>
      <c r="Z832" s="315" t="s">
        <v>321</v>
      </c>
      <c r="AA832" s="315" t="s">
        <v>2356</v>
      </c>
      <c r="AB832" s="114">
        <f>_xlfn.IFS(AT832&gt;51,3,AT832&gt;=34,2,AT832&lt;34,1)</f>
        <v>3</v>
      </c>
      <c r="AC832" s="114">
        <f>_xlfn.IFS(AS832&gt;35,1,AS832&gt;=28,2,AS832&lt;28,3)</f>
        <v>1</v>
      </c>
      <c r="AD832" s="114">
        <f>_xlfn.IFS(AR832&gt;2.3,3,AR832&gt;=1.7,2,AR832&lt;1.7,1)</f>
        <v>3</v>
      </c>
      <c r="AE832" s="114">
        <f>Y832+AA832+AB832+AC832+AD832</f>
        <v>11</v>
      </c>
      <c r="AF832" s="234"/>
      <c r="AG832" s="114">
        <f>AT832/17.1</f>
        <v>1.41520467836257</v>
      </c>
      <c r="AH832" s="114">
        <f>AU832/88.4</f>
        <v>0.452488687782805</v>
      </c>
      <c r="AI832" s="114" t="str">
        <f>AR832</f>
        <v>1.2</v>
      </c>
      <c r="AJ832" s="159">
        <f>LN(IF(AG832&gt;=1,AG832,1))*3.8+LN(IF(AH832&gt;=1,AH832,1))*9.6+11.2*LN(IF(AI832&gt;=1,AI832,1))+6.4*AN832</f>
        <v>3.36164328077759</v>
      </c>
      <c r="AK832" s="160">
        <f>IF(AND(AG832&gt;0,AH832&gt;0,AI832&gt;0),AJ832,"")</f>
        <v>3.36164328077759</v>
      </c>
      <c r="AL832" s="141">
        <f>AK832+1.59*(135-AM832)</f>
        <v>3.36164328077759</v>
      </c>
      <c r="AM832" s="241">
        <f>IF(AV832&gt;135,135,IF(AV832&lt;120,120,AV832))</f>
        <v>135</v>
      </c>
      <c r="AN832" s="315" t="s">
        <v>2331</v>
      </c>
      <c r="AO832" s="234"/>
      <c r="AP832" s="315" t="s">
        <v>2781</v>
      </c>
      <c r="AQ832" s="315" t="s">
        <v>2782</v>
      </c>
      <c r="AR832" s="315" t="s">
        <v>2734</v>
      </c>
      <c r="AS832" s="315" t="s">
        <v>2380</v>
      </c>
      <c r="AT832" s="315" t="s">
        <v>2783</v>
      </c>
      <c r="AU832" s="315" t="s">
        <v>2347</v>
      </c>
      <c r="AV832" s="315" t="s">
        <v>2784</v>
      </c>
      <c r="AW832" s="234">
        <v>2</v>
      </c>
      <c r="AY832" s="234" t="s">
        <v>2785</v>
      </c>
      <c r="AZ832" s="119" t="s">
        <v>2786</v>
      </c>
    </row>
    <row r="833" spans="1:52">
      <c r="A833" s="282" t="s">
        <v>2283</v>
      </c>
      <c r="B833" s="234" t="s">
        <v>53</v>
      </c>
      <c r="C833" s="234">
        <v>66</v>
      </c>
      <c r="D833" s="234">
        <v>1.5</v>
      </c>
      <c r="E833" s="234">
        <v>45</v>
      </c>
      <c r="F833" s="234">
        <f>E833/(D833*D833)</f>
        <v>20</v>
      </c>
      <c r="G833" s="234">
        <v>1</v>
      </c>
      <c r="H833" s="234" t="s">
        <v>2787</v>
      </c>
      <c r="I833" s="119" t="s">
        <v>2788</v>
      </c>
      <c r="J833" s="119" t="s">
        <v>2789</v>
      </c>
      <c r="L833" s="137">
        <v>4</v>
      </c>
      <c r="M833" s="138">
        <v>14</v>
      </c>
      <c r="N833" s="270" t="s">
        <v>2790</v>
      </c>
      <c r="Q833" s="117">
        <v>1</v>
      </c>
      <c r="T833" s="117">
        <v>0</v>
      </c>
      <c r="U833" s="117">
        <v>0</v>
      </c>
      <c r="V833" s="117">
        <v>1</v>
      </c>
      <c r="W833" s="117">
        <v>0</v>
      </c>
      <c r="X833" s="117">
        <v>1</v>
      </c>
      <c r="Y833" s="117">
        <v>1</v>
      </c>
      <c r="Z833" s="119" t="s">
        <v>58</v>
      </c>
      <c r="AA833" s="117">
        <v>1</v>
      </c>
      <c r="AB833" s="114">
        <f>_xlfn.IFS(AT833&gt;51,3,AT833&gt;=34,2,AT833&lt;34,1)</f>
        <v>1</v>
      </c>
      <c r="AC833" s="114">
        <f>_xlfn.IFS(AS833&gt;35,1,AS833&gt;=28,2,AS833&lt;28,3)</f>
        <v>2</v>
      </c>
      <c r="AD833" s="114">
        <f>_xlfn.IFS(AR833&gt;2.3,3,AR833&gt;=1.7,2,AR833&lt;1.7,1)</f>
        <v>1</v>
      </c>
      <c r="AE833" s="114">
        <f>Y833+AA833+AB833+AC833+AD833</f>
        <v>6</v>
      </c>
      <c r="AF833" s="119" t="s">
        <v>59</v>
      </c>
      <c r="AG833" s="114">
        <f>AT833/17.1</f>
        <v>0.935672514619883</v>
      </c>
      <c r="AH833" s="114">
        <f>AU833/88.4</f>
        <v>0.463800904977376</v>
      </c>
      <c r="AI833" s="114">
        <f>AR833</f>
        <v>1.19</v>
      </c>
      <c r="AJ833" s="159">
        <f>LN(IF(AG833&gt;=1,AG833,1))*3.8+LN(IF(AH833&gt;=1,AH833,1))*9.6+11.2*LN(IF(AI833&gt;=1,AI833,1))+6.4*AN833</f>
        <v>8.34827703978251</v>
      </c>
      <c r="AK833" s="160">
        <f>IF(AND(AG833&gt;0,AH833&gt;0,AI833&gt;0),AJ833,"")</f>
        <v>8.34827703978251</v>
      </c>
      <c r="AL833" s="141">
        <f>AK833+1.59*(135-AM833)</f>
        <v>8.34827703978251</v>
      </c>
      <c r="AM833" s="241">
        <f>IF(AV833&gt;135,135,IF(AV833&lt;120,120,AV833))</f>
        <v>135</v>
      </c>
      <c r="AN833" s="117">
        <v>1</v>
      </c>
      <c r="AP833" s="117">
        <v>2.77</v>
      </c>
      <c r="AQ833" s="117">
        <v>53</v>
      </c>
      <c r="AR833" s="117">
        <v>1.19</v>
      </c>
      <c r="AS833" s="141">
        <v>33</v>
      </c>
      <c r="AT833" s="142">
        <v>16</v>
      </c>
      <c r="AU833" s="117">
        <v>41</v>
      </c>
      <c r="AV833" s="117">
        <v>140</v>
      </c>
      <c r="AW833" s="234">
        <v>4</v>
      </c>
      <c r="AY833" s="234" t="s">
        <v>2791</v>
      </c>
      <c r="AZ833" s="119" t="s">
        <v>2792</v>
      </c>
    </row>
    <row r="834" spans="1:52">
      <c r="A834" s="282" t="s">
        <v>2793</v>
      </c>
      <c r="B834" s="234" t="s">
        <v>48</v>
      </c>
      <c r="C834" s="234">
        <v>57</v>
      </c>
      <c r="D834" s="234">
        <v>1.7</v>
      </c>
      <c r="E834" s="234">
        <v>70</v>
      </c>
      <c r="F834" s="234">
        <f>E834/(D834*D834)</f>
        <v>24.2214532871972</v>
      </c>
      <c r="G834" s="234">
        <v>1</v>
      </c>
      <c r="H834" s="234" t="s">
        <v>2794</v>
      </c>
      <c r="I834" s="119" t="s">
        <v>2795</v>
      </c>
      <c r="J834" s="119" t="s">
        <v>2796</v>
      </c>
      <c r="L834" s="137">
        <v>3</v>
      </c>
      <c r="M834" s="138">
        <v>10</v>
      </c>
      <c r="N834" s="270" t="s">
        <v>2797</v>
      </c>
      <c r="O834" s="117">
        <v>1</v>
      </c>
      <c r="T834" s="117">
        <v>0</v>
      </c>
      <c r="U834" s="117">
        <v>0</v>
      </c>
      <c r="V834" s="117">
        <v>1</v>
      </c>
      <c r="W834" s="117">
        <v>0</v>
      </c>
      <c r="X834" s="117">
        <v>1</v>
      </c>
      <c r="Y834" s="117">
        <v>1</v>
      </c>
      <c r="Z834" s="119" t="s">
        <v>58</v>
      </c>
      <c r="AA834" s="117">
        <v>1</v>
      </c>
      <c r="AB834" s="114">
        <f>_xlfn.IFS(AT834&gt;51,3,AT834&gt;=34,2,AT834&lt;34,1)</f>
        <v>1</v>
      </c>
      <c r="AC834" s="114">
        <f>_xlfn.IFS(AS834&gt;35,1,AS834&gt;=28,2,AS834&lt;28,3)</f>
        <v>3</v>
      </c>
      <c r="AD834" s="114">
        <f>_xlfn.IFS(AR834&gt;2.3,3,AR834&gt;=1.7,2,AR834&lt;1.7,1)</f>
        <v>1</v>
      </c>
      <c r="AE834" s="114">
        <f>Y834+AA834+AB834+AC834+AD834</f>
        <v>7</v>
      </c>
      <c r="AF834" s="119" t="s">
        <v>63</v>
      </c>
      <c r="AG834" s="114">
        <f>AT834/17.1</f>
        <v>0.766081871345029</v>
      </c>
      <c r="AH834" s="114">
        <f>AU834/88.4</f>
        <v>0.565610859728507</v>
      </c>
      <c r="AI834" s="114">
        <f>AR834</f>
        <v>1.44</v>
      </c>
      <c r="AJ834" s="159">
        <f>LN(IF(AG834&gt;=1,AG834,1))*3.8+LN(IF(AH834&gt;=1,AH834,1))*9.6+11.2*LN(IF(AI834&gt;=1,AI834,1))+6.4*AN834</f>
        <v>10.4840028721846</v>
      </c>
      <c r="AK834" s="160">
        <f>IF(AND(AG834&gt;0,AH834&gt;0,AI834&gt;0),AJ834,"")</f>
        <v>10.4840028721846</v>
      </c>
      <c r="AL834" s="141">
        <f>AK834+1.59*(135-AM834)</f>
        <v>10.4840028721846</v>
      </c>
      <c r="AM834" s="241">
        <f>IF(AV834&gt;135,135,IF(AV834&lt;120,120,AV834))</f>
        <v>135</v>
      </c>
      <c r="AN834" s="117">
        <v>1</v>
      </c>
      <c r="AP834" s="117">
        <v>3.18</v>
      </c>
      <c r="AQ834" s="117">
        <v>72</v>
      </c>
      <c r="AR834" s="117">
        <v>1.44</v>
      </c>
      <c r="AS834" s="141">
        <v>26</v>
      </c>
      <c r="AT834" s="142">
        <v>13.1</v>
      </c>
      <c r="AU834" s="117">
        <v>50</v>
      </c>
      <c r="AV834" s="117">
        <v>135</v>
      </c>
      <c r="AW834" s="234">
        <v>9</v>
      </c>
      <c r="AY834" s="234" t="s">
        <v>2798</v>
      </c>
      <c r="AZ834" s="119" t="s">
        <v>2799</v>
      </c>
    </row>
    <row r="835" spans="1:52">
      <c r="A835" s="282" t="s">
        <v>2800</v>
      </c>
      <c r="B835" s="234" t="s">
        <v>53</v>
      </c>
      <c r="C835" s="234">
        <v>83</v>
      </c>
      <c r="D835" s="234">
        <v>1.6</v>
      </c>
      <c r="E835" s="234">
        <v>49</v>
      </c>
      <c r="F835" s="234">
        <f>E835/(D835*D835)</f>
        <v>19.140625</v>
      </c>
      <c r="G835" s="234">
        <v>1</v>
      </c>
      <c r="H835" s="234" t="s">
        <v>2801</v>
      </c>
      <c r="I835" s="119" t="s">
        <v>2794</v>
      </c>
      <c r="J835" s="119" t="s">
        <v>2796</v>
      </c>
      <c r="L835" s="137">
        <v>2</v>
      </c>
      <c r="M835" s="138">
        <v>6</v>
      </c>
      <c r="N835" s="270" t="s">
        <v>2802</v>
      </c>
      <c r="Q835" s="117">
        <v>1</v>
      </c>
      <c r="R835" s="117">
        <v>1</v>
      </c>
      <c r="T835" s="117">
        <v>1</v>
      </c>
      <c r="U835" s="117">
        <v>0</v>
      </c>
      <c r="V835" s="117">
        <v>0</v>
      </c>
      <c r="W835" s="117">
        <v>0</v>
      </c>
      <c r="X835" s="117">
        <v>1</v>
      </c>
      <c r="Y835" s="117">
        <v>1</v>
      </c>
      <c r="Z835" s="119" t="s">
        <v>2803</v>
      </c>
      <c r="AA835" s="117">
        <v>3</v>
      </c>
      <c r="AB835" s="114">
        <f>_xlfn.IFS(AT835&gt;51,3,AT835&gt;=34,2,AT835&lt;34,1)</f>
        <v>2</v>
      </c>
      <c r="AC835" s="114">
        <f>_xlfn.IFS(AS835&gt;35,1,AS835&gt;=28,2,AS835&lt;28,3)</f>
        <v>2</v>
      </c>
      <c r="AD835" s="114">
        <f>_xlfn.IFS(AR835&gt;2.3,3,AR835&gt;=1.7,2,AR835&lt;1.7,1)</f>
        <v>1</v>
      </c>
      <c r="AE835" s="114">
        <f>Y835+AA835+AB835+AC835+AD835</f>
        <v>9</v>
      </c>
      <c r="AF835" s="119" t="s">
        <v>63</v>
      </c>
      <c r="AG835" s="114">
        <f>AT835/17.1</f>
        <v>2</v>
      </c>
      <c r="AH835" s="114">
        <f>AU835/88.4</f>
        <v>0.610859728506787</v>
      </c>
      <c r="AI835" s="114">
        <f>AR835</f>
        <v>1.04</v>
      </c>
      <c r="AJ835" s="159">
        <f>LN(IF(AG835&gt;=1,AG835,1))*3.8+LN(IF(AH835&gt;=1,AH835,1))*9.6+11.2*LN(IF(AI835&gt;=1,AI835,1))+6.4*AN835</f>
        <v>3.07323127344454</v>
      </c>
      <c r="AK835" s="160">
        <f>IF(AND(AG835&gt;0,AH835&gt;0,AI835&gt;0),AJ835,"")</f>
        <v>3.07323127344454</v>
      </c>
      <c r="AL835" s="141">
        <f>AK835+1.59*(135-AM835)</f>
        <v>3.07323127344454</v>
      </c>
      <c r="AM835" s="241">
        <f>IF(AV835&gt;135,135,IF(AV835&lt;120,120,AV835))</f>
        <v>135</v>
      </c>
      <c r="AN835" s="117">
        <v>0</v>
      </c>
      <c r="AP835" s="117">
        <v>4.16</v>
      </c>
      <c r="AQ835" s="117">
        <v>79</v>
      </c>
      <c r="AR835" s="117">
        <v>1.04</v>
      </c>
      <c r="AS835" s="141">
        <v>35</v>
      </c>
      <c r="AT835" s="142">
        <v>34.2</v>
      </c>
      <c r="AU835" s="117">
        <v>54</v>
      </c>
      <c r="AV835" s="117">
        <v>141</v>
      </c>
      <c r="AW835" s="234">
        <v>6</v>
      </c>
      <c r="AY835" s="234" t="s">
        <v>2804</v>
      </c>
      <c r="AZ835" s="119" t="s">
        <v>2805</v>
      </c>
    </row>
    <row r="836" spans="1:52">
      <c r="A836" s="282" t="s">
        <v>2806</v>
      </c>
      <c r="B836" s="234" t="s">
        <v>53</v>
      </c>
      <c r="C836" s="234">
        <v>65</v>
      </c>
      <c r="D836" s="234">
        <v>1.58</v>
      </c>
      <c r="E836" s="234">
        <v>61</v>
      </c>
      <c r="F836" s="234">
        <f>E836/(D836*D836)</f>
        <v>24.4351866688031</v>
      </c>
      <c r="G836" s="234">
        <v>5</v>
      </c>
      <c r="H836" s="234" t="s">
        <v>2807</v>
      </c>
      <c r="I836" s="119" t="s">
        <v>2808</v>
      </c>
      <c r="J836" s="119" t="s">
        <v>2809</v>
      </c>
      <c r="L836" s="137">
        <v>1</v>
      </c>
      <c r="M836" s="138">
        <v>8</v>
      </c>
      <c r="N836" s="270" t="s">
        <v>2810</v>
      </c>
      <c r="Q836" s="119" t="s">
        <v>1083</v>
      </c>
      <c r="R836" s="119" t="s">
        <v>1083</v>
      </c>
      <c r="T836" s="117">
        <v>1</v>
      </c>
      <c r="U836" s="117">
        <v>0</v>
      </c>
      <c r="V836" s="117">
        <v>0</v>
      </c>
      <c r="W836" s="117">
        <v>0</v>
      </c>
      <c r="X836" s="117">
        <v>0</v>
      </c>
      <c r="Y836" s="117">
        <v>1</v>
      </c>
      <c r="Z836" s="119" t="s">
        <v>2811</v>
      </c>
      <c r="AA836" s="117">
        <v>2</v>
      </c>
      <c r="AB836" s="114">
        <f>_xlfn.IFS(AT836&gt;51,3,AT836&gt;=34,2,AT836&lt;34,1)</f>
        <v>1</v>
      </c>
      <c r="AC836" s="114">
        <f>_xlfn.IFS(AS836&gt;35,1,AS836&gt;=28,2,AS836&lt;28,3)</f>
        <v>2</v>
      </c>
      <c r="AD836" s="114">
        <f>_xlfn.IFS(AR836&gt;2.3,3,AR836&gt;=1.7,2,AR836&lt;1.7,1)</f>
        <v>1</v>
      </c>
      <c r="AE836" s="114">
        <f>Y836+AA836+AB836+AC836+AD836</f>
        <v>7</v>
      </c>
      <c r="AF836" s="119" t="s">
        <v>63</v>
      </c>
      <c r="AG836" s="114">
        <f>AT836/17.1</f>
        <v>1.43859649122807</v>
      </c>
      <c r="AH836" s="114">
        <f>AU836/88.4</f>
        <v>0.599547511312217</v>
      </c>
      <c r="AI836" s="114">
        <f>AR836</f>
        <v>1.07</v>
      </c>
      <c r="AJ836" s="159">
        <f>LN(IF(AG836&gt;=1,AG836,1))*3.8+LN(IF(AH836&gt;=1,AH836,1))*9.6+11.2*LN(IF(AI836&gt;=1,AI836,1))+6.4*AN836</f>
        <v>8.5397151847396</v>
      </c>
      <c r="AK836" s="160">
        <f>IF(AND(AG836&gt;0,AH836&gt;0,AI836&gt;0),AJ836,"")</f>
        <v>8.5397151847396</v>
      </c>
      <c r="AL836" s="141">
        <f>AK836+1.59*(135-AM836)</f>
        <v>8.5397151847396</v>
      </c>
      <c r="AM836" s="241">
        <f>IF(AV836&gt;135,135,IF(AV836&lt;120,120,AV836))</f>
        <v>135</v>
      </c>
      <c r="AN836" s="117">
        <v>1</v>
      </c>
      <c r="AP836" s="117">
        <v>2.07</v>
      </c>
      <c r="AQ836" s="117">
        <v>126</v>
      </c>
      <c r="AR836" s="117">
        <v>1.07</v>
      </c>
      <c r="AS836" s="141">
        <v>30</v>
      </c>
      <c r="AT836" s="142">
        <v>24.6</v>
      </c>
      <c r="AU836" s="117">
        <v>53</v>
      </c>
      <c r="AV836" s="117">
        <v>141</v>
      </c>
      <c r="AW836" s="234">
        <v>3</v>
      </c>
      <c r="AY836" s="234" t="s">
        <v>2520</v>
      </c>
      <c r="AZ836" s="119" t="s">
        <v>2812</v>
      </c>
    </row>
    <row r="837" spans="1:52">
      <c r="A837" s="282" t="s">
        <v>2813</v>
      </c>
      <c r="B837" s="234" t="s">
        <v>53</v>
      </c>
      <c r="C837" s="234">
        <v>63</v>
      </c>
      <c r="D837" s="234">
        <v>1.63</v>
      </c>
      <c r="E837" s="234">
        <v>75</v>
      </c>
      <c r="F837" s="234">
        <f>E837/(D837*D837)</f>
        <v>28.2283864654296</v>
      </c>
      <c r="G837" s="234">
        <v>0</v>
      </c>
      <c r="H837" s="234" t="s">
        <v>2814</v>
      </c>
      <c r="I837" s="119" t="s">
        <v>2815</v>
      </c>
      <c r="J837" s="119" t="s">
        <v>2816</v>
      </c>
      <c r="L837" s="137">
        <v>1</v>
      </c>
      <c r="M837" s="138">
        <v>8</v>
      </c>
      <c r="N837" s="270" t="s">
        <v>2817</v>
      </c>
      <c r="O837" s="117">
        <v>1</v>
      </c>
      <c r="T837" s="117">
        <v>1</v>
      </c>
      <c r="U837" s="117">
        <v>0</v>
      </c>
      <c r="V837" s="117">
        <v>0</v>
      </c>
      <c r="W837" s="117">
        <v>0</v>
      </c>
      <c r="X837" s="117">
        <v>1</v>
      </c>
      <c r="Y837" s="117">
        <v>1</v>
      </c>
      <c r="Z837" s="119" t="s">
        <v>2811</v>
      </c>
      <c r="AA837" s="117">
        <v>2</v>
      </c>
      <c r="AB837" s="114">
        <f>_xlfn.IFS(AT837&gt;51,3,AT837&gt;=34,2,AT837&lt;34,1)</f>
        <v>1</v>
      </c>
      <c r="AC837" s="114">
        <f>_xlfn.IFS(AS837&gt;35,1,AS837&gt;=28,2,AS837&lt;28,3)</f>
        <v>3</v>
      </c>
      <c r="AD837" s="114">
        <f>_xlfn.IFS(AR837&gt;2.3,3,AR837&gt;=1.7,2,AR837&lt;1.7,1)</f>
        <v>1</v>
      </c>
      <c r="AE837" s="114">
        <f>Y837+AA837+AB837+AC837+AD837</f>
        <v>8</v>
      </c>
      <c r="AF837" s="119" t="s">
        <v>63</v>
      </c>
      <c r="AG837" s="114">
        <f>AT837/17.1</f>
        <v>1.7719298245614</v>
      </c>
      <c r="AH837" s="114">
        <f>AU837/88.4</f>
        <v>0.509049773755656</v>
      </c>
      <c r="AI837" s="114">
        <f>AR837</f>
        <v>1.42</v>
      </c>
      <c r="AJ837" s="159">
        <f>LN(IF(AG837&gt;=1,AG837,1))*3.8+LN(IF(AH837&gt;=1,AH837,1))*9.6+11.2*LN(IF(AI837&gt;=1,AI837,1))+6.4*AN837</f>
        <v>6.10122010829299</v>
      </c>
      <c r="AK837" s="160">
        <f>IF(AND(AG837&gt;0,AH837&gt;0,AI837&gt;0),AJ837,"")</f>
        <v>6.10122010829299</v>
      </c>
      <c r="AL837" s="141">
        <f>AK837+1.59*(135-AM837)</f>
        <v>6.10122010829299</v>
      </c>
      <c r="AM837" s="241">
        <f>IF(AV837&gt;135,135,IF(AV837&lt;120,120,AV837))</f>
        <v>135</v>
      </c>
      <c r="AP837" s="117">
        <v>3.18</v>
      </c>
      <c r="AQ837" s="117">
        <v>134</v>
      </c>
      <c r="AR837" s="117">
        <v>1.42</v>
      </c>
      <c r="AS837" s="141">
        <v>26</v>
      </c>
      <c r="AT837" s="142">
        <v>30.3</v>
      </c>
      <c r="AU837" s="117">
        <v>45</v>
      </c>
      <c r="AV837" s="117">
        <v>142</v>
      </c>
      <c r="AW837" s="234">
        <v>2</v>
      </c>
      <c r="AY837" s="234"/>
      <c r="AZ837" s="119" t="s">
        <v>2818</v>
      </c>
    </row>
    <row r="838" spans="1:52">
      <c r="A838" s="322" t="s">
        <v>2819</v>
      </c>
      <c r="B838" s="234" t="s">
        <v>48</v>
      </c>
      <c r="C838" s="234">
        <v>66</v>
      </c>
      <c r="D838" s="234">
        <v>1.8</v>
      </c>
      <c r="E838" s="234">
        <v>75</v>
      </c>
      <c r="F838" s="234">
        <f>E838/(D838*D838)</f>
        <v>23.1481481481481</v>
      </c>
      <c r="G838" s="234">
        <v>3</v>
      </c>
      <c r="H838" s="234" t="s">
        <v>2820</v>
      </c>
      <c r="I838" s="119" t="s">
        <v>2820</v>
      </c>
      <c r="J838" s="119" t="s">
        <v>2821</v>
      </c>
      <c r="L838" s="137">
        <v>15</v>
      </c>
      <c r="M838" s="138">
        <v>5</v>
      </c>
      <c r="N838" s="270" t="s">
        <v>2822</v>
      </c>
      <c r="O838" s="117">
        <v>1</v>
      </c>
      <c r="T838" s="117">
        <v>1</v>
      </c>
      <c r="U838" s="117">
        <v>0</v>
      </c>
      <c r="V838" s="117">
        <v>1</v>
      </c>
      <c r="W838" s="117">
        <v>0</v>
      </c>
      <c r="X838" s="117">
        <v>1</v>
      </c>
      <c r="Y838" s="117">
        <v>1</v>
      </c>
      <c r="Z838" s="119" t="s">
        <v>2811</v>
      </c>
      <c r="AA838" s="117">
        <v>2</v>
      </c>
      <c r="AB838" s="114">
        <f>_xlfn.IFS(AT838&gt;51,3,AT838&gt;=34,2,AT838&lt;34,1)</f>
        <v>1</v>
      </c>
      <c r="AC838" s="114">
        <f>_xlfn.IFS(AS838&gt;35,1,AS838&gt;=28,2,AS838&lt;28,3)</f>
        <v>3</v>
      </c>
      <c r="AD838" s="114">
        <f>_xlfn.IFS(AR838&gt;2.3,3,AR838&gt;=1.7,2,AR838&lt;1.7,1)</f>
        <v>1</v>
      </c>
      <c r="AE838" s="114">
        <f>Y838+AA838+AB838+AC838+AD838</f>
        <v>8</v>
      </c>
      <c r="AG838" s="114">
        <f>AT838/17.1</f>
        <v>1.33918128654971</v>
      </c>
      <c r="AH838" s="114">
        <f>AU838/88.4</f>
        <v>0.565610859728507</v>
      </c>
      <c r="AI838" s="114">
        <f>AR838</f>
        <v>1.28</v>
      </c>
      <c r="AJ838" s="159">
        <f>LN(IF(AG838&gt;=1,AG838,1))*3.8+LN(IF(AH838&gt;=1,AH838,1))*9.6+11.2*LN(IF(AI838&gt;=1,AI838,1))+6.4*AN838</f>
        <v>3.87465497162909</v>
      </c>
      <c r="AK838" s="160">
        <f>IF(AND(AG838&gt;0,AH838&gt;0,AI838&gt;0),AJ838,"")</f>
        <v>3.87465497162909</v>
      </c>
      <c r="AL838" s="141">
        <f>AK838+1.59*(135-AM838)</f>
        <v>3.87465497162909</v>
      </c>
      <c r="AM838" s="241">
        <f>IF(AV838&gt;135,135,IF(AV838&lt;120,120,AV838))</f>
        <v>135</v>
      </c>
      <c r="AP838" s="117">
        <v>1.73</v>
      </c>
      <c r="AQ838" s="117">
        <v>112</v>
      </c>
      <c r="AR838" s="117">
        <v>1.28</v>
      </c>
      <c r="AS838" s="141">
        <v>25</v>
      </c>
      <c r="AT838" s="142">
        <v>22.9</v>
      </c>
      <c r="AU838" s="117">
        <v>50</v>
      </c>
      <c r="AV838" s="117">
        <v>135</v>
      </c>
      <c r="AW838" s="234">
        <v>3</v>
      </c>
      <c r="AY838" s="234" t="s">
        <v>2823</v>
      </c>
      <c r="AZ838" s="119" t="s">
        <v>2824</v>
      </c>
    </row>
    <row r="839" spans="1:52">
      <c r="A839" s="282" t="s">
        <v>2825</v>
      </c>
      <c r="B839" s="234" t="s">
        <v>48</v>
      </c>
      <c r="C839" s="234">
        <v>54</v>
      </c>
      <c r="D839" s="234">
        <v>1.78</v>
      </c>
      <c r="E839" s="234">
        <v>75</v>
      </c>
      <c r="F839" s="234">
        <f>E839/(D839*D839)</f>
        <v>23.6712536295922</v>
      </c>
      <c r="G839" s="234">
        <v>0</v>
      </c>
      <c r="H839" s="234" t="s">
        <v>2826</v>
      </c>
      <c r="I839" s="119" t="s">
        <v>2826</v>
      </c>
      <c r="J839" s="119" t="s">
        <v>2827</v>
      </c>
      <c r="L839" s="137">
        <v>2</v>
      </c>
      <c r="M839" s="138">
        <v>10</v>
      </c>
      <c r="N839" s="270" t="s">
        <v>2828</v>
      </c>
      <c r="O839" s="117">
        <v>1</v>
      </c>
      <c r="T839" s="117">
        <v>0</v>
      </c>
      <c r="U839" s="117">
        <v>0</v>
      </c>
      <c r="V839" s="117">
        <v>1</v>
      </c>
      <c r="W839" s="117">
        <v>0</v>
      </c>
      <c r="X839" s="117">
        <v>1</v>
      </c>
      <c r="Y839" s="117">
        <v>1</v>
      </c>
      <c r="Z839" s="119" t="s">
        <v>58</v>
      </c>
      <c r="AA839" s="117">
        <v>1</v>
      </c>
      <c r="AB839" s="114">
        <f>_xlfn.IFS(AT839&gt;51,3,AT839&gt;=34,2,AT839&lt;34,1)</f>
        <v>1</v>
      </c>
      <c r="AC839" s="114">
        <f>_xlfn.IFS(AS839&gt;35,1,AS839&gt;=28,2,AS839&lt;28,3)</f>
        <v>2</v>
      </c>
      <c r="AD839" s="114">
        <f>_xlfn.IFS(AR839&gt;2.3,3,AR839&gt;=1.7,2,AR839&lt;1.7,1)</f>
        <v>1</v>
      </c>
      <c r="AE839" s="114">
        <f>Y839+AA839+AB839+AC839+AD839</f>
        <v>6</v>
      </c>
      <c r="AF839" s="119" t="s">
        <v>59</v>
      </c>
      <c r="AG839" s="114">
        <f>AT839/17.1</f>
        <v>0.818713450292398</v>
      </c>
      <c r="AH839" s="114">
        <f>AU839/88.4</f>
        <v>0.82579185520362</v>
      </c>
      <c r="AI839" s="114">
        <f>AR839</f>
        <v>1.41</v>
      </c>
      <c r="AJ839" s="159">
        <f>LN(IF(AG839&gt;=1,AG839,1))*3.8+LN(IF(AH839&gt;=1,AH839,1))*9.6+11.2*LN(IF(AI839&gt;=1,AI839,1))+6.4*AN839</f>
        <v>3.84820468916886</v>
      </c>
      <c r="AK839" s="160">
        <f>IF(AND(AG839&gt;0,AH839&gt;0,AI839&gt;0),AJ839,"")</f>
        <v>3.84820468916886</v>
      </c>
      <c r="AL839" s="141">
        <f>AK839+1.59*(135-AM839)</f>
        <v>3.84820468916886</v>
      </c>
      <c r="AM839" s="241">
        <f>IF(AV839&gt;135,135,IF(AV839&lt;120,120,AV839))</f>
        <v>135</v>
      </c>
      <c r="AN839" s="117">
        <v>0</v>
      </c>
      <c r="AP839" s="117">
        <v>7.98</v>
      </c>
      <c r="AQ839" s="117">
        <v>46</v>
      </c>
      <c r="AR839" s="117">
        <v>1.41</v>
      </c>
      <c r="AS839" s="141">
        <v>31</v>
      </c>
      <c r="AT839" s="142">
        <v>14</v>
      </c>
      <c r="AU839" s="117">
        <v>73</v>
      </c>
      <c r="AV839" s="117">
        <v>147</v>
      </c>
      <c r="AW839" s="234">
        <v>2</v>
      </c>
      <c r="AY839" s="234" t="s">
        <v>2829</v>
      </c>
      <c r="AZ839" s="119" t="s">
        <v>2830</v>
      </c>
    </row>
    <row r="840" spans="1:52">
      <c r="A840" s="282" t="s">
        <v>2831</v>
      </c>
      <c r="B840" s="234" t="s">
        <v>48</v>
      </c>
      <c r="C840" s="234">
        <v>62</v>
      </c>
      <c r="D840" s="234">
        <v>1.7</v>
      </c>
      <c r="E840" s="234">
        <v>60</v>
      </c>
      <c r="F840" s="234">
        <f>E840/(D840*D840)</f>
        <v>20.7612456747405</v>
      </c>
      <c r="G840" s="234">
        <v>6</v>
      </c>
      <c r="H840" s="234" t="s">
        <v>2832</v>
      </c>
      <c r="I840" s="277" t="s">
        <v>2833</v>
      </c>
      <c r="J840" s="277" t="s">
        <v>2834</v>
      </c>
      <c r="L840" s="137">
        <v>1</v>
      </c>
      <c r="M840" s="138">
        <v>18</v>
      </c>
      <c r="N840" s="270" t="s">
        <v>2835</v>
      </c>
      <c r="P840" s="117">
        <v>1</v>
      </c>
      <c r="T840" s="117">
        <v>1</v>
      </c>
      <c r="U840" s="117">
        <v>1</v>
      </c>
      <c r="V840" s="117">
        <v>1</v>
      </c>
      <c r="W840" s="117">
        <v>0</v>
      </c>
      <c r="X840" s="117">
        <v>1</v>
      </c>
      <c r="Y840" s="117">
        <v>2</v>
      </c>
      <c r="Z840" s="117" t="s">
        <v>321</v>
      </c>
      <c r="AA840" s="117">
        <v>3</v>
      </c>
      <c r="AB840" s="114">
        <f t="shared" ref="AB840:AB846" si="256">_xlfn.IFS(AT840&gt;51,3,AT840&gt;=34,2,AT840&lt;34,1)</f>
        <v>3</v>
      </c>
      <c r="AC840" s="114">
        <f t="shared" ref="AC840:AC846" si="257">_xlfn.IFS(AS840&gt;35,1,AS840&gt;=28,2,AS840&lt;28,3)</f>
        <v>3</v>
      </c>
      <c r="AD840" s="114">
        <f t="shared" ref="AD840:AD846" si="258">_xlfn.IFS(AR840&gt;2.3,3,AR840&gt;=1.7,2,AR840&lt;1.7,1)</f>
        <v>1</v>
      </c>
      <c r="AE840" s="114">
        <f t="shared" ref="AE840:AE846" si="259">Y840+AA840+AB840+AC840+AD840</f>
        <v>12</v>
      </c>
      <c r="AF840" s="119" t="s">
        <v>50</v>
      </c>
      <c r="AG840" s="114">
        <f>AT840/17.1</f>
        <v>3.92982456140351</v>
      </c>
      <c r="AH840" s="114">
        <f>AU840/88.4</f>
        <v>0.633484162895928</v>
      </c>
      <c r="AI840" s="114">
        <f>AR840</f>
        <v>1.59</v>
      </c>
      <c r="AJ840" s="159">
        <f>LN(IF(AG840&gt;=1,AG840,1))*3.8+LN(IF(AH840&gt;=1,AH840,1))*9.6+11.2*LN(IF(AI840&gt;=1,AI840,1))+6.4*AN840</f>
        <v>16.7944811610778</v>
      </c>
      <c r="AK840" s="160">
        <f>IF(AND(AG840&gt;0,AH840&gt;0,AI840&gt;0),AJ840,"")</f>
        <v>16.7944811610778</v>
      </c>
      <c r="AL840" s="141">
        <f>AK840+1.59*(135-AM840)</f>
        <v>21.5644811610778</v>
      </c>
      <c r="AM840" s="241">
        <f>IF(AV840&gt;135,135,IF(AV840&lt;120,120,AV840))</f>
        <v>132</v>
      </c>
      <c r="AN840" s="117">
        <v>1</v>
      </c>
      <c r="AP840" s="117">
        <v>5.34</v>
      </c>
      <c r="AQ840" s="117">
        <v>83</v>
      </c>
      <c r="AR840" s="117">
        <v>1.59</v>
      </c>
      <c r="AS840" s="141">
        <v>27</v>
      </c>
      <c r="AT840" s="142">
        <v>67.2</v>
      </c>
      <c r="AU840" s="117">
        <v>56</v>
      </c>
      <c r="AV840" s="117">
        <v>132</v>
      </c>
      <c r="AW840" s="234">
        <v>7</v>
      </c>
      <c r="AY840" s="234"/>
      <c r="AZ840" s="119" t="s">
        <v>2836</v>
      </c>
    </row>
    <row r="841" spans="1:52">
      <c r="A841" s="282" t="s">
        <v>2837</v>
      </c>
      <c r="B841" s="234" t="s">
        <v>53</v>
      </c>
      <c r="C841" s="234">
        <v>68</v>
      </c>
      <c r="D841" s="234">
        <v>1.6</v>
      </c>
      <c r="E841" s="234" t="s">
        <v>58</v>
      </c>
      <c r="F841" s="234" t="e">
        <f>E841/(D841*D841)</f>
        <v>#VALUE!</v>
      </c>
      <c r="G841" s="234">
        <v>0</v>
      </c>
      <c r="H841" s="234" t="s">
        <v>2838</v>
      </c>
      <c r="I841" s="277" t="s">
        <v>2838</v>
      </c>
      <c r="J841" s="277" t="s">
        <v>2839</v>
      </c>
      <c r="L841" s="137">
        <v>4</v>
      </c>
      <c r="M841" s="138">
        <v>5</v>
      </c>
      <c r="N841" s="270" t="s">
        <v>2840</v>
      </c>
      <c r="S841" s="117">
        <v>1</v>
      </c>
      <c r="T841" s="117">
        <v>0</v>
      </c>
      <c r="U841" s="117">
        <v>0</v>
      </c>
      <c r="V841" s="117">
        <v>1</v>
      </c>
      <c r="W841" s="117">
        <v>0</v>
      </c>
      <c r="X841" s="117">
        <v>1</v>
      </c>
      <c r="Y841" s="117">
        <v>1</v>
      </c>
      <c r="Z841" s="119" t="s">
        <v>58</v>
      </c>
      <c r="AA841" s="117">
        <v>1</v>
      </c>
      <c r="AB841" s="114">
        <f t="shared" si="256"/>
        <v>1</v>
      </c>
      <c r="AC841" s="114">
        <f t="shared" si="257"/>
        <v>2</v>
      </c>
      <c r="AD841" s="114">
        <f t="shared" si="258"/>
        <v>1</v>
      </c>
      <c r="AE841" s="114">
        <f t="shared" si="259"/>
        <v>6</v>
      </c>
      <c r="AF841" s="119" t="s">
        <v>59</v>
      </c>
      <c r="AG841" s="114">
        <f>AT841/17.1</f>
        <v>0.748538011695906</v>
      </c>
      <c r="AH841" s="114">
        <f>AU841/88.4</f>
        <v>0.938914027149321</v>
      </c>
      <c r="AI841" s="114">
        <f>AR841</f>
        <v>1.27</v>
      </c>
      <c r="AJ841" s="159">
        <f>LN(IF(AG841&gt;=1,AG841,1))*3.8+LN(IF(AH841&gt;=1,AH841,1))*9.6+11.2*LN(IF(AI841&gt;=1,AI841,1))+6.4*AN841</f>
        <v>2.6769892852696</v>
      </c>
      <c r="AK841" s="160">
        <f>IF(AND(AG841&gt;0,AH841&gt;0,AI841&gt;0),AJ841,"")</f>
        <v>2.6769892852696</v>
      </c>
      <c r="AL841" s="141">
        <f>AK841+1.59*(135-AM841)</f>
        <v>2.6769892852696</v>
      </c>
      <c r="AM841" s="241">
        <f>IF(AV841&gt;135,135,IF(AV841&lt;120,120,AV841))</f>
        <v>135</v>
      </c>
      <c r="AN841" s="117">
        <v>0</v>
      </c>
      <c r="AP841" s="117">
        <v>1.42</v>
      </c>
      <c r="AQ841" s="117">
        <v>72</v>
      </c>
      <c r="AR841" s="117">
        <v>1.27</v>
      </c>
      <c r="AS841" s="141">
        <v>33</v>
      </c>
      <c r="AT841" s="142">
        <v>12.8</v>
      </c>
      <c r="AU841" s="117">
        <v>83</v>
      </c>
      <c r="AV841" s="117">
        <v>144</v>
      </c>
      <c r="AW841" s="234">
        <v>4</v>
      </c>
      <c r="AY841" s="234" t="s">
        <v>2841</v>
      </c>
      <c r="AZ841" s="119" t="s">
        <v>2842</v>
      </c>
    </row>
    <row r="842" spans="1:52">
      <c r="A842" s="282" t="s">
        <v>2843</v>
      </c>
      <c r="B842" s="234" t="s">
        <v>48</v>
      </c>
      <c r="C842" s="234">
        <v>45</v>
      </c>
      <c r="D842" s="234">
        <v>1.72</v>
      </c>
      <c r="E842" s="234">
        <v>85</v>
      </c>
      <c r="F842" s="234">
        <f>E842/(D842*D842)</f>
        <v>28.7317468902109</v>
      </c>
      <c r="G842" s="234">
        <v>0</v>
      </c>
      <c r="H842" s="234" t="s">
        <v>2832</v>
      </c>
      <c r="I842" s="277" t="s">
        <v>2844</v>
      </c>
      <c r="J842" s="277" t="s">
        <v>2845</v>
      </c>
      <c r="L842" s="137">
        <v>1</v>
      </c>
      <c r="M842" s="138">
        <v>5</v>
      </c>
      <c r="N842" s="270" t="s">
        <v>2846</v>
      </c>
      <c r="O842" s="117">
        <v>1</v>
      </c>
      <c r="T842" s="117">
        <v>0</v>
      </c>
      <c r="U842" s="117">
        <v>0</v>
      </c>
      <c r="V842" s="117">
        <v>1</v>
      </c>
      <c r="W842" s="117">
        <v>0</v>
      </c>
      <c r="X842" s="117">
        <v>1</v>
      </c>
      <c r="Y842" s="117">
        <v>1</v>
      </c>
      <c r="Z842" s="119" t="s">
        <v>58</v>
      </c>
      <c r="AA842" s="117">
        <v>1</v>
      </c>
      <c r="AB842" s="114">
        <f t="shared" si="256"/>
        <v>1</v>
      </c>
      <c r="AC842" s="114">
        <f t="shared" si="257"/>
        <v>2</v>
      </c>
      <c r="AD842" s="114">
        <f t="shared" si="258"/>
        <v>1</v>
      </c>
      <c r="AE842" s="114">
        <f t="shared" si="259"/>
        <v>6</v>
      </c>
      <c r="AF842" s="119" t="s">
        <v>59</v>
      </c>
      <c r="AG842" s="114">
        <f>AT842/17.1</f>
        <v>0.754385964912281</v>
      </c>
      <c r="AH842" s="114">
        <f>AU842/88.4</f>
        <v>0.361990950226244</v>
      </c>
      <c r="AI842" s="114">
        <f>AR842</f>
        <v>1.62</v>
      </c>
      <c r="AJ842" s="159">
        <f>LN(IF(AG842&gt;=1,AG842,1))*3.8+LN(IF(AH842&gt;=1,AH842,1))*9.6+11.2*LN(IF(AI842&gt;=1,AI842,1))+6.4*AN842</f>
        <v>5.40317287153608</v>
      </c>
      <c r="AK842" s="160">
        <f>IF(AND(AG842&gt;0,AH842&gt;0,AI842&gt;0),AJ842,"")</f>
        <v>5.40317287153608</v>
      </c>
      <c r="AL842" s="141">
        <f>AK842+1.59*(135-AM842)</f>
        <v>5.40317287153608</v>
      </c>
      <c r="AM842" s="241">
        <f>IF(AV842&gt;135,135,IF(AV842&lt;120,120,AV842))</f>
        <v>135</v>
      </c>
      <c r="AN842" s="117">
        <v>0</v>
      </c>
      <c r="AP842" s="117">
        <v>4.18</v>
      </c>
      <c r="AQ842" s="117">
        <v>75</v>
      </c>
      <c r="AR842" s="117">
        <v>1.62</v>
      </c>
      <c r="AS842" s="141">
        <v>32</v>
      </c>
      <c r="AT842" s="142">
        <v>12.9</v>
      </c>
      <c r="AU842" s="117">
        <v>32</v>
      </c>
      <c r="AV842" s="117">
        <v>141</v>
      </c>
      <c r="AW842" s="234">
        <v>3</v>
      </c>
      <c r="AY842" s="234"/>
      <c r="AZ842" s="119" t="s">
        <v>2847</v>
      </c>
    </row>
    <row r="843" spans="1:52">
      <c r="A843" s="282" t="s">
        <v>2848</v>
      </c>
      <c r="B843" s="234" t="s">
        <v>48</v>
      </c>
      <c r="C843" s="234">
        <v>61</v>
      </c>
      <c r="D843" s="234">
        <v>1.75</v>
      </c>
      <c r="E843" s="234">
        <v>75</v>
      </c>
      <c r="F843" s="234">
        <f>E843/(D843*D843)</f>
        <v>24.4897959183673</v>
      </c>
      <c r="G843" s="234">
        <v>3</v>
      </c>
      <c r="H843" s="234" t="s">
        <v>2849</v>
      </c>
      <c r="I843" s="119" t="s">
        <v>2849</v>
      </c>
      <c r="J843" s="119" t="s">
        <v>2844</v>
      </c>
      <c r="L843" s="137">
        <v>1</v>
      </c>
      <c r="M843" s="138">
        <v>13</v>
      </c>
      <c r="N843" s="270" t="s">
        <v>2850</v>
      </c>
      <c r="S843" s="117">
        <v>1</v>
      </c>
      <c r="T843" s="117">
        <v>1</v>
      </c>
      <c r="U843" s="117">
        <v>0</v>
      </c>
      <c r="V843" s="117">
        <v>1</v>
      </c>
      <c r="W843" s="117">
        <v>0</v>
      </c>
      <c r="X843" s="117">
        <v>1</v>
      </c>
      <c r="Y843" s="117">
        <v>1</v>
      </c>
      <c r="Z843" s="119" t="s">
        <v>321</v>
      </c>
      <c r="AA843" s="117">
        <v>3</v>
      </c>
      <c r="AB843" s="114">
        <f t="shared" si="256"/>
        <v>2</v>
      </c>
      <c r="AC843" s="114">
        <f t="shared" si="257"/>
        <v>2</v>
      </c>
      <c r="AD843" s="114">
        <f t="shared" si="258"/>
        <v>1</v>
      </c>
      <c r="AE843" s="114">
        <f t="shared" si="259"/>
        <v>9</v>
      </c>
      <c r="AF843" s="119" t="s">
        <v>63</v>
      </c>
      <c r="AG843" s="114">
        <f>AT843/17.1</f>
        <v>2.28654970760234</v>
      </c>
      <c r="AH843" s="114">
        <f>AU843/88.4</f>
        <v>0.972850678733032</v>
      </c>
      <c r="AI843" s="114">
        <f>AR843</f>
        <v>1.13</v>
      </c>
      <c r="AJ843" s="159">
        <f>LN(IF(AG843&gt;=1,AG843,1))*3.8+LN(IF(AH843&gt;=1,AH843,1))*9.6+11.2*LN(IF(AI843&gt;=1,AI843,1))+6.4*AN843</f>
        <v>4.51160469974587</v>
      </c>
      <c r="AK843" s="160">
        <f>IF(AND(AG843&gt;0,AH843&gt;0,AI843&gt;0),AJ843,"")</f>
        <v>4.51160469974587</v>
      </c>
      <c r="AL843" s="141">
        <f>AK843+1.59*(135-AM843)</f>
        <v>4.51160469974587</v>
      </c>
      <c r="AM843" s="241">
        <f>IF(AV843&gt;135,135,IF(AV843&lt;120,120,AV843))</f>
        <v>135</v>
      </c>
      <c r="AN843" s="117">
        <v>0</v>
      </c>
      <c r="AP843" s="117">
        <v>2.02</v>
      </c>
      <c r="AQ843" s="117">
        <v>72</v>
      </c>
      <c r="AR843" s="117">
        <v>1.13</v>
      </c>
      <c r="AS843" s="141">
        <v>32</v>
      </c>
      <c r="AT843" s="142">
        <v>39.1</v>
      </c>
      <c r="AU843" s="117">
        <v>86</v>
      </c>
      <c r="AV843" s="117">
        <v>138</v>
      </c>
      <c r="AW843" s="234">
        <v>5</v>
      </c>
      <c r="AY843" s="234" t="s">
        <v>2851</v>
      </c>
      <c r="AZ843" s="119" t="s">
        <v>2852</v>
      </c>
    </row>
    <row r="844" spans="1:52">
      <c r="A844" s="282" t="s">
        <v>2853</v>
      </c>
      <c r="B844" s="234" t="s">
        <v>48</v>
      </c>
      <c r="C844" s="234">
        <v>71</v>
      </c>
      <c r="D844" s="234">
        <v>1.7</v>
      </c>
      <c r="E844" s="234">
        <v>87</v>
      </c>
      <c r="F844" s="234">
        <f>E844/(D844*D844)</f>
        <v>30.1038062283737</v>
      </c>
      <c r="G844" s="234">
        <v>1</v>
      </c>
      <c r="H844" s="234" t="s">
        <v>2854</v>
      </c>
      <c r="I844" s="119" t="s">
        <v>2849</v>
      </c>
      <c r="J844" s="119" t="s">
        <v>2838</v>
      </c>
      <c r="L844" s="137">
        <v>3</v>
      </c>
      <c r="M844" s="138">
        <v>10</v>
      </c>
      <c r="N844" s="270" t="s">
        <v>2855</v>
      </c>
      <c r="S844" s="117">
        <v>1</v>
      </c>
      <c r="T844" s="117">
        <v>1</v>
      </c>
      <c r="U844" s="117">
        <v>0</v>
      </c>
      <c r="V844" s="117">
        <v>1</v>
      </c>
      <c r="W844" s="117">
        <v>0</v>
      </c>
      <c r="X844" s="117">
        <v>1</v>
      </c>
      <c r="Y844" s="117">
        <v>1</v>
      </c>
      <c r="Z844" s="119" t="s">
        <v>300</v>
      </c>
      <c r="AA844" s="117">
        <v>1</v>
      </c>
      <c r="AB844" s="114">
        <f t="shared" si="256"/>
        <v>1</v>
      </c>
      <c r="AC844" s="114">
        <f t="shared" si="257"/>
        <v>2</v>
      </c>
      <c r="AD844" s="114">
        <f t="shared" si="258"/>
        <v>3</v>
      </c>
      <c r="AE844" s="114">
        <f t="shared" si="259"/>
        <v>8</v>
      </c>
      <c r="AF844" s="119" t="s">
        <v>59</v>
      </c>
      <c r="AG844" s="114">
        <f>AT844/17.1</f>
        <v>1.47368421052632</v>
      </c>
      <c r="AH844" s="114">
        <f>AU844/88.4</f>
        <v>0.80316742081448</v>
      </c>
      <c r="AI844" s="114" t="str">
        <f>AR844</f>
        <v>·1.05</v>
      </c>
      <c r="AJ844" s="159" t="e">
        <f>LN(IF(AG844&gt;=1,AG844,1))*3.8+LN(IF(AH844&gt;=1,AH844,1))*9.6+11.2*LN(IF(AI844&gt;=1,AI844,1))+6.4*AN844</f>
        <v>#VALUE!</v>
      </c>
      <c r="AK844" s="160" t="e">
        <f>IF(AND(AG844&gt;0,AH844&gt;0,AI844&gt;0),AJ844,"")</f>
        <v>#VALUE!</v>
      </c>
      <c r="AL844" s="141" t="e">
        <f>AK844+1.59*(135-AM844)</f>
        <v>#VALUE!</v>
      </c>
      <c r="AM844" s="241">
        <f>IF(AV844&gt;135,135,IF(AV844&lt;120,120,AV844))</f>
        <v>135</v>
      </c>
      <c r="AN844" s="117">
        <v>0</v>
      </c>
      <c r="AP844" s="117">
        <v>2.48</v>
      </c>
      <c r="AQ844" s="117">
        <v>89</v>
      </c>
      <c r="AR844" s="119" t="s">
        <v>2856</v>
      </c>
      <c r="AS844" s="141">
        <v>35</v>
      </c>
      <c r="AT844" s="142">
        <v>25.2</v>
      </c>
      <c r="AU844" s="117">
        <v>71</v>
      </c>
      <c r="AV844" s="117">
        <v>138</v>
      </c>
      <c r="AW844" s="234">
        <v>5</v>
      </c>
      <c r="AY844" s="234" t="s">
        <v>2857</v>
      </c>
      <c r="AZ844" s="119" t="s">
        <v>2858</v>
      </c>
    </row>
    <row r="845" spans="1:52">
      <c r="A845" s="282" t="s">
        <v>65</v>
      </c>
      <c r="B845" s="234" t="s">
        <v>48</v>
      </c>
      <c r="C845" s="234">
        <v>61</v>
      </c>
      <c r="D845" s="234">
        <v>1.75</v>
      </c>
      <c r="E845" s="234">
        <v>90</v>
      </c>
      <c r="F845" s="234">
        <f>E845/(D845*D845)</f>
        <v>29.3877551020408</v>
      </c>
      <c r="G845" s="234">
        <v>0</v>
      </c>
      <c r="H845" s="234" t="s">
        <v>2849</v>
      </c>
      <c r="I845" s="119" t="s">
        <v>2849</v>
      </c>
      <c r="J845" s="119" t="s">
        <v>2859</v>
      </c>
      <c r="L845" s="137">
        <v>7</v>
      </c>
      <c r="M845" s="138">
        <v>4</v>
      </c>
      <c r="N845" s="270" t="s">
        <v>2860</v>
      </c>
      <c r="O845" s="117">
        <v>1</v>
      </c>
      <c r="P845" s="117">
        <v>1</v>
      </c>
      <c r="T845" s="117">
        <v>0</v>
      </c>
      <c r="U845" s="117">
        <v>0</v>
      </c>
      <c r="V845" s="117">
        <v>1</v>
      </c>
      <c r="W845" s="117">
        <v>0</v>
      </c>
      <c r="X845" s="117">
        <v>1</v>
      </c>
      <c r="Y845" s="117">
        <v>1</v>
      </c>
      <c r="Z845" s="119" t="s">
        <v>58</v>
      </c>
      <c r="AA845" s="117">
        <v>1</v>
      </c>
      <c r="AB845" s="114">
        <f t="shared" si="256"/>
        <v>1</v>
      </c>
      <c r="AC845" s="114">
        <f t="shared" si="257"/>
        <v>1</v>
      </c>
      <c r="AD845" s="114">
        <f t="shared" si="258"/>
        <v>1</v>
      </c>
      <c r="AE845" s="114">
        <f t="shared" si="259"/>
        <v>5</v>
      </c>
      <c r="AF845" s="119" t="s">
        <v>59</v>
      </c>
      <c r="AG845" s="114">
        <f>AT845/17.1</f>
        <v>0.538011695906433</v>
      </c>
      <c r="AH845" s="114">
        <f>AU845/88.4</f>
        <v>0.678733031674208</v>
      </c>
      <c r="AI845" s="114">
        <f>AR845</f>
        <v>1.05</v>
      </c>
      <c r="AJ845" s="159">
        <f>LN(IF(AG845&gt;=1,AG845,1))*3.8+LN(IF(AH845&gt;=1,AH845,1))*9.6+11.2*LN(IF(AI845&gt;=1,AI845,1))+6.4*AN845</f>
        <v>0.546449838697639</v>
      </c>
      <c r="AK845" s="160">
        <f>IF(AND(AG845&gt;0,AH845&gt;0,AI845&gt;0),AJ845,"")</f>
        <v>0.546449838697639</v>
      </c>
      <c r="AL845" s="141">
        <f>AK845+1.59*(135-AM845)</f>
        <v>0.546449838697639</v>
      </c>
      <c r="AM845" s="241">
        <f>IF(AV845&gt;135,135,IF(AV845&lt;120,120,AV845))</f>
        <v>135</v>
      </c>
      <c r="AP845" s="117">
        <v>5</v>
      </c>
      <c r="AQ845" s="117">
        <v>3.84</v>
      </c>
      <c r="AR845" s="117">
        <v>1.05</v>
      </c>
      <c r="AS845" s="141">
        <v>37</v>
      </c>
      <c r="AT845" s="323">
        <v>9.2</v>
      </c>
      <c r="AU845" s="117">
        <v>60</v>
      </c>
      <c r="AV845" s="117">
        <v>144</v>
      </c>
      <c r="AW845" s="234">
        <v>3</v>
      </c>
      <c r="AY845" s="234"/>
      <c r="AZ845" s="119" t="s">
        <v>58</v>
      </c>
    </row>
    <row r="846" spans="1:52">
      <c r="A846" s="282" t="s">
        <v>147</v>
      </c>
      <c r="B846" s="234" t="s">
        <v>53</v>
      </c>
      <c r="C846" s="234">
        <v>76</v>
      </c>
      <c r="D846" s="234">
        <v>1.55</v>
      </c>
      <c r="E846" s="234">
        <v>40</v>
      </c>
      <c r="F846" s="234">
        <f>E846/(D846*D846)</f>
        <v>16.6493236212279</v>
      </c>
      <c r="G846" s="234">
        <v>1</v>
      </c>
      <c r="H846" s="234"/>
      <c r="I846" s="119" t="s">
        <v>2861</v>
      </c>
      <c r="J846" s="119" t="s">
        <v>2862</v>
      </c>
      <c r="L846" s="137">
        <v>6</v>
      </c>
      <c r="M846" s="138">
        <v>14</v>
      </c>
      <c r="N846" s="270" t="s">
        <v>2863</v>
      </c>
      <c r="Q846" s="117">
        <v>1</v>
      </c>
      <c r="T846" s="117">
        <v>0</v>
      </c>
      <c r="U846" s="117">
        <v>0</v>
      </c>
      <c r="V846" s="117">
        <v>1</v>
      </c>
      <c r="W846" s="117">
        <v>0</v>
      </c>
      <c r="X846" s="117">
        <v>1</v>
      </c>
      <c r="Y846" s="117">
        <v>1</v>
      </c>
      <c r="Z846" s="119" t="s">
        <v>58</v>
      </c>
      <c r="AA846" s="117">
        <v>1</v>
      </c>
      <c r="AB846" s="114">
        <f t="shared" si="256"/>
        <v>1</v>
      </c>
      <c r="AC846" s="114">
        <f t="shared" si="257"/>
        <v>2</v>
      </c>
      <c r="AD846" s="114">
        <f t="shared" si="258"/>
        <v>1</v>
      </c>
      <c r="AE846" s="114">
        <f t="shared" si="259"/>
        <v>6</v>
      </c>
      <c r="AF846" s="119" t="s">
        <v>59</v>
      </c>
      <c r="AG846" s="114">
        <f>AT846/17.1</f>
        <v>0.368421052631579</v>
      </c>
      <c r="AH846" s="114">
        <f>AU846/88.4</f>
        <v>1.9683257918552</v>
      </c>
      <c r="AI846" s="114">
        <f>AR846</f>
        <v>1.01</v>
      </c>
      <c r="AJ846" s="159">
        <f>LN(IF(AG846&gt;=1,AG846,1))*3.8+LN(IF(AH846&gt;=1,AH846,1))*9.6+11.2*LN(IF(AI846&gt;=1,AI846,1))+6.4*AN846</f>
        <v>6.61240366943642</v>
      </c>
      <c r="AK846" s="160">
        <f>IF(AND(AG846&gt;0,AH846&gt;0,AI846&gt;0),AJ846,"")</f>
        <v>6.61240366943642</v>
      </c>
      <c r="AL846" s="141">
        <f>AK846+1.59*(135-AM846)</f>
        <v>6.61240366943642</v>
      </c>
      <c r="AM846" s="241">
        <f>IF(AV846&gt;135,135,IF(AV846&lt;120,120,AV846))</f>
        <v>135</v>
      </c>
      <c r="AP846" s="117">
        <v>4.82</v>
      </c>
      <c r="AQ846" s="117">
        <v>81</v>
      </c>
      <c r="AR846" s="117">
        <v>1.01</v>
      </c>
      <c r="AS846" s="141">
        <v>31</v>
      </c>
      <c r="AT846" s="142">
        <v>6.3</v>
      </c>
      <c r="AU846" s="117">
        <v>174</v>
      </c>
      <c r="AV846" s="117">
        <v>143</v>
      </c>
      <c r="AW846" s="234">
        <v>2</v>
      </c>
      <c r="AY846" s="234" t="s">
        <v>2864</v>
      </c>
      <c r="AZ846" s="119" t="s">
        <v>2865</v>
      </c>
    </row>
    <row r="847" s="128" customFormat="1" spans="1:52">
      <c r="A847" s="297" t="s">
        <v>2866</v>
      </c>
      <c r="B847" s="324" t="s">
        <v>48</v>
      </c>
      <c r="C847" s="324">
        <v>66</v>
      </c>
      <c r="D847" s="324">
        <v>1.75</v>
      </c>
      <c r="E847" s="324">
        <v>115</v>
      </c>
      <c r="F847" s="324">
        <f>E847/(D847*D847)</f>
        <v>37.5510204081633</v>
      </c>
      <c r="G847" s="324">
        <v>5</v>
      </c>
      <c r="H847" s="324" t="s">
        <v>2867</v>
      </c>
      <c r="I847" s="209" t="s">
        <v>2867</v>
      </c>
      <c r="J847" s="209" t="s">
        <v>2868</v>
      </c>
      <c r="K847" s="128"/>
      <c r="L847" s="207">
        <v>1</v>
      </c>
      <c r="M847" s="207">
        <v>19</v>
      </c>
      <c r="N847" s="303" t="s">
        <v>2869</v>
      </c>
      <c r="O847" s="128">
        <v>1</v>
      </c>
      <c r="P847" s="128"/>
      <c r="Q847" s="128"/>
      <c r="R847" s="128"/>
      <c r="S847" s="128"/>
      <c r="T847" s="128">
        <v>1</v>
      </c>
      <c r="U847" s="128">
        <v>1</v>
      </c>
      <c r="V847" s="128">
        <v>1</v>
      </c>
      <c r="W847" s="128">
        <v>1</v>
      </c>
      <c r="X847" s="128">
        <v>1</v>
      </c>
      <c r="Y847" s="128">
        <v>2</v>
      </c>
      <c r="Z847" s="209" t="s">
        <v>321</v>
      </c>
      <c r="AA847" s="128">
        <v>3</v>
      </c>
      <c r="AB847" s="114">
        <f>_xlfn.IFS(AT847&gt;51,3,AT847&gt;=34,2,AT847&lt;34,1)</f>
        <v>3</v>
      </c>
      <c r="AC847" s="114">
        <f>_xlfn.IFS(AS847&gt;35,1,AS847&gt;=28,2,AS847&lt;28,3)</f>
        <v>3</v>
      </c>
      <c r="AD847" s="114">
        <f>_xlfn.IFS(AR847&gt;2.3,3,AR847&gt;=1.7,2,AR847&lt;1.7,1)</f>
        <v>2</v>
      </c>
      <c r="AE847" s="114">
        <f>Y847+AA847+AB847+AC847+AD847</f>
        <v>13</v>
      </c>
      <c r="AF847" s="209" t="s">
        <v>50</v>
      </c>
      <c r="AG847" s="114">
        <f>AT847/17.1</f>
        <v>4.54385964912281</v>
      </c>
      <c r="AH847" s="114">
        <f>AU847/88.4</f>
        <v>1.58371040723982</v>
      </c>
      <c r="AI847" s="114">
        <f>AR847</f>
        <v>2.19</v>
      </c>
      <c r="AJ847" s="159">
        <f>LN(IF(AG847&gt;=1,AG847,1))*3.8+LN(IF(AH847&gt;=1,AH847,1))*9.6+11.2*LN(IF(AI847&gt;=1,AI847,1))+6.4*AN847</f>
        <v>18.9458454560359</v>
      </c>
      <c r="AK847" s="160">
        <f>IF(AND(AG847&gt;0,AH847&gt;0,AI847&gt;0),AJ847,"")</f>
        <v>18.9458454560359</v>
      </c>
      <c r="AL847" s="141">
        <f>AK847+1.59*(135-AM847)</f>
        <v>28.4858454560359</v>
      </c>
      <c r="AM847" s="241">
        <f>IF(AV847&gt;135,135,IF(AV847&lt;120,120,AV847))</f>
        <v>129</v>
      </c>
      <c r="AP847" s="128">
        <v>4.51</v>
      </c>
      <c r="AQ847" s="128">
        <v>68</v>
      </c>
      <c r="AR847" s="128">
        <v>2.19</v>
      </c>
      <c r="AS847" s="325">
        <v>27</v>
      </c>
      <c r="AT847" s="326">
        <v>77.7</v>
      </c>
      <c r="AU847" s="128">
        <v>140</v>
      </c>
      <c r="AV847" s="128">
        <v>129</v>
      </c>
      <c r="AW847" s="324">
        <v>2</v>
      </c>
      <c r="AX847" s="128"/>
      <c r="AY847" s="324"/>
      <c r="AZ847" s="209" t="s">
        <v>2870</v>
      </c>
    </row>
    <row r="848" spans="1:52">
      <c r="A848" s="282" t="s">
        <v>2871</v>
      </c>
      <c r="B848" s="234" t="s">
        <v>48</v>
      </c>
      <c r="C848" s="234">
        <v>47</v>
      </c>
      <c r="D848" s="234">
        <v>1.7</v>
      </c>
      <c r="E848" s="234">
        <v>65</v>
      </c>
      <c r="F848" s="234">
        <f>E848/(D848*D848)</f>
        <v>22.4913494809689</v>
      </c>
      <c r="G848" s="234">
        <v>0</v>
      </c>
      <c r="H848" s="234" t="s">
        <v>2872</v>
      </c>
      <c r="I848" s="119" t="s">
        <v>2873</v>
      </c>
      <c r="J848" s="119" t="s">
        <v>2820</v>
      </c>
      <c r="L848" s="137">
        <v>1</v>
      </c>
      <c r="M848" s="138">
        <v>47</v>
      </c>
      <c r="N848" s="270" t="s">
        <v>2874</v>
      </c>
      <c r="S848" s="117">
        <v>1</v>
      </c>
      <c r="T848" s="117">
        <v>1</v>
      </c>
      <c r="U848" s="117">
        <v>0</v>
      </c>
      <c r="V848" s="117">
        <v>1</v>
      </c>
      <c r="W848" s="117">
        <v>0</v>
      </c>
      <c r="X848" s="117">
        <v>1</v>
      </c>
      <c r="Y848" s="117">
        <v>1</v>
      </c>
      <c r="Z848" s="119" t="s">
        <v>300</v>
      </c>
      <c r="AA848" s="117">
        <v>2</v>
      </c>
      <c r="AB848" s="114">
        <f>_xlfn.IFS(AT848&gt;51,3,AT848&gt;=34,2,AT848&lt;34,1)</f>
        <v>1</v>
      </c>
      <c r="AC848" s="114">
        <f>_xlfn.IFS(AS848&gt;35,1,AS848&gt;=28,2,AS848&lt;28,3)</f>
        <v>1</v>
      </c>
      <c r="AD848" s="114">
        <f>_xlfn.IFS(AR848&gt;2.3,3,AR848&gt;=1.7,2,AR848&lt;1.7,1)</f>
        <v>1</v>
      </c>
      <c r="AE848" s="114">
        <f>Y848+AA848+AB848+AC848+AD848</f>
        <v>6</v>
      </c>
      <c r="AF848" s="119" t="s">
        <v>59</v>
      </c>
      <c r="AG848" s="114">
        <f>AT848/17.1</f>
        <v>1.10526315789474</v>
      </c>
      <c r="AH848" s="114">
        <f>AU848/88.4</f>
        <v>0.746606334841629</v>
      </c>
      <c r="AI848" s="114">
        <f>AR848</f>
        <v>1.25</v>
      </c>
      <c r="AJ848" s="159">
        <f>LN(IF(AG848&gt;=1,AG848,1))*3.8+LN(IF(AH848&gt;=1,AH848,1))*9.6+11.2*LN(IF(AI848&gt;=1,AI848,1))+6.4*AN848</f>
        <v>2.87952491723568</v>
      </c>
      <c r="AK848" s="160">
        <f>IF(AND(AG848&gt;0,AH848&gt;0,AI848&gt;0),AJ848,"")</f>
        <v>2.87952491723568</v>
      </c>
      <c r="AL848" s="141">
        <f>AK848+1.59*(135-AM848)</f>
        <v>2.87952491723568</v>
      </c>
      <c r="AM848" s="241">
        <f>IF(AV848&gt;135,135,IF(AV848&lt;120,120,AV848))</f>
        <v>135</v>
      </c>
      <c r="AP848" s="117">
        <v>2.02</v>
      </c>
      <c r="AQ848" s="117">
        <v>103</v>
      </c>
      <c r="AR848" s="117">
        <v>1.25</v>
      </c>
      <c r="AS848" s="141">
        <v>38</v>
      </c>
      <c r="AT848" s="142">
        <v>18.9</v>
      </c>
      <c r="AU848" s="117">
        <v>66</v>
      </c>
      <c r="AV848" s="117">
        <v>138</v>
      </c>
      <c r="AW848" s="234">
        <v>2</v>
      </c>
      <c r="AY848" s="234" t="s">
        <v>2875</v>
      </c>
      <c r="AZ848" s="119" t="s">
        <v>58</v>
      </c>
    </row>
    <row r="849" s="123" customFormat="1" spans="1:52">
      <c r="A849" s="284" t="s">
        <v>1684</v>
      </c>
      <c r="B849" s="238" t="s">
        <v>48</v>
      </c>
      <c r="C849" s="238">
        <v>38</v>
      </c>
      <c r="D849" s="238">
        <v>1.8</v>
      </c>
      <c r="E849" s="238">
        <v>100</v>
      </c>
      <c r="F849" s="238">
        <f t="shared" ref="F849:F879" si="260">E849/(D849*D849)</f>
        <v>30.8641975308642</v>
      </c>
      <c r="G849" s="238">
        <v>6</v>
      </c>
      <c r="H849" s="238" t="s">
        <v>2876</v>
      </c>
      <c r="I849" s="132" t="s">
        <v>2876</v>
      </c>
      <c r="J849" s="132" t="s">
        <v>2877</v>
      </c>
      <c r="K849" s="123"/>
      <c r="L849" s="178">
        <v>3</v>
      </c>
      <c r="M849" s="178">
        <v>10</v>
      </c>
      <c r="N849" s="254" t="s">
        <v>2878</v>
      </c>
      <c r="O849" s="123"/>
      <c r="P849" s="123">
        <v>1</v>
      </c>
      <c r="Q849" s="123">
        <v>1</v>
      </c>
      <c r="R849" s="123"/>
      <c r="S849" s="123"/>
      <c r="T849" s="123">
        <v>0</v>
      </c>
      <c r="U849" s="123">
        <v>0</v>
      </c>
      <c r="V849" s="123">
        <v>1</v>
      </c>
      <c r="W849" s="123">
        <v>0</v>
      </c>
      <c r="X849" s="123">
        <v>1</v>
      </c>
      <c r="Y849" s="123">
        <v>1</v>
      </c>
      <c r="Z849" s="132" t="s">
        <v>58</v>
      </c>
      <c r="AA849" s="123">
        <v>1</v>
      </c>
      <c r="AB849" s="114">
        <f t="shared" ref="AB849:AB879" si="261">_xlfn.IFS(AT849&gt;51,3,AT849&gt;=34,2,AT849&lt;34,1)</f>
        <v>1</v>
      </c>
      <c r="AC849" s="114">
        <f t="shared" ref="AC849:AC879" si="262">_xlfn.IFS(AS849&gt;35,1,AS849&gt;=28,2,AS849&lt;28,3)</f>
        <v>2</v>
      </c>
      <c r="AD849" s="114">
        <f t="shared" ref="AD849:AD879" si="263">_xlfn.IFS(AR849&gt;2.3,3,AR849&gt;=1.7,2,AR849&lt;1.7,1)</f>
        <v>1</v>
      </c>
      <c r="AE849" s="114">
        <f t="shared" ref="AE849:AE879" si="264">Y849+AA849+AB849+AC849+AD849</f>
        <v>6</v>
      </c>
      <c r="AF849" s="132" t="s">
        <v>59</v>
      </c>
      <c r="AG849" s="114">
        <f t="shared" ref="AG849:AG879" si="265">AT849/17.1</f>
        <v>1.10526315789474</v>
      </c>
      <c r="AH849" s="114">
        <f t="shared" ref="AH849:AH879" si="266">AU849/88.4</f>
        <v>0.678733031674208</v>
      </c>
      <c r="AI849" s="114">
        <f t="shared" ref="AI849:AI879" si="267">AR849</f>
        <v>1.43</v>
      </c>
      <c r="AJ849" s="159">
        <f t="shared" ref="AJ849:AJ879" si="268">LN(IF(AG849&gt;=1,AG849,1))*3.8+LN(IF(AH849&gt;=1,AH849,1))*9.6+11.2*LN(IF(AI849&gt;=1,AI849,1))+6.4*AN849</f>
        <v>4.38627091836087</v>
      </c>
      <c r="AK849" s="160">
        <f t="shared" ref="AK849:AK879" si="269">IF(AND(AG849&gt;0,AH849&gt;0,AI849&gt;0),AJ849,"")</f>
        <v>4.38627091836087</v>
      </c>
      <c r="AL849" s="141">
        <f t="shared" ref="AL849:AL879" si="270">AK849+1.59*(135-AM849)</f>
        <v>4.38627091836087</v>
      </c>
      <c r="AM849" s="241">
        <f t="shared" ref="AM849:AM879" si="271">IF(AV849&gt;135,135,IF(AV849&lt;120,120,AV849))</f>
        <v>135</v>
      </c>
      <c r="AP849" s="123">
        <v>1.93</v>
      </c>
      <c r="AQ849" s="123">
        <v>69</v>
      </c>
      <c r="AR849" s="123">
        <v>1.43</v>
      </c>
      <c r="AS849" s="267">
        <v>28</v>
      </c>
      <c r="AT849" s="268">
        <v>18.9</v>
      </c>
      <c r="AU849" s="123">
        <v>60</v>
      </c>
      <c r="AV849" s="123">
        <v>139</v>
      </c>
      <c r="AW849" s="238">
        <v>5</v>
      </c>
      <c r="AX849" s="123"/>
      <c r="AY849" s="238" t="s">
        <v>2530</v>
      </c>
      <c r="AZ849" s="132" t="s">
        <v>2879</v>
      </c>
    </row>
    <row r="850" spans="1:52">
      <c r="A850" s="282" t="s">
        <v>2880</v>
      </c>
      <c r="B850" s="234" t="s">
        <v>53</v>
      </c>
      <c r="C850" s="234">
        <v>50</v>
      </c>
      <c r="D850" s="234">
        <v>1.66</v>
      </c>
      <c r="E850" s="234">
        <v>46.5</v>
      </c>
      <c r="F850" s="234">
        <f t="shared" si="260"/>
        <v>16.8747278269705</v>
      </c>
      <c r="G850" s="234">
        <v>3</v>
      </c>
      <c r="H850" s="234" t="s">
        <v>2881</v>
      </c>
      <c r="I850" s="119" t="s">
        <v>2882</v>
      </c>
      <c r="J850" s="119" t="s">
        <v>2883</v>
      </c>
      <c r="L850" s="137">
        <v>15</v>
      </c>
      <c r="M850" s="138">
        <v>15</v>
      </c>
      <c r="N850" s="270" t="s">
        <v>2884</v>
      </c>
      <c r="S850" s="117">
        <v>1</v>
      </c>
      <c r="T850" s="117">
        <v>1</v>
      </c>
      <c r="U850" s="117">
        <v>0</v>
      </c>
      <c r="V850" s="117">
        <v>1</v>
      </c>
      <c r="W850" s="117">
        <v>0</v>
      </c>
      <c r="X850" s="117">
        <v>1</v>
      </c>
      <c r="Y850" s="117">
        <v>1</v>
      </c>
      <c r="Z850" s="119" t="s">
        <v>321</v>
      </c>
      <c r="AA850" s="117">
        <v>3</v>
      </c>
      <c r="AB850" s="114">
        <f t="shared" si="261"/>
        <v>1</v>
      </c>
      <c r="AC850" s="114">
        <f t="shared" si="262"/>
        <v>2</v>
      </c>
      <c r="AD850" s="114">
        <f t="shared" si="263"/>
        <v>1</v>
      </c>
      <c r="AE850" s="114">
        <f t="shared" si="264"/>
        <v>8</v>
      </c>
      <c r="AF850" s="119" t="s">
        <v>63</v>
      </c>
      <c r="AG850" s="114">
        <f t="shared" si="265"/>
        <v>1.39766081871345</v>
      </c>
      <c r="AH850" s="114">
        <f t="shared" si="266"/>
        <v>0.667420814479638</v>
      </c>
      <c r="AI850" s="114">
        <f t="shared" si="267"/>
        <v>1.08</v>
      </c>
      <c r="AJ850" s="159">
        <f t="shared" si="268"/>
        <v>2.13420364335427</v>
      </c>
      <c r="AK850" s="160">
        <f t="shared" si="269"/>
        <v>2.13420364335427</v>
      </c>
      <c r="AL850" s="141">
        <f t="shared" si="270"/>
        <v>2.13420364335427</v>
      </c>
      <c r="AM850" s="241">
        <f t="shared" si="271"/>
        <v>135</v>
      </c>
      <c r="AP850" s="117">
        <v>3.34</v>
      </c>
      <c r="AQ850" s="117">
        <v>109</v>
      </c>
      <c r="AR850" s="117">
        <v>1.08</v>
      </c>
      <c r="AS850" s="141">
        <v>33</v>
      </c>
      <c r="AT850" s="142">
        <v>23.9</v>
      </c>
      <c r="AU850" s="117">
        <v>59</v>
      </c>
      <c r="AV850" s="117">
        <v>142</v>
      </c>
      <c r="AW850" s="234">
        <v>0</v>
      </c>
      <c r="AY850" s="234" t="s">
        <v>2558</v>
      </c>
      <c r="AZ850" s="119" t="s">
        <v>2885</v>
      </c>
    </row>
    <row r="851" s="123" customFormat="1" spans="1:52">
      <c r="A851" s="284" t="s">
        <v>2488</v>
      </c>
      <c r="B851" s="238" t="s">
        <v>48</v>
      </c>
      <c r="C851" s="238">
        <v>66</v>
      </c>
      <c r="D851" s="238">
        <v>1.7</v>
      </c>
      <c r="E851" s="238">
        <v>55</v>
      </c>
      <c r="F851" s="238">
        <f t="shared" si="260"/>
        <v>19.0311418685121</v>
      </c>
      <c r="G851" s="238">
        <v>6</v>
      </c>
      <c r="H851" s="238" t="s">
        <v>2881</v>
      </c>
      <c r="I851" s="132" t="s">
        <v>2886</v>
      </c>
      <c r="J851" s="132" t="s">
        <v>2887</v>
      </c>
      <c r="K851" s="123"/>
      <c r="L851" s="178">
        <v>4</v>
      </c>
      <c r="M851" s="178">
        <v>6</v>
      </c>
      <c r="N851" s="254" t="s">
        <v>2888</v>
      </c>
      <c r="O851" s="123"/>
      <c r="P851" s="123">
        <v>1</v>
      </c>
      <c r="Q851" s="123">
        <v>1</v>
      </c>
      <c r="R851" s="123"/>
      <c r="S851" s="123"/>
      <c r="T851" s="123">
        <v>1</v>
      </c>
      <c r="U851" s="123">
        <v>0</v>
      </c>
      <c r="V851" s="123">
        <v>1</v>
      </c>
      <c r="W851" s="123">
        <v>0</v>
      </c>
      <c r="X851" s="123">
        <v>1</v>
      </c>
      <c r="Y851" s="123">
        <v>1</v>
      </c>
      <c r="Z851" s="132" t="s">
        <v>321</v>
      </c>
      <c r="AA851" s="123">
        <v>3</v>
      </c>
      <c r="AB851" s="114">
        <f t="shared" si="261"/>
        <v>1</v>
      </c>
      <c r="AC851" s="114">
        <f t="shared" si="262"/>
        <v>2</v>
      </c>
      <c r="AD851" s="114">
        <f t="shared" si="263"/>
        <v>1</v>
      </c>
      <c r="AE851" s="114">
        <f t="shared" si="264"/>
        <v>8</v>
      </c>
      <c r="AF851" s="132" t="s">
        <v>63</v>
      </c>
      <c r="AG851" s="114">
        <f t="shared" si="265"/>
        <v>1.23976608187134</v>
      </c>
      <c r="AH851" s="114">
        <f t="shared" si="266"/>
        <v>1.45927601809955</v>
      </c>
      <c r="AI851" s="114">
        <f t="shared" si="267"/>
        <v>1.24</v>
      </c>
      <c r="AJ851" s="159">
        <f t="shared" si="268"/>
        <v>6.85418195404684</v>
      </c>
      <c r="AK851" s="160">
        <f t="shared" si="269"/>
        <v>6.85418195404684</v>
      </c>
      <c r="AL851" s="141">
        <f t="shared" si="270"/>
        <v>6.85418195404684</v>
      </c>
      <c r="AM851" s="241">
        <f t="shared" si="271"/>
        <v>135</v>
      </c>
      <c r="AP851" s="123">
        <v>1.49</v>
      </c>
      <c r="AQ851" s="123">
        <v>74</v>
      </c>
      <c r="AR851" s="123">
        <v>1.24</v>
      </c>
      <c r="AS851" s="267">
        <v>34</v>
      </c>
      <c r="AT851" s="268">
        <v>21.2</v>
      </c>
      <c r="AU851" s="123">
        <v>129</v>
      </c>
      <c r="AV851" s="123">
        <v>136</v>
      </c>
      <c r="AW851" s="238">
        <v>0</v>
      </c>
      <c r="AX851" s="123"/>
      <c r="AY851" s="238"/>
      <c r="AZ851" s="132" t="s">
        <v>2889</v>
      </c>
    </row>
    <row r="852" s="123" customFormat="1" spans="1:52">
      <c r="A852" s="297" t="s">
        <v>2890</v>
      </c>
      <c r="B852" s="238" t="s">
        <v>48</v>
      </c>
      <c r="C852" s="238">
        <v>44</v>
      </c>
      <c r="D852" s="238">
        <v>1.73</v>
      </c>
      <c r="E852" s="238">
        <v>65</v>
      </c>
      <c r="F852" s="238">
        <f t="shared" si="260"/>
        <v>21.7180660897457</v>
      </c>
      <c r="G852" s="238">
        <v>1</v>
      </c>
      <c r="H852" s="238" t="s">
        <v>2882</v>
      </c>
      <c r="I852" s="132" t="s">
        <v>2881</v>
      </c>
      <c r="J852" s="132" t="s">
        <v>2787</v>
      </c>
      <c r="K852" s="123"/>
      <c r="L852" s="178">
        <v>1</v>
      </c>
      <c r="M852" s="178">
        <v>4</v>
      </c>
      <c r="N852" s="254" t="s">
        <v>2891</v>
      </c>
      <c r="O852" s="123">
        <v>1</v>
      </c>
      <c r="P852" s="123"/>
      <c r="Q852" s="123"/>
      <c r="R852" s="123"/>
      <c r="S852" s="123"/>
      <c r="T852" s="123">
        <v>1</v>
      </c>
      <c r="U852" s="123">
        <v>0</v>
      </c>
      <c r="V852" s="123">
        <v>1</v>
      </c>
      <c r="W852" s="123">
        <v>0</v>
      </c>
      <c r="X852" s="123">
        <v>1</v>
      </c>
      <c r="Y852" s="123">
        <v>1</v>
      </c>
      <c r="Z852" s="132" t="s">
        <v>321</v>
      </c>
      <c r="AA852" s="123">
        <v>3</v>
      </c>
      <c r="AB852" s="114">
        <f t="shared" si="261"/>
        <v>2</v>
      </c>
      <c r="AC852" s="114">
        <f t="shared" si="262"/>
        <v>3</v>
      </c>
      <c r="AD852" s="114">
        <f t="shared" si="263"/>
        <v>1</v>
      </c>
      <c r="AE852" s="114">
        <f t="shared" si="264"/>
        <v>10</v>
      </c>
      <c r="AF852" s="132" t="s">
        <v>50</v>
      </c>
      <c r="AG852" s="114">
        <f t="shared" si="265"/>
        <v>2.23391812865497</v>
      </c>
      <c r="AH852" s="114">
        <f t="shared" si="266"/>
        <v>0.904977375565611</v>
      </c>
      <c r="AI852" s="114">
        <f t="shared" si="267"/>
        <v>1.47</v>
      </c>
      <c r="AJ852" s="159">
        <f t="shared" si="268"/>
        <v>7.3692156868501</v>
      </c>
      <c r="AK852" s="160">
        <f t="shared" si="269"/>
        <v>7.3692156868501</v>
      </c>
      <c r="AL852" s="141">
        <f t="shared" si="270"/>
        <v>7.3692156868501</v>
      </c>
      <c r="AM852" s="241">
        <f t="shared" si="271"/>
        <v>135</v>
      </c>
      <c r="AP852" s="123">
        <v>1.45</v>
      </c>
      <c r="AQ852" s="123">
        <v>52</v>
      </c>
      <c r="AR852" s="123">
        <v>1.47</v>
      </c>
      <c r="AS852" s="267">
        <v>27</v>
      </c>
      <c r="AT852" s="268">
        <v>38.2</v>
      </c>
      <c r="AU852" s="123">
        <v>80</v>
      </c>
      <c r="AV852" s="123">
        <v>140</v>
      </c>
      <c r="AW852" s="238">
        <v>80</v>
      </c>
      <c r="AX852" s="123"/>
      <c r="AY852" s="238"/>
      <c r="AZ852" s="132" t="s">
        <v>2892</v>
      </c>
    </row>
    <row r="853" spans="1:52">
      <c r="A853" s="282" t="s">
        <v>2893</v>
      </c>
      <c r="B853" s="234" t="s">
        <v>53</v>
      </c>
      <c r="C853" s="234">
        <v>65</v>
      </c>
      <c r="D853" s="234">
        <v>1.55</v>
      </c>
      <c r="E853" s="234">
        <v>48</v>
      </c>
      <c r="F853" s="234">
        <f t="shared" si="260"/>
        <v>19.9791883454735</v>
      </c>
      <c r="G853" s="234">
        <v>0</v>
      </c>
      <c r="H853" s="234" t="s">
        <v>2789</v>
      </c>
      <c r="I853" s="119" t="s">
        <v>2789</v>
      </c>
      <c r="J853" s="119" t="s">
        <v>2894</v>
      </c>
      <c r="L853" s="137">
        <v>1</v>
      </c>
      <c r="M853" s="138">
        <v>10</v>
      </c>
      <c r="N853" s="270" t="s">
        <v>2895</v>
      </c>
      <c r="O853" s="117">
        <v>1</v>
      </c>
      <c r="T853" s="117">
        <v>1</v>
      </c>
      <c r="U853" s="117">
        <v>0</v>
      </c>
      <c r="V853" s="117">
        <v>0</v>
      </c>
      <c r="W853" s="117">
        <v>0</v>
      </c>
      <c r="X853" s="117">
        <v>1</v>
      </c>
      <c r="Y853" s="117">
        <v>1</v>
      </c>
      <c r="Z853" s="119" t="s">
        <v>300</v>
      </c>
      <c r="AA853" s="117">
        <v>2</v>
      </c>
      <c r="AB853" s="114">
        <f t="shared" si="261"/>
        <v>1</v>
      </c>
      <c r="AC853" s="114">
        <f t="shared" si="262"/>
        <v>2</v>
      </c>
      <c r="AD853" s="114">
        <f t="shared" si="263"/>
        <v>1</v>
      </c>
      <c r="AE853" s="114">
        <f t="shared" si="264"/>
        <v>7</v>
      </c>
      <c r="AF853" s="119" t="s">
        <v>63</v>
      </c>
      <c r="AG853" s="114">
        <f t="shared" si="265"/>
        <v>1.04678362573099</v>
      </c>
      <c r="AH853" s="114">
        <f t="shared" si="266"/>
        <v>0.599547511312217</v>
      </c>
      <c r="AI853" s="114">
        <f t="shared" si="267"/>
        <v>1.2</v>
      </c>
      <c r="AJ853" s="159">
        <f t="shared" si="268"/>
        <v>2.21574598357705</v>
      </c>
      <c r="AK853" s="160">
        <f t="shared" si="269"/>
        <v>2.21574598357705</v>
      </c>
      <c r="AL853" s="141">
        <f t="shared" si="270"/>
        <v>2.21574598357705</v>
      </c>
      <c r="AM853" s="241">
        <f t="shared" si="271"/>
        <v>135</v>
      </c>
      <c r="AP853" s="117">
        <v>3.91</v>
      </c>
      <c r="AQ853" s="117">
        <v>108</v>
      </c>
      <c r="AR853" s="117">
        <v>1.2</v>
      </c>
      <c r="AS853" s="141">
        <v>34</v>
      </c>
      <c r="AT853" s="142">
        <v>17.9</v>
      </c>
      <c r="AU853" s="117">
        <v>53</v>
      </c>
      <c r="AV853" s="117">
        <v>140</v>
      </c>
      <c r="AW853" s="234">
        <v>4</v>
      </c>
      <c r="AY853" s="234" t="s">
        <v>2896</v>
      </c>
      <c r="AZ853" s="119" t="s">
        <v>2897</v>
      </c>
    </row>
    <row r="854" s="128" customFormat="1" spans="1:52">
      <c r="A854" s="297" t="s">
        <v>2898</v>
      </c>
      <c r="B854" s="324" t="s">
        <v>53</v>
      </c>
      <c r="C854" s="324">
        <v>59</v>
      </c>
      <c r="D854" s="324">
        <v>1.55</v>
      </c>
      <c r="E854" s="324">
        <v>75</v>
      </c>
      <c r="F854" s="324">
        <f t="shared" si="260"/>
        <v>31.2174817898023</v>
      </c>
      <c r="G854" s="324">
        <v>3</v>
      </c>
      <c r="H854" s="324" t="s">
        <v>2789</v>
      </c>
      <c r="I854" s="209" t="s">
        <v>2789</v>
      </c>
      <c r="J854" s="209" t="s">
        <v>2899</v>
      </c>
      <c r="K854" s="128"/>
      <c r="L854" s="207">
        <v>1</v>
      </c>
      <c r="M854" s="207">
        <v>11</v>
      </c>
      <c r="N854" s="303" t="s">
        <v>2900</v>
      </c>
      <c r="O854" s="128"/>
      <c r="P854" s="128"/>
      <c r="Q854" s="128"/>
      <c r="R854" s="128"/>
      <c r="S854" s="128"/>
      <c r="T854" s="128">
        <v>1</v>
      </c>
      <c r="U854" s="128">
        <v>0</v>
      </c>
      <c r="V854" s="128">
        <v>1</v>
      </c>
      <c r="W854" s="128">
        <v>1</v>
      </c>
      <c r="X854" s="128">
        <v>1</v>
      </c>
      <c r="Y854" s="128">
        <v>1</v>
      </c>
      <c r="Z854" s="209" t="s">
        <v>300</v>
      </c>
      <c r="AA854" s="128">
        <v>2</v>
      </c>
      <c r="AB854" s="114">
        <f t="shared" si="261"/>
        <v>1</v>
      </c>
      <c r="AC854" s="114">
        <f t="shared" si="262"/>
        <v>2</v>
      </c>
      <c r="AD854" s="114">
        <f t="shared" si="263"/>
        <v>1</v>
      </c>
      <c r="AE854" s="114">
        <f t="shared" si="264"/>
        <v>7</v>
      </c>
      <c r="AF854" s="209" t="s">
        <v>63</v>
      </c>
      <c r="AG854" s="114">
        <f t="shared" si="265"/>
        <v>0.473684210526316</v>
      </c>
      <c r="AH854" s="114">
        <f t="shared" si="266"/>
        <v>0.576923076923077</v>
      </c>
      <c r="AI854" s="114">
        <f t="shared" si="267"/>
        <v>1.17</v>
      </c>
      <c r="AJ854" s="159">
        <f t="shared" si="268"/>
        <v>1.75844198666824</v>
      </c>
      <c r="AK854" s="160">
        <f t="shared" si="269"/>
        <v>1.75844198666824</v>
      </c>
      <c r="AL854" s="141">
        <f t="shared" si="270"/>
        <v>1.75844198666824</v>
      </c>
      <c r="AM854" s="241">
        <f t="shared" si="271"/>
        <v>135</v>
      </c>
      <c r="AP854" s="128">
        <v>4.36</v>
      </c>
      <c r="AQ854" s="128">
        <v>76</v>
      </c>
      <c r="AR854" s="128">
        <v>1.17</v>
      </c>
      <c r="AS854" s="325">
        <v>28</v>
      </c>
      <c r="AT854" s="326">
        <v>8.1</v>
      </c>
      <c r="AU854" s="128">
        <v>51</v>
      </c>
      <c r="AV854" s="128">
        <v>139</v>
      </c>
      <c r="AW854" s="324"/>
      <c r="AX854" s="128"/>
      <c r="AY854" s="324" t="s">
        <v>2851</v>
      </c>
      <c r="AZ854" s="209" t="s">
        <v>58</v>
      </c>
    </row>
    <row r="855" spans="1:52">
      <c r="A855" s="282" t="s">
        <v>2901</v>
      </c>
      <c r="B855" s="234" t="s">
        <v>48</v>
      </c>
      <c r="C855" s="234">
        <v>35</v>
      </c>
      <c r="D855" s="234">
        <v>1.73</v>
      </c>
      <c r="E855" s="234">
        <v>69</v>
      </c>
      <c r="F855" s="234">
        <f t="shared" si="260"/>
        <v>23.0545624644993</v>
      </c>
      <c r="G855" s="234">
        <v>0</v>
      </c>
      <c r="H855" s="234" t="s">
        <v>2902</v>
      </c>
      <c r="I855" s="119" t="s">
        <v>2903</v>
      </c>
      <c r="J855" s="119" t="s">
        <v>2904</v>
      </c>
      <c r="L855" s="137">
        <v>1</v>
      </c>
      <c r="M855" s="138">
        <v>13</v>
      </c>
      <c r="N855" s="270" t="s">
        <v>2905</v>
      </c>
      <c r="O855" s="117">
        <v>1</v>
      </c>
      <c r="T855" s="117">
        <v>1</v>
      </c>
      <c r="U855" s="117">
        <v>0</v>
      </c>
      <c r="V855" s="117">
        <v>1</v>
      </c>
      <c r="W855" s="117">
        <v>0</v>
      </c>
      <c r="X855" s="117">
        <v>1</v>
      </c>
      <c r="Y855" s="117">
        <v>1</v>
      </c>
      <c r="Z855" s="119" t="s">
        <v>300</v>
      </c>
      <c r="AA855" s="117">
        <v>2</v>
      </c>
      <c r="AB855" s="114">
        <f t="shared" si="261"/>
        <v>1</v>
      </c>
      <c r="AC855" s="114">
        <f t="shared" si="262"/>
        <v>2</v>
      </c>
      <c r="AD855" s="114">
        <f t="shared" si="263"/>
        <v>1</v>
      </c>
      <c r="AE855" s="114">
        <f t="shared" si="264"/>
        <v>7</v>
      </c>
      <c r="AF855" s="119" t="s">
        <v>63</v>
      </c>
      <c r="AG855" s="114">
        <f t="shared" si="265"/>
        <v>0.684210526315789</v>
      </c>
      <c r="AH855" s="114">
        <f t="shared" si="266"/>
        <v>0.328054298642534</v>
      </c>
      <c r="AI855" s="114">
        <f t="shared" si="267"/>
        <v>1.54</v>
      </c>
      <c r="AJ855" s="159">
        <f t="shared" si="268"/>
        <v>4.83596306396602</v>
      </c>
      <c r="AK855" s="160">
        <f t="shared" si="269"/>
        <v>4.83596306396602</v>
      </c>
      <c r="AL855" s="141">
        <f t="shared" si="270"/>
        <v>4.83596306396602</v>
      </c>
      <c r="AM855" s="241">
        <f t="shared" si="271"/>
        <v>135</v>
      </c>
      <c r="AP855" s="117">
        <v>2.84</v>
      </c>
      <c r="AQ855" s="117">
        <v>124</v>
      </c>
      <c r="AR855" s="117">
        <v>1.54</v>
      </c>
      <c r="AS855" s="141">
        <v>33</v>
      </c>
      <c r="AT855" s="142">
        <v>11.7</v>
      </c>
      <c r="AU855" s="117">
        <v>29</v>
      </c>
      <c r="AV855" s="117">
        <v>138</v>
      </c>
      <c r="AW855" s="234">
        <v>1</v>
      </c>
      <c r="AY855" s="234" t="s">
        <v>2530</v>
      </c>
      <c r="AZ855" s="119" t="s">
        <v>2906</v>
      </c>
    </row>
    <row r="856" spans="1:52">
      <c r="A856" s="282" t="s">
        <v>2907</v>
      </c>
      <c r="B856" s="234" t="s">
        <v>48</v>
      </c>
      <c r="C856" s="234">
        <v>60</v>
      </c>
      <c r="D856" s="234">
        <v>1.72</v>
      </c>
      <c r="E856" s="234">
        <v>90</v>
      </c>
      <c r="F856" s="234">
        <f t="shared" si="260"/>
        <v>30.4218496484586</v>
      </c>
      <c r="G856" s="234">
        <v>1</v>
      </c>
      <c r="H856" s="234" t="s">
        <v>2908</v>
      </c>
      <c r="I856" s="119" t="s">
        <v>2909</v>
      </c>
      <c r="J856" s="119" t="s">
        <v>2904</v>
      </c>
      <c r="L856" s="137">
        <v>1</v>
      </c>
      <c r="M856" s="138">
        <v>9</v>
      </c>
      <c r="N856" s="270" t="s">
        <v>2910</v>
      </c>
      <c r="O856" s="117">
        <v>1</v>
      </c>
      <c r="T856" s="117">
        <v>0</v>
      </c>
      <c r="U856" s="117">
        <v>0</v>
      </c>
      <c r="V856" s="117">
        <v>1</v>
      </c>
      <c r="W856" s="117">
        <v>0</v>
      </c>
      <c r="X856" s="117">
        <v>1</v>
      </c>
      <c r="Y856" s="117">
        <v>1</v>
      </c>
      <c r="Z856" s="119" t="s">
        <v>58</v>
      </c>
      <c r="AA856" s="117">
        <v>1</v>
      </c>
      <c r="AB856" s="114">
        <f t="shared" si="261"/>
        <v>1</v>
      </c>
      <c r="AC856" s="114">
        <f t="shared" si="262"/>
        <v>1</v>
      </c>
      <c r="AD856" s="114">
        <f t="shared" si="263"/>
        <v>1</v>
      </c>
      <c r="AE856" s="114">
        <f t="shared" si="264"/>
        <v>5</v>
      </c>
      <c r="AF856" s="119" t="s">
        <v>59</v>
      </c>
      <c r="AG856" s="114">
        <f t="shared" si="265"/>
        <v>0.274853801169591</v>
      </c>
      <c r="AH856" s="114">
        <f t="shared" si="266"/>
        <v>0.972850678733032</v>
      </c>
      <c r="AI856" s="114">
        <f t="shared" si="267"/>
        <v>0.86</v>
      </c>
      <c r="AJ856" s="159">
        <f t="shared" si="268"/>
        <v>0</v>
      </c>
      <c r="AK856" s="160">
        <f t="shared" si="269"/>
        <v>0</v>
      </c>
      <c r="AL856" s="141">
        <f t="shared" si="270"/>
        <v>0</v>
      </c>
      <c r="AM856" s="241">
        <f t="shared" si="271"/>
        <v>135</v>
      </c>
      <c r="AP856" s="117">
        <v>7.24</v>
      </c>
      <c r="AQ856" s="117">
        <v>125</v>
      </c>
      <c r="AR856" s="117">
        <v>0.86</v>
      </c>
      <c r="AS856" s="141">
        <v>39</v>
      </c>
      <c r="AT856" s="142">
        <v>4.7</v>
      </c>
      <c r="AU856" s="117">
        <v>86</v>
      </c>
      <c r="AV856" s="117">
        <v>142</v>
      </c>
      <c r="AW856" s="234">
        <v>7</v>
      </c>
      <c r="AY856" s="234" t="s">
        <v>2520</v>
      </c>
      <c r="AZ856" s="119" t="s">
        <v>2911</v>
      </c>
    </row>
    <row r="857" s="123" customFormat="1" spans="1:52">
      <c r="A857" s="297" t="s">
        <v>2912</v>
      </c>
      <c r="B857" s="238" t="s">
        <v>48</v>
      </c>
      <c r="C857" s="238">
        <v>71</v>
      </c>
      <c r="D857" s="238">
        <v>1.76</v>
      </c>
      <c r="E857" s="238">
        <v>66</v>
      </c>
      <c r="F857" s="238">
        <f t="shared" si="260"/>
        <v>21.3068181818182</v>
      </c>
      <c r="G857" s="238">
        <v>5</v>
      </c>
      <c r="H857" s="238" t="s">
        <v>2913</v>
      </c>
      <c r="I857" s="132" t="s">
        <v>2914</v>
      </c>
      <c r="J857" s="132" t="s">
        <v>2915</v>
      </c>
      <c r="K857" s="123"/>
      <c r="L857" s="178">
        <v>2</v>
      </c>
      <c r="M857" s="178">
        <v>9</v>
      </c>
      <c r="N857" s="254" t="s">
        <v>2916</v>
      </c>
      <c r="O857" s="123"/>
      <c r="P857" s="123"/>
      <c r="Q857" s="123"/>
      <c r="R857" s="123"/>
      <c r="S857" s="123"/>
      <c r="T857" s="123">
        <v>1</v>
      </c>
      <c r="U857" s="123">
        <v>0</v>
      </c>
      <c r="V857" s="123">
        <v>0</v>
      </c>
      <c r="W857" s="123">
        <v>0</v>
      </c>
      <c r="X857" s="123">
        <v>1</v>
      </c>
      <c r="Y857" s="123">
        <v>1</v>
      </c>
      <c r="Z857" s="132" t="s">
        <v>321</v>
      </c>
      <c r="AA857" s="123">
        <v>3</v>
      </c>
      <c r="AB857" s="114">
        <f t="shared" si="261"/>
        <v>1</v>
      </c>
      <c r="AC857" s="114">
        <f t="shared" si="262"/>
        <v>2</v>
      </c>
      <c r="AD857" s="114">
        <f t="shared" si="263"/>
        <v>1</v>
      </c>
      <c r="AE857" s="114">
        <f t="shared" si="264"/>
        <v>8</v>
      </c>
      <c r="AF857" s="132" t="s">
        <v>63</v>
      </c>
      <c r="AG857" s="114">
        <f t="shared" si="265"/>
        <v>0.473684210526316</v>
      </c>
      <c r="AH857" s="114">
        <f t="shared" si="266"/>
        <v>1.41402714932127</v>
      </c>
      <c r="AI857" s="114">
        <f t="shared" si="267"/>
        <v>1.61</v>
      </c>
      <c r="AJ857" s="159">
        <f t="shared" si="268"/>
        <v>8.65966377428292</v>
      </c>
      <c r="AK857" s="160">
        <f t="shared" si="269"/>
        <v>8.65966377428292</v>
      </c>
      <c r="AL857" s="141">
        <f t="shared" si="270"/>
        <v>8.65966377428292</v>
      </c>
      <c r="AM857" s="241">
        <f t="shared" si="271"/>
        <v>135</v>
      </c>
      <c r="AP857" s="123">
        <v>3.45</v>
      </c>
      <c r="AQ857" s="123">
        <v>75</v>
      </c>
      <c r="AR857" s="123">
        <v>1.61</v>
      </c>
      <c r="AS857" s="267">
        <v>29</v>
      </c>
      <c r="AT857" s="268">
        <v>8.1</v>
      </c>
      <c r="AU857" s="123">
        <v>125</v>
      </c>
      <c r="AV857" s="123">
        <v>135</v>
      </c>
      <c r="AW857" s="238">
        <v>0</v>
      </c>
      <c r="AX857" s="123"/>
      <c r="AY857" s="238" t="s">
        <v>2917</v>
      </c>
      <c r="AZ857" s="132" t="s">
        <v>2918</v>
      </c>
    </row>
    <row r="858" s="123" customFormat="1" spans="1:52">
      <c r="A858" s="284" t="s">
        <v>2919</v>
      </c>
      <c r="B858" s="327" t="s">
        <v>53</v>
      </c>
      <c r="C858" s="238">
        <v>73</v>
      </c>
      <c r="D858" s="238">
        <v>1.58</v>
      </c>
      <c r="E858" s="238">
        <v>60</v>
      </c>
      <c r="F858" s="238">
        <f t="shared" si="260"/>
        <v>24.034609838167</v>
      </c>
      <c r="G858" s="238">
        <v>0</v>
      </c>
      <c r="H858" s="238" t="s">
        <v>2920</v>
      </c>
      <c r="I858" s="132" t="s">
        <v>2899</v>
      </c>
      <c r="J858" s="132" t="s">
        <v>2921</v>
      </c>
      <c r="K858" s="123"/>
      <c r="L858" s="178">
        <v>3</v>
      </c>
      <c r="M858" s="178">
        <v>13</v>
      </c>
      <c r="N858" s="254" t="s">
        <v>2922</v>
      </c>
      <c r="O858" s="123"/>
      <c r="P858" s="123"/>
      <c r="Q858" s="123"/>
      <c r="R858" s="123"/>
      <c r="S858" s="123"/>
      <c r="T858" s="123">
        <v>1</v>
      </c>
      <c r="U858" s="123">
        <v>0</v>
      </c>
      <c r="V858" s="123">
        <v>0</v>
      </c>
      <c r="W858" s="123">
        <v>0</v>
      </c>
      <c r="X858" s="123">
        <v>1</v>
      </c>
      <c r="Y858" s="123">
        <v>1</v>
      </c>
      <c r="Z858" s="132" t="s">
        <v>300</v>
      </c>
      <c r="AA858" s="123">
        <v>2</v>
      </c>
      <c r="AB858" s="114">
        <f t="shared" si="261"/>
        <v>1</v>
      </c>
      <c r="AC858" s="114">
        <f t="shared" si="262"/>
        <v>2</v>
      </c>
      <c r="AD858" s="114">
        <f t="shared" si="263"/>
        <v>1</v>
      </c>
      <c r="AE858" s="114">
        <f t="shared" si="264"/>
        <v>7</v>
      </c>
      <c r="AF858" s="132" t="s">
        <v>63</v>
      </c>
      <c r="AG858" s="114">
        <f t="shared" si="265"/>
        <v>1.12280701754386</v>
      </c>
      <c r="AH858" s="114">
        <f t="shared" si="266"/>
        <v>0.554298642533937</v>
      </c>
      <c r="AI858" s="114">
        <f t="shared" si="267"/>
        <v>1.14</v>
      </c>
      <c r="AJ858" s="159">
        <f t="shared" si="268"/>
        <v>1.90767743794719</v>
      </c>
      <c r="AK858" s="160">
        <f t="shared" si="269"/>
        <v>1.90767743794719</v>
      </c>
      <c r="AL858" s="141">
        <f t="shared" si="270"/>
        <v>1.90767743794719</v>
      </c>
      <c r="AM858" s="241">
        <f t="shared" si="271"/>
        <v>135</v>
      </c>
      <c r="AP858" s="123">
        <v>2.29</v>
      </c>
      <c r="AQ858" s="123">
        <v>102</v>
      </c>
      <c r="AR858" s="123">
        <v>1.14</v>
      </c>
      <c r="AS858" s="267">
        <v>35</v>
      </c>
      <c r="AT858" s="268">
        <v>19.2</v>
      </c>
      <c r="AU858" s="123">
        <v>49</v>
      </c>
      <c r="AV858" s="123">
        <v>140</v>
      </c>
      <c r="AW858" s="238">
        <v>0</v>
      </c>
      <c r="AX858" s="123"/>
      <c r="AY858" s="238" t="s">
        <v>2530</v>
      </c>
      <c r="AZ858" s="132" t="s">
        <v>2923</v>
      </c>
    </row>
    <row r="859" s="123" customFormat="1" spans="1:52">
      <c r="A859" s="297" t="s">
        <v>2924</v>
      </c>
      <c r="B859" s="238" t="s">
        <v>53</v>
      </c>
      <c r="C859" s="238">
        <v>62</v>
      </c>
      <c r="D859" s="238">
        <v>1.56</v>
      </c>
      <c r="E859" s="238">
        <v>55</v>
      </c>
      <c r="F859" s="238">
        <f t="shared" si="260"/>
        <v>22.6002629848784</v>
      </c>
      <c r="G859" s="238">
        <v>1</v>
      </c>
      <c r="H859" s="238" t="s">
        <v>2925</v>
      </c>
      <c r="I859" s="132" t="s">
        <v>2926</v>
      </c>
      <c r="J859" s="132" t="s">
        <v>2909</v>
      </c>
      <c r="K859" s="123"/>
      <c r="L859" s="178">
        <v>2</v>
      </c>
      <c r="M859" s="178">
        <v>2</v>
      </c>
      <c r="N859" s="254" t="s">
        <v>2927</v>
      </c>
      <c r="O859" s="123"/>
      <c r="P859" s="123"/>
      <c r="Q859" s="123">
        <v>1</v>
      </c>
      <c r="R859" s="123"/>
      <c r="S859" s="123"/>
      <c r="T859" s="123">
        <v>0</v>
      </c>
      <c r="U859" s="123">
        <v>0</v>
      </c>
      <c r="V859" s="123">
        <v>1</v>
      </c>
      <c r="W859" s="123">
        <v>0</v>
      </c>
      <c r="X859" s="123">
        <v>1</v>
      </c>
      <c r="Y859" s="123">
        <v>1</v>
      </c>
      <c r="Z859" s="132" t="s">
        <v>58</v>
      </c>
      <c r="AA859" s="123">
        <v>1</v>
      </c>
      <c r="AB859" s="114">
        <f t="shared" si="261"/>
        <v>1</v>
      </c>
      <c r="AC859" s="114">
        <f t="shared" si="262"/>
        <v>1</v>
      </c>
      <c r="AD859" s="114">
        <f t="shared" si="263"/>
        <v>1</v>
      </c>
      <c r="AE859" s="114">
        <f t="shared" si="264"/>
        <v>5</v>
      </c>
      <c r="AF859" s="132" t="s">
        <v>59</v>
      </c>
      <c r="AG859" s="114">
        <f t="shared" si="265"/>
        <v>1.16374269005848</v>
      </c>
      <c r="AH859" s="114">
        <f t="shared" si="266"/>
        <v>0.633484162895928</v>
      </c>
      <c r="AI859" s="114">
        <f t="shared" si="267"/>
        <v>1.03</v>
      </c>
      <c r="AJ859" s="159">
        <f t="shared" si="268"/>
        <v>0.907295404348261</v>
      </c>
      <c r="AK859" s="160">
        <f t="shared" si="269"/>
        <v>0.907295404348261</v>
      </c>
      <c r="AL859" s="141">
        <f t="shared" si="270"/>
        <v>0.907295404348261</v>
      </c>
      <c r="AM859" s="241">
        <f t="shared" si="271"/>
        <v>135</v>
      </c>
      <c r="AP859" s="123">
        <v>3.15</v>
      </c>
      <c r="AQ859" s="123">
        <v>109</v>
      </c>
      <c r="AR859" s="123">
        <v>1.03</v>
      </c>
      <c r="AS859" s="267">
        <v>42</v>
      </c>
      <c r="AT859" s="268">
        <v>19.9</v>
      </c>
      <c r="AU859" s="123">
        <v>56</v>
      </c>
      <c r="AV859" s="123">
        <v>143</v>
      </c>
      <c r="AW859" s="238">
        <v>6</v>
      </c>
      <c r="AX859" s="123"/>
      <c r="AY859" s="238" t="s">
        <v>2928</v>
      </c>
      <c r="AZ859" s="132" t="s">
        <v>2929</v>
      </c>
    </row>
    <row r="860" spans="1:52">
      <c r="A860" s="282" t="s">
        <v>2930</v>
      </c>
      <c r="B860" s="234" t="s">
        <v>48</v>
      </c>
      <c r="C860" s="234">
        <v>42</v>
      </c>
      <c r="D860" s="234">
        <v>1.7</v>
      </c>
      <c r="E860" s="234">
        <v>75</v>
      </c>
      <c r="F860" s="234">
        <f t="shared" si="260"/>
        <v>25.9515570934256</v>
      </c>
      <c r="G860" s="234">
        <v>0</v>
      </c>
      <c r="H860" s="234" t="s">
        <v>2882</v>
      </c>
      <c r="I860" s="158">
        <v>45821</v>
      </c>
      <c r="J860" s="158">
        <v>45835</v>
      </c>
      <c r="L860" s="137">
        <v>1</v>
      </c>
      <c r="M860" s="138">
        <v>14</v>
      </c>
      <c r="N860" s="270" t="s">
        <v>2931</v>
      </c>
      <c r="O860" s="117">
        <v>1</v>
      </c>
      <c r="T860" s="117">
        <v>0</v>
      </c>
      <c r="U860" s="117">
        <v>0</v>
      </c>
      <c r="V860" s="117">
        <v>1</v>
      </c>
      <c r="W860" s="117">
        <v>0</v>
      </c>
      <c r="X860" s="117">
        <v>1</v>
      </c>
      <c r="Y860" s="117">
        <v>1</v>
      </c>
      <c r="Z860" s="119" t="s">
        <v>58</v>
      </c>
      <c r="AA860" s="117">
        <v>1</v>
      </c>
      <c r="AB860" s="114">
        <f t="shared" si="261"/>
        <v>1</v>
      </c>
      <c r="AC860" s="114">
        <f t="shared" si="262"/>
        <v>2</v>
      </c>
      <c r="AD860" s="114">
        <f t="shared" si="263"/>
        <v>1</v>
      </c>
      <c r="AE860" s="114">
        <f t="shared" si="264"/>
        <v>6</v>
      </c>
      <c r="AG860" s="114">
        <f t="shared" si="265"/>
        <v>0.725146198830409</v>
      </c>
      <c r="AH860" s="114">
        <f t="shared" si="266"/>
        <v>0.633484162895928</v>
      </c>
      <c r="AI860" s="114">
        <f t="shared" si="267"/>
        <v>1.26</v>
      </c>
      <c r="AJ860" s="159">
        <f t="shared" si="268"/>
        <v>8.98845127478993</v>
      </c>
      <c r="AK860" s="160">
        <f t="shared" si="269"/>
        <v>8.98845127478993</v>
      </c>
      <c r="AL860" s="141">
        <f t="shared" si="270"/>
        <v>8.98845127478993</v>
      </c>
      <c r="AM860" s="241">
        <f t="shared" si="271"/>
        <v>135</v>
      </c>
      <c r="AN860" s="117">
        <v>1</v>
      </c>
      <c r="AP860" s="117">
        <v>4.29</v>
      </c>
      <c r="AQ860" s="117">
        <v>72</v>
      </c>
      <c r="AR860" s="117">
        <v>1.26</v>
      </c>
      <c r="AS860" s="141">
        <v>34</v>
      </c>
      <c r="AT860" s="142">
        <v>12.4</v>
      </c>
      <c r="AU860" s="117">
        <v>56</v>
      </c>
      <c r="AV860" s="117">
        <v>138</v>
      </c>
      <c r="AW860" s="234">
        <v>2</v>
      </c>
      <c r="AY860" s="234"/>
      <c r="AZ860" s="119" t="s">
        <v>2932</v>
      </c>
    </row>
    <row r="861" spans="1:52">
      <c r="A861" s="282" t="s">
        <v>1009</v>
      </c>
      <c r="B861" s="234" t="s">
        <v>53</v>
      </c>
      <c r="C861" s="234">
        <v>58</v>
      </c>
      <c r="D861" s="234">
        <v>1.56</v>
      </c>
      <c r="E861" s="234">
        <v>55</v>
      </c>
      <c r="F861" s="234">
        <f t="shared" si="260"/>
        <v>22.6002629848784</v>
      </c>
      <c r="G861" s="234">
        <v>1</v>
      </c>
      <c r="H861" s="234" t="s">
        <v>2886</v>
      </c>
      <c r="I861" s="158">
        <v>45819</v>
      </c>
      <c r="J861" s="158">
        <v>45835</v>
      </c>
      <c r="L861" s="137">
        <v>7</v>
      </c>
      <c r="M861" s="138">
        <v>16</v>
      </c>
      <c r="N861" s="270" t="s">
        <v>2933</v>
      </c>
      <c r="Q861" s="117">
        <v>1</v>
      </c>
      <c r="T861" s="117">
        <v>1</v>
      </c>
      <c r="U861" s="117">
        <v>0</v>
      </c>
      <c r="V861" s="117">
        <v>1</v>
      </c>
      <c r="W861" s="117">
        <v>0</v>
      </c>
      <c r="X861" s="117">
        <v>1</v>
      </c>
      <c r="Y861" s="117">
        <v>1</v>
      </c>
      <c r="Z861" s="119" t="s">
        <v>1376</v>
      </c>
      <c r="AA861" s="117">
        <v>2</v>
      </c>
      <c r="AB861" s="114">
        <f t="shared" si="261"/>
        <v>1</v>
      </c>
      <c r="AC861" s="114">
        <f t="shared" si="262"/>
        <v>2</v>
      </c>
      <c r="AD861" s="114">
        <f t="shared" si="263"/>
        <v>1</v>
      </c>
      <c r="AE861" s="114">
        <f t="shared" si="264"/>
        <v>7</v>
      </c>
      <c r="AG861" s="114">
        <f t="shared" si="265"/>
        <v>1.52046783625731</v>
      </c>
      <c r="AH861" s="114">
        <f t="shared" si="266"/>
        <v>0.712669683257918</v>
      </c>
      <c r="AI861" s="114">
        <f t="shared" si="267"/>
        <v>1.21</v>
      </c>
      <c r="AJ861" s="159">
        <f t="shared" si="268"/>
        <v>10.1272167107658</v>
      </c>
      <c r="AK861" s="160">
        <f t="shared" si="269"/>
        <v>10.1272167107658</v>
      </c>
      <c r="AL861" s="141">
        <f t="shared" si="270"/>
        <v>10.1272167107658</v>
      </c>
      <c r="AM861" s="241">
        <f t="shared" si="271"/>
        <v>135</v>
      </c>
      <c r="AN861" s="117">
        <v>1</v>
      </c>
      <c r="AP861" s="117">
        <v>2.03</v>
      </c>
      <c r="AQ861" s="117">
        <v>59</v>
      </c>
      <c r="AR861" s="117">
        <v>1.21</v>
      </c>
      <c r="AS861" s="141">
        <v>30</v>
      </c>
      <c r="AT861" s="142">
        <v>26</v>
      </c>
      <c r="AU861" s="117">
        <v>63</v>
      </c>
      <c r="AV861" s="117">
        <v>143</v>
      </c>
      <c r="AW861" s="234">
        <v>3</v>
      </c>
      <c r="AY861" s="234"/>
      <c r="AZ861" s="119" t="s">
        <v>2934</v>
      </c>
    </row>
    <row r="862" spans="1:52">
      <c r="A862" s="282" t="s">
        <v>2935</v>
      </c>
      <c r="B862" s="234" t="s">
        <v>53</v>
      </c>
      <c r="C862" s="234">
        <v>42</v>
      </c>
      <c r="D862" s="234">
        <v>1.6</v>
      </c>
      <c r="E862" s="234">
        <v>46</v>
      </c>
      <c r="F862" s="234">
        <f t="shared" si="260"/>
        <v>17.96875</v>
      </c>
      <c r="G862" s="234">
        <v>3</v>
      </c>
      <c r="H862" s="234" t="s">
        <v>2936</v>
      </c>
      <c r="I862" s="158">
        <v>45826</v>
      </c>
      <c r="J862" s="158">
        <v>45842</v>
      </c>
      <c r="L862" s="137">
        <v>1</v>
      </c>
      <c r="M862" s="138">
        <v>16</v>
      </c>
      <c r="N862" s="270" t="s">
        <v>2937</v>
      </c>
      <c r="S862" s="117">
        <v>1</v>
      </c>
      <c r="T862" s="117">
        <v>1</v>
      </c>
      <c r="U862" s="117">
        <v>0</v>
      </c>
      <c r="V862" s="117">
        <v>1</v>
      </c>
      <c r="W862" s="117">
        <v>0</v>
      </c>
      <c r="X862" s="117">
        <v>1</v>
      </c>
      <c r="Y862" s="117">
        <v>1</v>
      </c>
      <c r="Z862" s="119" t="s">
        <v>2938</v>
      </c>
      <c r="AA862" s="117">
        <v>3</v>
      </c>
      <c r="AB862" s="114">
        <f t="shared" si="261"/>
        <v>1</v>
      </c>
      <c r="AC862" s="114">
        <f t="shared" si="262"/>
        <v>1</v>
      </c>
      <c r="AD862" s="114">
        <f t="shared" si="263"/>
        <v>1</v>
      </c>
      <c r="AE862" s="114">
        <f t="shared" si="264"/>
        <v>7</v>
      </c>
      <c r="AG862" s="114">
        <f t="shared" si="265"/>
        <v>1.16959064327485</v>
      </c>
      <c r="AH862" s="114">
        <f t="shared" si="266"/>
        <v>0.452488687782805</v>
      </c>
      <c r="AI862" s="114">
        <f t="shared" si="267"/>
        <v>1.14</v>
      </c>
      <c r="AJ862" s="159">
        <f t="shared" si="268"/>
        <v>8.46280101712416</v>
      </c>
      <c r="AK862" s="160">
        <f t="shared" si="269"/>
        <v>8.46280101712416</v>
      </c>
      <c r="AL862" s="141">
        <f t="shared" si="270"/>
        <v>8.46280101712416</v>
      </c>
      <c r="AM862" s="241">
        <f t="shared" si="271"/>
        <v>135</v>
      </c>
      <c r="AN862" s="117">
        <v>1</v>
      </c>
      <c r="AP862" s="117">
        <v>3.29</v>
      </c>
      <c r="AQ862" s="117">
        <v>64</v>
      </c>
      <c r="AR862" s="117">
        <v>1.14</v>
      </c>
      <c r="AS862" s="141">
        <v>39</v>
      </c>
      <c r="AT862" s="142">
        <v>20</v>
      </c>
      <c r="AU862" s="117">
        <v>40</v>
      </c>
      <c r="AV862" s="117">
        <v>141</v>
      </c>
      <c r="AW862" s="234">
        <v>0</v>
      </c>
      <c r="AY862" s="234"/>
      <c r="AZ862" s="119" t="s">
        <v>2939</v>
      </c>
    </row>
    <row r="863" spans="1:52">
      <c r="A863" s="282" t="s">
        <v>2940</v>
      </c>
      <c r="B863" s="234" t="s">
        <v>53</v>
      </c>
      <c r="C863" s="234">
        <v>57</v>
      </c>
      <c r="D863" s="234">
        <v>1.65</v>
      </c>
      <c r="E863" s="234">
        <v>74</v>
      </c>
      <c r="F863" s="234">
        <f t="shared" si="260"/>
        <v>27.1808999081726</v>
      </c>
      <c r="G863" s="234">
        <v>0</v>
      </c>
      <c r="H863" s="234" t="s">
        <v>2941</v>
      </c>
      <c r="I863" s="158">
        <v>45828</v>
      </c>
      <c r="J863" s="158">
        <v>45843</v>
      </c>
      <c r="L863" s="137">
        <v>2</v>
      </c>
      <c r="M863" s="138">
        <v>15</v>
      </c>
      <c r="N863" s="270" t="s">
        <v>2942</v>
      </c>
      <c r="Q863" s="119" t="s">
        <v>1083</v>
      </c>
      <c r="R863" s="117">
        <v>1</v>
      </c>
      <c r="T863" s="117">
        <v>0</v>
      </c>
      <c r="U863" s="117">
        <v>0</v>
      </c>
      <c r="V863" s="117">
        <v>1</v>
      </c>
      <c r="W863" s="117">
        <v>0</v>
      </c>
      <c r="X863" s="117">
        <v>1</v>
      </c>
      <c r="Y863" s="117">
        <v>1</v>
      </c>
      <c r="Z863" s="119" t="s">
        <v>58</v>
      </c>
      <c r="AA863" s="117">
        <v>1</v>
      </c>
      <c r="AB863" s="114">
        <f t="shared" si="261"/>
        <v>1</v>
      </c>
      <c r="AC863" s="114">
        <f t="shared" si="262"/>
        <v>2</v>
      </c>
      <c r="AD863" s="114">
        <f t="shared" si="263"/>
        <v>1</v>
      </c>
      <c r="AE863" s="114">
        <f t="shared" si="264"/>
        <v>6</v>
      </c>
      <c r="AG863" s="114">
        <f t="shared" si="265"/>
        <v>1.57309941520468</v>
      </c>
      <c r="AH863" s="114">
        <f t="shared" si="266"/>
        <v>0.418552036199095</v>
      </c>
      <c r="AI863" s="114">
        <f t="shared" si="267"/>
        <v>1.13</v>
      </c>
      <c r="AJ863" s="159">
        <f t="shared" si="268"/>
        <v>3.09041921428847</v>
      </c>
      <c r="AK863" s="160">
        <f t="shared" si="269"/>
        <v>3.09041921428847</v>
      </c>
      <c r="AL863" s="141">
        <f t="shared" si="270"/>
        <v>3.09041921428847</v>
      </c>
      <c r="AM863" s="241">
        <f t="shared" si="271"/>
        <v>135</v>
      </c>
      <c r="AN863" s="117">
        <v>0</v>
      </c>
      <c r="AP863" s="117">
        <v>1.57</v>
      </c>
      <c r="AQ863" s="117">
        <v>46</v>
      </c>
      <c r="AR863" s="117">
        <v>1.13</v>
      </c>
      <c r="AS863" s="141">
        <v>31</v>
      </c>
      <c r="AT863" s="142">
        <v>26.9</v>
      </c>
      <c r="AU863" s="117">
        <v>37</v>
      </c>
      <c r="AV863" s="117">
        <v>141</v>
      </c>
      <c r="AW863" s="234">
        <v>0</v>
      </c>
      <c r="AY863" s="234"/>
      <c r="AZ863" s="119" t="s">
        <v>2943</v>
      </c>
    </row>
    <row r="864" spans="1:52">
      <c r="A864" s="282" t="s">
        <v>2677</v>
      </c>
      <c r="B864" s="234" t="s">
        <v>48</v>
      </c>
      <c r="C864" s="234">
        <v>76</v>
      </c>
      <c r="D864" s="234">
        <v>1.7</v>
      </c>
      <c r="E864" s="234">
        <v>70</v>
      </c>
      <c r="F864" s="234">
        <f t="shared" si="260"/>
        <v>24.2214532871972</v>
      </c>
      <c r="G864" s="234">
        <v>1</v>
      </c>
      <c r="H864" s="234" t="s">
        <v>2944</v>
      </c>
      <c r="I864" s="158">
        <v>45797</v>
      </c>
      <c r="J864" s="158">
        <v>45807</v>
      </c>
      <c r="L864" s="137">
        <v>3</v>
      </c>
      <c r="M864" s="138">
        <v>10</v>
      </c>
      <c r="N864" s="270" t="s">
        <v>2945</v>
      </c>
      <c r="O864" s="117">
        <v>1</v>
      </c>
      <c r="T864" s="117">
        <v>0</v>
      </c>
      <c r="U864" s="119" t="s">
        <v>1083</v>
      </c>
      <c r="V864" s="117">
        <v>1</v>
      </c>
      <c r="W864" s="117">
        <v>0</v>
      </c>
      <c r="X864" s="117">
        <v>1</v>
      </c>
      <c r="Y864" s="119" t="s">
        <v>2946</v>
      </c>
      <c r="Z864" s="119" t="s">
        <v>58</v>
      </c>
      <c r="AA864" s="117">
        <v>1</v>
      </c>
      <c r="AB864" s="114">
        <f t="shared" si="261"/>
        <v>1</v>
      </c>
      <c r="AC864" s="114">
        <f t="shared" si="262"/>
        <v>2</v>
      </c>
      <c r="AD864" s="114">
        <f t="shared" si="263"/>
        <v>1</v>
      </c>
      <c r="AE864" s="114" t="e">
        <f t="shared" si="264"/>
        <v>#VALUE!</v>
      </c>
      <c r="AG864" s="114">
        <f t="shared" si="265"/>
        <v>0.467836257309941</v>
      </c>
      <c r="AH864" s="114">
        <f t="shared" si="266"/>
        <v>1.16515837104072</v>
      </c>
      <c r="AI864" s="114">
        <f t="shared" si="267"/>
        <v>1.16</v>
      </c>
      <c r="AJ864" s="159">
        <f t="shared" si="268"/>
        <v>9.52973143575062</v>
      </c>
      <c r="AK864" s="160">
        <f t="shared" si="269"/>
        <v>9.52973143575062</v>
      </c>
      <c r="AL864" s="141">
        <f t="shared" si="270"/>
        <v>9.52973143575062</v>
      </c>
      <c r="AM864" s="241">
        <f t="shared" si="271"/>
        <v>135</v>
      </c>
      <c r="AN864" s="117">
        <v>1</v>
      </c>
      <c r="AP864" s="117">
        <v>2.93</v>
      </c>
      <c r="AQ864" s="117">
        <v>62</v>
      </c>
      <c r="AR864" s="117">
        <v>1.16</v>
      </c>
      <c r="AS864" s="141">
        <v>31</v>
      </c>
      <c r="AT864" s="142">
        <v>8</v>
      </c>
      <c r="AU864" s="117">
        <v>103</v>
      </c>
      <c r="AV864" s="117">
        <v>136</v>
      </c>
      <c r="AW864" s="234">
        <v>5</v>
      </c>
      <c r="AY864" s="234" t="s">
        <v>2520</v>
      </c>
      <c r="AZ864" s="119" t="s">
        <v>2947</v>
      </c>
    </row>
    <row r="865" spans="1:52">
      <c r="A865" s="282" t="s">
        <v>2948</v>
      </c>
      <c r="B865" s="234" t="s">
        <v>53</v>
      </c>
      <c r="C865" s="234">
        <v>69</v>
      </c>
      <c r="D865" s="234">
        <v>1.56</v>
      </c>
      <c r="E865" s="234">
        <v>58</v>
      </c>
      <c r="F865" s="234">
        <f t="shared" si="260"/>
        <v>23.8330046022354</v>
      </c>
      <c r="G865" s="234">
        <v>3</v>
      </c>
      <c r="H865" s="234" t="s">
        <v>2949</v>
      </c>
      <c r="I865" s="158">
        <v>45852</v>
      </c>
      <c r="J865" s="158">
        <v>45863</v>
      </c>
      <c r="L865" s="137">
        <v>1</v>
      </c>
      <c r="M865" s="138">
        <v>11</v>
      </c>
      <c r="N865" s="270" t="s">
        <v>2950</v>
      </c>
      <c r="R865" s="117">
        <v>1</v>
      </c>
      <c r="T865" s="117">
        <v>1</v>
      </c>
      <c r="U865" s="117">
        <v>0</v>
      </c>
      <c r="V865" s="117">
        <v>0</v>
      </c>
      <c r="W865" s="117">
        <v>0</v>
      </c>
      <c r="X865" s="117">
        <v>1</v>
      </c>
      <c r="Y865" s="117">
        <v>1</v>
      </c>
      <c r="Z865" s="119" t="s">
        <v>300</v>
      </c>
      <c r="AA865" s="117">
        <v>2</v>
      </c>
      <c r="AB865" s="114">
        <f t="shared" si="261"/>
        <v>3</v>
      </c>
      <c r="AC865" s="114">
        <f t="shared" si="262"/>
        <v>3</v>
      </c>
      <c r="AD865" s="114">
        <f t="shared" si="263"/>
        <v>1</v>
      </c>
      <c r="AE865" s="114">
        <f t="shared" si="264"/>
        <v>10</v>
      </c>
      <c r="AG865" s="114">
        <f t="shared" si="265"/>
        <v>6.73099415204678</v>
      </c>
      <c r="AH865" s="114">
        <f t="shared" si="266"/>
        <v>0.690045248868778</v>
      </c>
      <c r="AI865" s="114">
        <f t="shared" si="267"/>
        <v>1.12</v>
      </c>
      <c r="AJ865" s="159">
        <f t="shared" si="268"/>
        <v>8.51482811387148</v>
      </c>
      <c r="AK865" s="160">
        <f t="shared" si="269"/>
        <v>8.51482811387148</v>
      </c>
      <c r="AL865" s="141">
        <f t="shared" si="270"/>
        <v>8.51482811387148</v>
      </c>
      <c r="AM865" s="241">
        <f t="shared" si="271"/>
        <v>135</v>
      </c>
      <c r="AN865" s="117">
        <v>0</v>
      </c>
      <c r="AP865" s="117">
        <v>10.9</v>
      </c>
      <c r="AQ865" s="117">
        <v>90</v>
      </c>
      <c r="AR865" s="117">
        <v>1.12</v>
      </c>
      <c r="AS865" s="141">
        <v>25</v>
      </c>
      <c r="AT865" s="142">
        <v>115.1</v>
      </c>
      <c r="AU865" s="117">
        <v>61</v>
      </c>
      <c r="AV865" s="117">
        <v>136</v>
      </c>
      <c r="AW865" s="234">
        <v>6</v>
      </c>
      <c r="AY865" s="234" t="s">
        <v>2520</v>
      </c>
      <c r="AZ865" s="119" t="s">
        <v>2951</v>
      </c>
    </row>
    <row r="866" s="123" customFormat="1" spans="1:52">
      <c r="A866" s="284" t="s">
        <v>577</v>
      </c>
      <c r="B866" s="238" t="s">
        <v>48</v>
      </c>
      <c r="C866" s="238">
        <v>83</v>
      </c>
      <c r="D866" s="238">
        <v>1.65</v>
      </c>
      <c r="E866" s="238">
        <v>63</v>
      </c>
      <c r="F866" s="238">
        <f t="shared" si="260"/>
        <v>23.1404958677686</v>
      </c>
      <c r="G866" s="238">
        <v>1</v>
      </c>
      <c r="H866" s="238" t="s">
        <v>2952</v>
      </c>
      <c r="I866" s="177">
        <v>45853</v>
      </c>
      <c r="J866" s="177">
        <v>45859</v>
      </c>
      <c r="K866" s="123"/>
      <c r="L866" s="178">
        <v>11</v>
      </c>
      <c r="M866" s="178">
        <v>6</v>
      </c>
      <c r="N866" s="254" t="s">
        <v>2953</v>
      </c>
      <c r="O866" s="123"/>
      <c r="P866" s="123"/>
      <c r="Q866" s="123"/>
      <c r="R866" s="123"/>
      <c r="S866" s="123">
        <v>1</v>
      </c>
      <c r="T866" s="123">
        <v>1</v>
      </c>
      <c r="U866" s="123">
        <v>0</v>
      </c>
      <c r="V866" s="123">
        <v>1</v>
      </c>
      <c r="W866" s="123">
        <v>0</v>
      </c>
      <c r="X866" s="132">
        <v>1</v>
      </c>
      <c r="Y866" s="123">
        <v>1</v>
      </c>
      <c r="Z866" s="132" t="s">
        <v>300</v>
      </c>
      <c r="AA866" s="123">
        <v>2</v>
      </c>
      <c r="AB866" s="114">
        <f t="shared" si="261"/>
        <v>1</v>
      </c>
      <c r="AC866" s="114">
        <f t="shared" si="262"/>
        <v>2</v>
      </c>
      <c r="AD866" s="114">
        <f t="shared" si="263"/>
        <v>1</v>
      </c>
      <c r="AE866" s="114">
        <f t="shared" si="264"/>
        <v>7</v>
      </c>
      <c r="AG866" s="114">
        <f t="shared" si="265"/>
        <v>0.391812865497076</v>
      </c>
      <c r="AH866" s="114">
        <f t="shared" si="266"/>
        <v>0.588235294117647</v>
      </c>
      <c r="AI866" s="114">
        <f t="shared" si="267"/>
        <v>1.18</v>
      </c>
      <c r="AJ866" s="159">
        <f t="shared" si="268"/>
        <v>8.25376171094882</v>
      </c>
      <c r="AK866" s="160">
        <f t="shared" si="269"/>
        <v>8.25376171094882</v>
      </c>
      <c r="AL866" s="141">
        <f t="shared" si="270"/>
        <v>8.25376171094882</v>
      </c>
      <c r="AM866" s="241">
        <f t="shared" si="271"/>
        <v>135</v>
      </c>
      <c r="AN866" s="123">
        <v>1</v>
      </c>
      <c r="AO866" s="123"/>
      <c r="AP866" s="123">
        <v>2.91</v>
      </c>
      <c r="AQ866" s="123">
        <v>120</v>
      </c>
      <c r="AR866" s="123">
        <v>1.18</v>
      </c>
      <c r="AS866" s="267">
        <v>33</v>
      </c>
      <c r="AT866" s="268">
        <v>6.7</v>
      </c>
      <c r="AU866" s="123">
        <v>52</v>
      </c>
      <c r="AV866" s="123">
        <v>137.6</v>
      </c>
      <c r="AW866" s="238">
        <v>8</v>
      </c>
      <c r="AX866" s="123"/>
      <c r="AY866" s="238" t="s">
        <v>2668</v>
      </c>
      <c r="AZ866" s="132" t="s">
        <v>2954</v>
      </c>
    </row>
    <row r="867" spans="1:52">
      <c r="A867" s="119" t="s">
        <v>2955</v>
      </c>
      <c r="B867" s="117" t="s">
        <v>48</v>
      </c>
      <c r="C867" s="117">
        <v>69</v>
      </c>
      <c r="D867" s="117">
        <v>1.64</v>
      </c>
      <c r="E867" s="117">
        <v>78</v>
      </c>
      <c r="F867" s="117">
        <f>E867/(D867*D867)</f>
        <v>29.0005948839976</v>
      </c>
      <c r="G867">
        <v>0</v>
      </c>
      <c r="H867" s="119" t="s">
        <v>2956</v>
      </c>
      <c r="I867" s="158">
        <v>45919</v>
      </c>
      <c r="J867" s="158">
        <v>45936</v>
      </c>
      <c r="L867" s="137">
        <v>1</v>
      </c>
      <c r="M867" s="138">
        <v>17</v>
      </c>
      <c r="N867" s="270" t="s">
        <v>2957</v>
      </c>
      <c r="P867" s="119" t="s">
        <v>1083</v>
      </c>
      <c r="T867" s="117">
        <v>0</v>
      </c>
      <c r="U867" s="117">
        <v>0</v>
      </c>
      <c r="V867" s="117">
        <v>0</v>
      </c>
      <c r="W867" s="117">
        <v>0</v>
      </c>
      <c r="X867" s="117">
        <v>0</v>
      </c>
      <c r="Y867" s="117">
        <v>2</v>
      </c>
      <c r="Z867" s="119" t="s">
        <v>58</v>
      </c>
      <c r="AA867" s="117">
        <v>1</v>
      </c>
      <c r="AB867" s="114">
        <f>_xlfn.IFS(AT867&gt;51,3,AT867&gt;=34,2,AT867&lt;34,1)</f>
        <v>1</v>
      </c>
      <c r="AC867" s="114">
        <f>_xlfn.IFS(AS867&gt;35,1,AS867&gt;=28,2,AS867&lt;28,3)</f>
        <v>1</v>
      </c>
      <c r="AD867" s="114">
        <f>_xlfn.IFS(AR867&gt;2.3,3,AR867&gt;=1.7,2,AR867&lt;1.7,1)</f>
        <v>1</v>
      </c>
      <c r="AE867" s="114">
        <f>Y867+AA867+AB867+AC867+AD867</f>
        <v>6</v>
      </c>
      <c r="AG867" s="114">
        <f>AT867/17.1</f>
        <v>1.35672514619883</v>
      </c>
      <c r="AH867" s="114">
        <f>AU867/88.4</f>
        <v>0.780542986425339</v>
      </c>
      <c r="AI867" s="114">
        <f>AR867</f>
        <v>1.24</v>
      </c>
      <c r="AJ867" s="159" t="e">
        <f>LN(IF(AG867&gt;=1,AG867,1))*3.8+LN(IF(AH867&gt;=1,AH867,1))*9.6+11.2*LN(IF(AI867&gt;=1,AI867,1))+6.4*AN867</f>
        <v>#VALUE!</v>
      </c>
      <c r="AK867" s="160" t="e">
        <f>IF(AND(AG867&gt;0,AH867&gt;0,AI867&gt;0),AJ867,"")</f>
        <v>#VALUE!</v>
      </c>
      <c r="AL867" s="141" t="e">
        <f>AK867+1.59*(135-AM867)</f>
        <v>#VALUE!</v>
      </c>
      <c r="AM867" s="241">
        <f>IF(AV867&gt;135,135,IF(AV867&lt;120,120,AV867))</f>
        <v>135</v>
      </c>
      <c r="AN867" s="119" t="s">
        <v>2958</v>
      </c>
      <c r="AP867" s="117">
        <v>3.14</v>
      </c>
      <c r="AQ867" s="117">
        <v>151</v>
      </c>
      <c r="AR867" s="117">
        <v>1.24</v>
      </c>
      <c r="AS867" s="141">
        <v>38</v>
      </c>
      <c r="AT867" s="142">
        <v>23.2</v>
      </c>
      <c r="AU867" s="117">
        <v>69</v>
      </c>
      <c r="AV867" s="117">
        <v>144</v>
      </c>
      <c r="AW867" s="234">
        <v>6</v>
      </c>
      <c r="AX867" s="234">
        <v>75</v>
      </c>
      <c r="AZ867" s="119" t="s">
        <v>2959</v>
      </c>
    </row>
    <row r="868" spans="1:52">
      <c r="A868" s="119" t="s">
        <v>2960</v>
      </c>
      <c r="B868" s="117" t="s">
        <v>53</v>
      </c>
      <c r="C868" s="117">
        <v>71</v>
      </c>
      <c r="D868" s="117">
        <v>1.52</v>
      </c>
      <c r="E868" s="117">
        <v>48</v>
      </c>
      <c r="F868" s="117">
        <f>E868/(D868*D868)</f>
        <v>20.7756232686981</v>
      </c>
      <c r="G868">
        <v>0</v>
      </c>
      <c r="H868" s="119" t="s">
        <v>2961</v>
      </c>
      <c r="I868" s="158">
        <v>45918</v>
      </c>
      <c r="J868" s="158">
        <v>45928</v>
      </c>
      <c r="L868" s="137">
        <v>1</v>
      </c>
      <c r="M868" s="138">
        <v>10</v>
      </c>
      <c r="N868" s="270" t="s">
        <v>2962</v>
      </c>
      <c r="R868" s="117">
        <v>1</v>
      </c>
      <c r="T868" s="117">
        <v>0</v>
      </c>
      <c r="U868" s="117">
        <v>0</v>
      </c>
      <c r="V868" s="117">
        <v>1</v>
      </c>
      <c r="W868" s="117">
        <v>0</v>
      </c>
      <c r="X868" s="117">
        <v>1</v>
      </c>
      <c r="Y868" s="117">
        <v>2</v>
      </c>
      <c r="Z868" s="119" t="s">
        <v>58</v>
      </c>
      <c r="AA868" s="117">
        <v>1</v>
      </c>
      <c r="AB868" s="114">
        <f>_xlfn.IFS(AT868&gt;51,3,AT868&gt;=34,2,AT868&lt;34,1)</f>
        <v>1</v>
      </c>
      <c r="AC868" s="114">
        <f>_xlfn.IFS(AS868&gt;35,1,AS868&gt;=28,2,AS868&lt;28,3)</f>
        <v>1</v>
      </c>
      <c r="AD868" s="114">
        <f>_xlfn.IFS(AR868&gt;2.3,3,AR868&gt;=1.7,2,AR868&lt;1.7,1)</f>
        <v>1</v>
      </c>
      <c r="AE868" s="114">
        <f>Y868+AA868+AB868+AC868+AD868</f>
        <v>6</v>
      </c>
      <c r="AG868" s="114">
        <f>AT868/17.1</f>
        <v>0.701754385964912</v>
      </c>
      <c r="AH868" s="114">
        <f>AU868/88.4</f>
        <v>0.656108597285068</v>
      </c>
      <c r="AI868" s="114">
        <f>AR868</f>
        <v>1.03</v>
      </c>
      <c r="AJ868" s="159">
        <f>LN(IF(AG868&gt;=1,AG868,1))*3.8+LN(IF(AH868&gt;=1,AH868,1))*9.6+11.2*LN(IF(AI868&gt;=1,AI868,1))+6.4*AN868</f>
        <v>0.331058585105298</v>
      </c>
      <c r="AK868" s="160">
        <f>IF(AND(AG868&gt;0,AH868&gt;0,AI868&gt;0),AJ868,"")</f>
        <v>0.331058585105298</v>
      </c>
      <c r="AL868" s="141">
        <f>AK868+1.59*(135-AM868)</f>
        <v>0.331058585105298</v>
      </c>
      <c r="AM868" s="241">
        <f>IF(AV868&gt;135,135,IF(AV868&lt;120,120,AV868))</f>
        <v>135</v>
      </c>
      <c r="AN868" s="117">
        <v>0</v>
      </c>
      <c r="AP868" s="117">
        <v>4.63</v>
      </c>
      <c r="AQ868" s="117">
        <v>131</v>
      </c>
      <c r="AR868" s="117">
        <v>1.03</v>
      </c>
      <c r="AS868" s="141">
        <v>38</v>
      </c>
      <c r="AT868" s="142">
        <v>12</v>
      </c>
      <c r="AU868" s="117">
        <v>58</v>
      </c>
      <c r="AV868" s="117">
        <v>145</v>
      </c>
      <c r="AW868" s="234">
        <v>4</v>
      </c>
      <c r="AX868" s="234">
        <v>60</v>
      </c>
      <c r="AZ868" s="119" t="s">
        <v>2963</v>
      </c>
    </row>
    <row r="869" spans="1:52">
      <c r="A869" s="119" t="s">
        <v>2964</v>
      </c>
      <c r="B869" s="117" t="s">
        <v>53</v>
      </c>
      <c r="C869" s="117">
        <v>71</v>
      </c>
      <c r="D869" s="117">
        <v>1.5</v>
      </c>
      <c r="E869" s="117">
        <v>56</v>
      </c>
      <c r="F869" s="117">
        <f>E869/(D869*D869)</f>
        <v>24.8888888888889</v>
      </c>
      <c r="G869">
        <v>3</v>
      </c>
      <c r="H869" s="119" t="s">
        <v>2956</v>
      </c>
      <c r="I869" s="158">
        <v>45920</v>
      </c>
      <c r="J869" s="158">
        <v>45932</v>
      </c>
      <c r="L869" s="137">
        <v>1</v>
      </c>
      <c r="M869" s="138">
        <v>12</v>
      </c>
      <c r="N869" s="270" t="s">
        <v>2965</v>
      </c>
      <c r="S869" s="117">
        <v>1</v>
      </c>
      <c r="T869" s="117">
        <v>0</v>
      </c>
      <c r="U869" s="119" t="s">
        <v>1083</v>
      </c>
      <c r="V869" s="117">
        <v>1</v>
      </c>
      <c r="W869" s="117">
        <v>0</v>
      </c>
      <c r="X869" s="117">
        <v>0</v>
      </c>
      <c r="Y869" s="119" t="s">
        <v>1083</v>
      </c>
      <c r="Z869" s="119" t="s">
        <v>58</v>
      </c>
      <c r="AA869" s="117">
        <v>1</v>
      </c>
      <c r="AB869" s="114">
        <f>_xlfn.IFS(AT869&gt;51,3,AT869&gt;=34,2,AT869&lt;34,1)</f>
        <v>1</v>
      </c>
      <c r="AC869" s="114">
        <f>_xlfn.IFS(AS869&gt;35,1,AS869&gt;=28,2,AS869&lt;28,3)</f>
        <v>2</v>
      </c>
      <c r="AD869" s="114">
        <f>_xlfn.IFS(AR869&gt;2.3,3,AR869&gt;=1.7,2,AR869&lt;1.7,1)</f>
        <v>1</v>
      </c>
      <c r="AE869" s="114" t="e">
        <f>Y869+AA869+AB869+AC869+AD869</f>
        <v>#VALUE!</v>
      </c>
      <c r="AG869" s="114">
        <f>AT869/17.1</f>
        <v>0.941520467836257</v>
      </c>
      <c r="AH869" s="114">
        <f>AU869/88.4</f>
        <v>0.407239819004525</v>
      </c>
      <c r="AI869" s="114">
        <f>AR869</f>
        <v>1.23</v>
      </c>
      <c r="AJ869" s="159">
        <f>LN(IF(AG869&gt;=1,AG869,1))*3.8+LN(IF(AH869&gt;=1,AH869,1))*9.6+11.2*LN(IF(AI869&gt;=1,AI869,1))+6.4*AN869</f>
        <v>8.71855869710445</v>
      </c>
      <c r="AK869" s="160">
        <f>IF(AND(AG869&gt;0,AH869&gt;0,AI869&gt;0),AJ869,"")</f>
        <v>8.71855869710445</v>
      </c>
      <c r="AL869" s="141">
        <f>AK869+1.59*(135-AM869)</f>
        <v>8.71855869710445</v>
      </c>
      <c r="AM869" s="241">
        <f>IF(AV869&gt;135,135,IF(AV869&lt;120,120,AV869))</f>
        <v>135</v>
      </c>
      <c r="AN869" s="117">
        <v>1</v>
      </c>
      <c r="AP869" s="117">
        <v>3.7</v>
      </c>
      <c r="AQ869" s="117">
        <v>55</v>
      </c>
      <c r="AR869" s="117">
        <v>1.23</v>
      </c>
      <c r="AS869" s="141">
        <v>32</v>
      </c>
      <c r="AT869" s="142">
        <v>16.1</v>
      </c>
      <c r="AU869" s="117">
        <v>36</v>
      </c>
      <c r="AV869" s="117">
        <v>146</v>
      </c>
      <c r="AW869" s="234">
        <v>16</v>
      </c>
      <c r="AX869" s="234">
        <v>60</v>
      </c>
      <c r="AZ869" s="119" t="s">
        <v>2966</v>
      </c>
    </row>
    <row r="870" spans="1:52">
      <c r="A870" s="119" t="s">
        <v>2967</v>
      </c>
      <c r="B870" s="117" t="s">
        <v>53</v>
      </c>
      <c r="C870" s="117">
        <v>73</v>
      </c>
      <c r="D870" s="117">
        <v>1.6</v>
      </c>
      <c r="E870" s="117">
        <v>53</v>
      </c>
      <c r="F870" s="117">
        <f>E870/(D870*D870)</f>
        <v>20.703125</v>
      </c>
      <c r="G870">
        <v>0</v>
      </c>
      <c r="H870" s="119" t="s">
        <v>2968</v>
      </c>
      <c r="I870" s="158">
        <v>45897</v>
      </c>
      <c r="J870" s="158">
        <v>45905</v>
      </c>
      <c r="L870" s="137">
        <v>1</v>
      </c>
      <c r="M870" s="138">
        <v>8</v>
      </c>
      <c r="N870" s="270" t="s">
        <v>2969</v>
      </c>
      <c r="Q870" s="119" t="s">
        <v>1083</v>
      </c>
      <c r="R870" s="117">
        <v>1</v>
      </c>
      <c r="T870" s="117">
        <v>0</v>
      </c>
      <c r="U870" s="117">
        <v>0</v>
      </c>
      <c r="V870" s="117">
        <v>1</v>
      </c>
      <c r="W870" s="117">
        <v>0</v>
      </c>
      <c r="X870" s="117">
        <v>0</v>
      </c>
      <c r="Y870" s="117">
        <v>2</v>
      </c>
      <c r="Z870" s="119" t="s">
        <v>58</v>
      </c>
      <c r="AA870" s="117">
        <v>1</v>
      </c>
      <c r="AB870" s="114">
        <f>_xlfn.IFS(AT870&gt;51,3,AT870&gt;=34,2,AT870&lt;34,1)</f>
        <v>1</v>
      </c>
      <c r="AC870" s="114">
        <f>_xlfn.IFS(AS870&gt;35,1,AS870&gt;=28,2,AS870&lt;28,3)</f>
        <v>2</v>
      </c>
      <c r="AD870" s="114">
        <f>_xlfn.IFS(AR870&gt;2.3,3,AR870&gt;=1.7,2,AR870&lt;1.7,1)</f>
        <v>1</v>
      </c>
      <c r="AE870" s="114">
        <f>Y870+AA870+AB870+AC870+AD870</f>
        <v>7</v>
      </c>
      <c r="AG870" s="114">
        <f>AT870/17.1</f>
        <v>1.0233918128655</v>
      </c>
      <c r="AH870" s="114">
        <f>AU870/88.4</f>
        <v>0.735294117647059</v>
      </c>
      <c r="AI870" s="114">
        <f>AR870</f>
        <v>1</v>
      </c>
      <c r="AJ870" s="159">
        <f>LN(IF(AG870&gt;=1,AG870,1))*3.8+LN(IF(AH870&gt;=1,AH870,1))*9.6+11.2*LN(IF(AI870&gt;=1,AI870,1))+6.4*AN870</f>
        <v>6.48786518619925</v>
      </c>
      <c r="AK870" s="160">
        <f>IF(AND(AG870&gt;0,AH870&gt;0,AI870&gt;0),AJ870,"")</f>
        <v>6.48786518619925</v>
      </c>
      <c r="AL870" s="141">
        <f>AK870+1.59*(135-AM870)</f>
        <v>6.48786518619925</v>
      </c>
      <c r="AM870" s="241">
        <f>IF(AV870&gt;135,135,IF(AV870&lt;120,120,AV870))</f>
        <v>135</v>
      </c>
      <c r="AN870" s="117">
        <v>1</v>
      </c>
      <c r="AP870" s="117">
        <v>2.78</v>
      </c>
      <c r="AQ870" s="117">
        <v>91</v>
      </c>
      <c r="AR870" s="117">
        <v>1</v>
      </c>
      <c r="AS870" s="141">
        <v>31</v>
      </c>
      <c r="AT870" s="142">
        <v>17.5</v>
      </c>
      <c r="AU870" s="117">
        <v>65</v>
      </c>
      <c r="AV870" s="117">
        <v>143</v>
      </c>
      <c r="AW870" s="234">
        <v>7</v>
      </c>
      <c r="AX870" s="234">
        <v>50</v>
      </c>
      <c r="AZ870" s="119" t="s">
        <v>2970</v>
      </c>
    </row>
    <row r="871" spans="1:52">
      <c r="A871" s="119" t="s">
        <v>2971</v>
      </c>
      <c r="B871" s="117" t="s">
        <v>48</v>
      </c>
      <c r="C871" s="117">
        <v>69</v>
      </c>
      <c r="D871" s="117">
        <v>1.68</v>
      </c>
      <c r="E871" s="117">
        <v>75</v>
      </c>
      <c r="F871" s="117">
        <f>E871/(D871*D871)</f>
        <v>26.5731292517007</v>
      </c>
      <c r="G871">
        <v>1</v>
      </c>
      <c r="H871" s="119" t="s">
        <v>2968</v>
      </c>
      <c r="I871" s="158">
        <v>45898</v>
      </c>
      <c r="J871" s="158">
        <v>45908</v>
      </c>
      <c r="L871" s="137">
        <v>1</v>
      </c>
      <c r="M871" s="138">
        <v>10</v>
      </c>
      <c r="N871" s="270" t="s">
        <v>2972</v>
      </c>
      <c r="S871" s="117">
        <v>1</v>
      </c>
      <c r="T871" s="117">
        <v>0</v>
      </c>
      <c r="U871" s="117">
        <v>0</v>
      </c>
      <c r="V871" s="117">
        <v>0</v>
      </c>
      <c r="W871" s="117">
        <v>0</v>
      </c>
      <c r="X871" s="117">
        <v>0</v>
      </c>
      <c r="Y871" s="117">
        <v>2</v>
      </c>
      <c r="Z871" s="119" t="s">
        <v>58</v>
      </c>
      <c r="AA871" s="117">
        <v>1</v>
      </c>
      <c r="AB871" s="114">
        <f>_xlfn.IFS(AT871&gt;51,3,AT871&gt;=34,2,AT871&lt;34,1)</f>
        <v>1</v>
      </c>
      <c r="AC871" s="114">
        <f>_xlfn.IFS(AS871&gt;35,1,AS871&gt;=28,2,AS871&lt;28,3)</f>
        <v>3</v>
      </c>
      <c r="AD871" s="114">
        <f>_xlfn.IFS(AR871&gt;2.3,3,AR871&gt;=1.7,2,AR871&lt;1.7,1)</f>
        <v>2</v>
      </c>
      <c r="AE871" s="114">
        <f>Y871+AA871+AB871+AC871+AD871</f>
        <v>9</v>
      </c>
      <c r="AG871" s="114">
        <f>AT871/17.1</f>
        <v>1.88888888888889</v>
      </c>
      <c r="AH871" s="114">
        <f>AU871/88.4</f>
        <v>0.927601809954751</v>
      </c>
      <c r="AI871" s="114">
        <f>AR871</f>
        <v>2.21</v>
      </c>
      <c r="AJ871" s="159">
        <f>LN(IF(AG871&gt;=1,AG871,1))*3.8+LN(IF(AH871&gt;=1,AH871,1))*9.6+11.2*LN(IF(AI871&gt;=1,AI871,1))+6.4*AN871</f>
        <v>17.6982734874682</v>
      </c>
      <c r="AK871" s="160">
        <f>IF(AND(AG871&gt;0,AH871&gt;0,AI871&gt;0),AJ871,"")</f>
        <v>17.6982734874682</v>
      </c>
      <c r="AL871" s="141">
        <f>AK871+1.59*(135-AM871)</f>
        <v>22.4682734874682</v>
      </c>
      <c r="AM871" s="241">
        <f>IF(AV871&gt;135,135,IF(AV871&lt;120,120,AV871))</f>
        <v>132</v>
      </c>
      <c r="AN871" s="117">
        <v>1</v>
      </c>
      <c r="AP871" s="117">
        <v>10.61</v>
      </c>
      <c r="AQ871" s="117">
        <v>98</v>
      </c>
      <c r="AR871" s="117">
        <v>2.21</v>
      </c>
      <c r="AS871" s="141">
        <v>26</v>
      </c>
      <c r="AT871" s="142">
        <v>32.3</v>
      </c>
      <c r="AU871" s="117">
        <v>82</v>
      </c>
      <c r="AV871" s="117">
        <v>132</v>
      </c>
      <c r="AW871" s="234">
        <v>5</v>
      </c>
      <c r="AX871" s="234">
        <v>60</v>
      </c>
      <c r="AZ871" s="119" t="s">
        <v>58</v>
      </c>
    </row>
    <row r="872" spans="1:52">
      <c r="A872" s="119" t="s">
        <v>2973</v>
      </c>
      <c r="B872" s="117" t="s">
        <v>48</v>
      </c>
      <c r="C872" s="117">
        <v>69</v>
      </c>
      <c r="D872" s="117">
        <v>1.7</v>
      </c>
      <c r="E872" s="117">
        <v>80</v>
      </c>
      <c r="F872" s="117">
        <f>E872/(D872*D872)</f>
        <v>27.681660899654</v>
      </c>
      <c r="G872">
        <v>2</v>
      </c>
      <c r="H872" s="315" t="s">
        <v>2974</v>
      </c>
      <c r="I872" s="158">
        <v>45913</v>
      </c>
      <c r="J872" s="158">
        <v>45919</v>
      </c>
      <c r="L872" s="137">
        <v>1</v>
      </c>
      <c r="M872" s="138">
        <v>6</v>
      </c>
      <c r="N872" s="270" t="s">
        <v>2975</v>
      </c>
      <c r="O872" s="117">
        <v>1</v>
      </c>
      <c r="T872" s="117">
        <v>1</v>
      </c>
      <c r="U872" s="119" t="s">
        <v>1083</v>
      </c>
      <c r="V872" s="117">
        <v>1</v>
      </c>
      <c r="W872" s="117">
        <v>0</v>
      </c>
      <c r="X872" s="117">
        <v>1</v>
      </c>
      <c r="Y872" s="119" t="s">
        <v>2946</v>
      </c>
      <c r="Z872" s="119" t="s">
        <v>1752</v>
      </c>
      <c r="AA872" s="117">
        <v>3</v>
      </c>
      <c r="AB872" s="114">
        <f>_xlfn.IFS(AT872&gt;51,3,AT872&gt;=34,2,AT872&lt;34,1)</f>
        <v>1</v>
      </c>
      <c r="AC872" s="114">
        <f>_xlfn.IFS(AS872&gt;35,1,AS872&gt;=28,2,AS872&lt;28,3)</f>
        <v>3</v>
      </c>
      <c r="AD872" s="114">
        <f>_xlfn.IFS(AR872&gt;2.3,3,AR872&gt;=1.7,2,AR872&lt;1.7,1)</f>
        <v>1</v>
      </c>
      <c r="AE872" s="114" t="e">
        <f>Y872+AA872+AB872+AC872+AD872</f>
        <v>#VALUE!</v>
      </c>
      <c r="AG872" s="114">
        <f>AT872/17.1</f>
        <v>1.59649122807018</v>
      </c>
      <c r="AH872" s="114">
        <f>AU872/88.4</f>
        <v>0.84841628959276</v>
      </c>
      <c r="AI872" s="114">
        <f>AR872</f>
        <v>1.16</v>
      </c>
      <c r="AJ872" s="159">
        <f>LN(IF(AG872&gt;=1,AG872,1))*3.8+LN(IF(AH872&gt;=1,AH872,1))*9.6+11.2*LN(IF(AI872&gt;=1,AI872,1))+6.4*AN872</f>
        <v>9.8399753643174</v>
      </c>
      <c r="AK872" s="160">
        <f>IF(AND(AG872&gt;0,AH872&gt;0,AI872&gt;0),AJ872,"")</f>
        <v>9.8399753643174</v>
      </c>
      <c r="AL872" s="141">
        <f>AK872+1.59*(135-AM872)</f>
        <v>9.8399753643174</v>
      </c>
      <c r="AM872" s="241">
        <f>IF(AV872&gt;135,135,IF(AV872&lt;120,120,AV872))</f>
        <v>135</v>
      </c>
      <c r="AN872" s="117">
        <v>1</v>
      </c>
      <c r="AP872" s="117">
        <v>4.43</v>
      </c>
      <c r="AQ872" s="117">
        <v>101</v>
      </c>
      <c r="AR872" s="117">
        <v>1.16</v>
      </c>
      <c r="AS872" s="141">
        <v>26</v>
      </c>
      <c r="AT872" s="142">
        <v>27.3</v>
      </c>
      <c r="AU872" s="117">
        <v>75</v>
      </c>
      <c r="AV872" s="117">
        <v>137</v>
      </c>
      <c r="AW872" s="234">
        <v>6</v>
      </c>
      <c r="AX872" s="234">
        <v>70</v>
      </c>
      <c r="AZ872" s="119" t="s">
        <v>2976</v>
      </c>
    </row>
    <row r="873" spans="1:52">
      <c r="A873" s="119" t="s">
        <v>2977</v>
      </c>
      <c r="B873" s="117" t="s">
        <v>53</v>
      </c>
      <c r="C873" s="117">
        <v>68</v>
      </c>
      <c r="D873" s="117">
        <v>1.58</v>
      </c>
      <c r="E873" s="117">
        <v>90</v>
      </c>
      <c r="F873" s="117">
        <f>E873/(D873*D873)</f>
        <v>36.0519147572504</v>
      </c>
      <c r="G873">
        <v>1</v>
      </c>
      <c r="H873" s="119" t="s">
        <v>2956</v>
      </c>
      <c r="I873" s="158">
        <v>45919</v>
      </c>
      <c r="J873" s="158">
        <v>45927</v>
      </c>
      <c r="L873" s="137">
        <v>4</v>
      </c>
      <c r="M873" s="138">
        <v>8</v>
      </c>
      <c r="N873" s="270" t="s">
        <v>2978</v>
      </c>
      <c r="Q873" s="119" t="s">
        <v>1083</v>
      </c>
      <c r="R873" s="117">
        <v>1</v>
      </c>
      <c r="T873" s="117">
        <v>1</v>
      </c>
      <c r="U873" s="117">
        <v>0</v>
      </c>
      <c r="V873" s="117">
        <v>1</v>
      </c>
      <c r="W873" s="117">
        <v>0</v>
      </c>
      <c r="X873" s="117">
        <v>1</v>
      </c>
      <c r="Y873" s="117">
        <v>1</v>
      </c>
      <c r="Z873" s="119" t="s">
        <v>300</v>
      </c>
      <c r="AA873" s="117">
        <v>2</v>
      </c>
      <c r="AB873" s="114">
        <f>_xlfn.IFS(AT873&gt;51,3,AT873&gt;=34,2,AT873&lt;34,1)</f>
        <v>1</v>
      </c>
      <c r="AC873" s="114">
        <f>_xlfn.IFS(AS873&gt;35,1,AS873&gt;=28,2,AS873&lt;28,3)</f>
        <v>2</v>
      </c>
      <c r="AD873" s="114">
        <f>_xlfn.IFS(AR873&gt;2.3,3,AR873&gt;=1.7,2,AR873&lt;1.7,1)</f>
        <v>1</v>
      </c>
      <c r="AE873" s="114">
        <f>Y873+AA873+AB873+AC873+AD873</f>
        <v>7</v>
      </c>
      <c r="AG873" s="114">
        <f>AT873/17.1</f>
        <v>1.09356725146199</v>
      </c>
      <c r="AH873" s="114">
        <f>AU873/88.4</f>
        <v>0.701357466063348</v>
      </c>
      <c r="AI873" s="114">
        <f>AR873</f>
        <v>1.44</v>
      </c>
      <c r="AJ873" s="159">
        <f>LN(IF(AG873&gt;=1,AG873,1))*3.8+LN(IF(AH873&gt;=1,AH873,1))*9.6+11.2*LN(IF(AI873&gt;=1,AI873,1))+6.4*AN873</f>
        <v>4.4238941015219</v>
      </c>
      <c r="AK873" s="160">
        <f>IF(AND(AG873&gt;0,AH873&gt;0,AI873&gt;0),AJ873,"")</f>
        <v>4.4238941015219</v>
      </c>
      <c r="AL873" s="141">
        <f>AK873+1.59*(135-AM873)</f>
        <v>4.4238941015219</v>
      </c>
      <c r="AM873" s="241">
        <f>IF(AV873&gt;135,135,IF(AV873&lt;120,120,AV873))</f>
        <v>135</v>
      </c>
      <c r="AN873" s="117">
        <v>0</v>
      </c>
      <c r="AP873" s="117">
        <v>5.58</v>
      </c>
      <c r="AQ873" s="117">
        <v>56</v>
      </c>
      <c r="AR873" s="117">
        <v>1.44</v>
      </c>
      <c r="AS873" s="141">
        <v>32</v>
      </c>
      <c r="AT873" s="142">
        <v>18.7</v>
      </c>
      <c r="AU873" s="117">
        <v>62</v>
      </c>
      <c r="AV873" s="117">
        <v>137</v>
      </c>
      <c r="AW873" s="234">
        <v>0</v>
      </c>
      <c r="AX873" s="234">
        <v>50</v>
      </c>
      <c r="AZ873" s="119" t="s">
        <v>2979</v>
      </c>
    </row>
    <row r="874" spans="1:52">
      <c r="A874" s="119" t="s">
        <v>2084</v>
      </c>
      <c r="B874" s="117" t="s">
        <v>48</v>
      </c>
      <c r="C874" s="117">
        <v>72</v>
      </c>
      <c r="D874" s="117">
        <v>1.76</v>
      </c>
      <c r="E874" s="117">
        <v>55</v>
      </c>
      <c r="F874" s="117">
        <f>E874/(D874*D874)</f>
        <v>17.7556818181818</v>
      </c>
      <c r="G874">
        <v>2</v>
      </c>
      <c r="H874" s="119" t="s">
        <v>2968</v>
      </c>
      <c r="I874" s="158">
        <v>45898</v>
      </c>
      <c r="J874" s="158">
        <v>45913</v>
      </c>
      <c r="L874" s="137">
        <v>5</v>
      </c>
      <c r="M874" s="138">
        <v>15</v>
      </c>
      <c r="N874" s="270" t="s">
        <v>2980</v>
      </c>
      <c r="Q874" s="117">
        <v>1</v>
      </c>
      <c r="R874" s="117">
        <v>1</v>
      </c>
      <c r="T874" s="117">
        <v>1</v>
      </c>
      <c r="U874" s="117">
        <v>0</v>
      </c>
      <c r="V874" s="117">
        <v>1</v>
      </c>
      <c r="W874" s="117">
        <v>0</v>
      </c>
      <c r="X874" s="117">
        <v>1</v>
      </c>
      <c r="Y874" s="117">
        <v>1</v>
      </c>
      <c r="Z874" s="119" t="s">
        <v>300</v>
      </c>
      <c r="AA874" s="117">
        <v>2</v>
      </c>
      <c r="AB874" s="114">
        <f>_xlfn.IFS(AT874&gt;51,3,AT874&gt;=34,2,AT874&lt;34,1)</f>
        <v>1</v>
      </c>
      <c r="AC874" s="114">
        <f>_xlfn.IFS(AS874&gt;35,1,AS874&gt;=28,2,AS874&lt;28,3)</f>
        <v>2</v>
      </c>
      <c r="AD874" s="114">
        <f>_xlfn.IFS(AR874&gt;2.3,3,AR874&gt;=1.7,2,AR874&lt;1.7,1)</f>
        <v>1</v>
      </c>
      <c r="AE874" s="114">
        <f>Y874+AA874+AB874+AC874+AD874</f>
        <v>7</v>
      </c>
      <c r="AG874" s="114">
        <f>AT874/17.1</f>
        <v>1.13450292397661</v>
      </c>
      <c r="AH874" s="114">
        <f>AU874/88.4</f>
        <v>1.05203619909502</v>
      </c>
      <c r="AI874" s="114">
        <f>AR874</f>
        <v>1.16</v>
      </c>
      <c r="AJ874" s="159">
        <f>LN(IF(AG874&gt;=1,AG874,1))*3.8+LN(IF(AH874&gt;=1,AH874,1))*9.6+11.2*LN(IF(AI874&gt;=1,AI874,1))+6.4*AN874</f>
        <v>2.62882777274792</v>
      </c>
      <c r="AK874" s="160">
        <f>IF(AND(AG874&gt;0,AH874&gt;0,AI874&gt;0),AJ874,"")</f>
        <v>2.62882777274792</v>
      </c>
      <c r="AL874" s="141">
        <f>AK874+1.59*(135-AM874)</f>
        <v>2.62882777274792</v>
      </c>
      <c r="AM874" s="241">
        <f>IF(AV874&gt;135,135,IF(AV874&lt;120,120,AV874))</f>
        <v>135</v>
      </c>
      <c r="AN874" s="117">
        <v>0</v>
      </c>
      <c r="AP874" s="117">
        <v>4.7</v>
      </c>
      <c r="AQ874" s="117">
        <v>104</v>
      </c>
      <c r="AR874" s="117">
        <v>1.16</v>
      </c>
      <c r="AS874" s="141">
        <v>35</v>
      </c>
      <c r="AT874" s="142">
        <v>19.4</v>
      </c>
      <c r="AU874" s="117">
        <v>93</v>
      </c>
      <c r="AV874" s="117">
        <v>142</v>
      </c>
      <c r="AW874" s="234">
        <v>3</v>
      </c>
      <c r="AX874" s="234">
        <v>60</v>
      </c>
      <c r="AZ874" s="119" t="s">
        <v>2981</v>
      </c>
    </row>
    <row r="875" spans="1:52">
      <c r="A875" s="119" t="s">
        <v>2912</v>
      </c>
      <c r="B875" s="117" t="s">
        <v>48</v>
      </c>
      <c r="C875" s="117">
        <v>71</v>
      </c>
      <c r="D875" s="117">
        <v>1.76</v>
      </c>
      <c r="E875" s="117">
        <v>66</v>
      </c>
      <c r="F875" s="117">
        <f>E875/(D875*D875)</f>
        <v>21.3068181818182</v>
      </c>
      <c r="G875">
        <v>4</v>
      </c>
      <c r="H875" s="119" t="s">
        <v>2982</v>
      </c>
      <c r="I875" s="158">
        <v>45911</v>
      </c>
      <c r="J875" s="158">
        <v>45925</v>
      </c>
      <c r="L875" s="137">
        <v>6</v>
      </c>
      <c r="M875" s="138">
        <v>14</v>
      </c>
      <c r="N875" s="270" t="s">
        <v>2983</v>
      </c>
      <c r="S875" s="117">
        <v>1</v>
      </c>
      <c r="T875" s="117">
        <v>1</v>
      </c>
      <c r="U875" s="117">
        <v>0</v>
      </c>
      <c r="V875" s="119" t="s">
        <v>686</v>
      </c>
      <c r="W875" s="117">
        <v>1</v>
      </c>
      <c r="X875" s="119" t="s">
        <v>686</v>
      </c>
      <c r="Y875" s="117">
        <v>1</v>
      </c>
      <c r="Z875" s="119" t="s">
        <v>2984</v>
      </c>
      <c r="AA875" s="117">
        <v>3</v>
      </c>
      <c r="AB875" s="114">
        <f>_xlfn.IFS(AT875&gt;51,3,AT875&gt;=34,2,AT875&lt;34,1)</f>
        <v>1</v>
      </c>
      <c r="AC875" s="114">
        <f>_xlfn.IFS(AS875&gt;35,1,AS875&gt;=28,2,AS875&lt;28,3)</f>
        <v>3</v>
      </c>
      <c r="AD875" s="114">
        <f>_xlfn.IFS(AR875&gt;2.3,3,AR875&gt;=1.7,2,AR875&lt;1.7,1)</f>
        <v>2</v>
      </c>
      <c r="AE875" s="114">
        <f>Y875+AA875+AB875+AC875+AD875</f>
        <v>10</v>
      </c>
      <c r="AG875" s="114">
        <f>AT875/17.1</f>
        <v>0.91812865497076</v>
      </c>
      <c r="AH875" s="114">
        <f>AU875/88.4</f>
        <v>0.972850678733032</v>
      </c>
      <c r="AI875" s="114">
        <f>AR875</f>
        <v>1.78</v>
      </c>
      <c r="AJ875" s="159">
        <f>LN(IF(AG875&gt;=1,AG875,1))*3.8+LN(IF(AH875&gt;=1,AH875,1))*9.6+11.2*LN(IF(AI875&gt;=1,AI875,1))+6.4*AN875</f>
        <v>12.8580696802047</v>
      </c>
      <c r="AK875" s="160">
        <f>IF(AND(AG875&gt;0,AH875&gt;0,AI875&gt;0),AJ875,"")</f>
        <v>12.8580696802047</v>
      </c>
      <c r="AL875" s="141">
        <f>AK875+1.59*(135-AM875)</f>
        <v>12.8580696802047</v>
      </c>
      <c r="AM875" s="241">
        <f>IF(AV875&gt;135,135,IF(AV875&lt;120,120,AV875))</f>
        <v>135</v>
      </c>
      <c r="AN875" s="117">
        <v>1</v>
      </c>
      <c r="AP875" s="117">
        <v>2.96</v>
      </c>
      <c r="AQ875" s="117">
        <v>66</v>
      </c>
      <c r="AR875" s="117">
        <v>1.78</v>
      </c>
      <c r="AS875" s="141">
        <v>25</v>
      </c>
      <c r="AT875" s="142">
        <v>15.7</v>
      </c>
      <c r="AU875" s="117">
        <v>86</v>
      </c>
      <c r="AV875" s="117">
        <v>137</v>
      </c>
      <c r="AW875" s="234">
        <v>11</v>
      </c>
      <c r="AX875" s="234">
        <v>65</v>
      </c>
      <c r="AZ875" s="119" t="s">
        <v>2985</v>
      </c>
    </row>
    <row r="876" spans="1:52">
      <c r="A876" s="119" t="s">
        <v>2986</v>
      </c>
      <c r="B876" s="117" t="s">
        <v>48</v>
      </c>
      <c r="C876" s="117">
        <v>72</v>
      </c>
      <c r="D876" s="117">
        <v>1.76</v>
      </c>
      <c r="E876" s="117">
        <v>92</v>
      </c>
      <c r="F876" s="117">
        <f>E876/(D876*D876)</f>
        <v>29.7004132231405</v>
      </c>
      <c r="G876">
        <v>3</v>
      </c>
      <c r="H876" s="119" t="s">
        <v>2982</v>
      </c>
      <c r="I876" s="158">
        <v>45911</v>
      </c>
      <c r="J876" s="158">
        <v>45916</v>
      </c>
      <c r="L876" s="137">
        <v>1</v>
      </c>
      <c r="M876" s="138">
        <v>5</v>
      </c>
      <c r="N876" s="270" t="s">
        <v>2987</v>
      </c>
      <c r="P876" s="119" t="s">
        <v>1083</v>
      </c>
      <c r="T876" s="117">
        <v>1</v>
      </c>
      <c r="U876" s="117">
        <v>0</v>
      </c>
      <c r="V876" s="117">
        <v>1</v>
      </c>
      <c r="W876" s="117">
        <v>0</v>
      </c>
      <c r="X876" s="117">
        <v>1</v>
      </c>
      <c r="Y876" s="117">
        <v>1</v>
      </c>
      <c r="Z876" s="119" t="s">
        <v>321</v>
      </c>
      <c r="AA876" s="117">
        <v>3</v>
      </c>
      <c r="AB876" s="114">
        <f>_xlfn.IFS(AT876&gt;51,3,AT876&gt;=34,2,AT876&lt;34,1)</f>
        <v>1</v>
      </c>
      <c r="AC876" s="114">
        <f>_xlfn.IFS(AS876&gt;35,1,AS876&gt;=28,2,AS876&lt;28,3)</f>
        <v>1</v>
      </c>
      <c r="AD876" s="114">
        <f>_xlfn.IFS(AR876&gt;2.3,3,AR876&gt;=1.7,2,AR876&lt;1.7,1)</f>
        <v>1</v>
      </c>
      <c r="AE876" s="114">
        <f>Y876+AA876+AB876+AC876+AD876</f>
        <v>7</v>
      </c>
      <c r="AG876" s="114">
        <f>AT876/17.1</f>
        <v>1.7953216374269</v>
      </c>
      <c r="AH876" s="114">
        <f>AU876/88.4</f>
        <v>0.712669683257918</v>
      </c>
      <c r="AI876" s="114">
        <f>AR876</f>
        <v>1.27</v>
      </c>
      <c r="AJ876" s="159">
        <f>LN(IF(AG876&gt;=1,AG876,1))*3.8+LN(IF(AH876&gt;=1,AH876,1))*9.6+11.2*LN(IF(AI876&gt;=1,AI876,1))+6.4*AN876</f>
        <v>4.90068921139084</v>
      </c>
      <c r="AK876" s="160">
        <f>IF(AND(AG876&gt;0,AH876&gt;0,AI876&gt;0),AJ876,"")</f>
        <v>4.90068921139084</v>
      </c>
      <c r="AL876" s="141">
        <f>AK876+1.59*(135-AM876)</f>
        <v>4.90068921139084</v>
      </c>
      <c r="AM876" s="241">
        <f>IF(AV876&gt;135,135,IF(AV876&lt;120,120,AV876))</f>
        <v>135</v>
      </c>
      <c r="AN876" s="117">
        <v>0</v>
      </c>
      <c r="AP876" s="117">
        <v>3.77</v>
      </c>
      <c r="AQ876" s="117">
        <v>133</v>
      </c>
      <c r="AR876" s="117">
        <v>1.27</v>
      </c>
      <c r="AS876" s="141">
        <v>40</v>
      </c>
      <c r="AT876" s="142">
        <v>30.7</v>
      </c>
      <c r="AU876" s="117">
        <v>63</v>
      </c>
      <c r="AV876" s="117">
        <v>142</v>
      </c>
      <c r="AW876" s="234">
        <v>14</v>
      </c>
      <c r="AX876" s="234">
        <v>75</v>
      </c>
      <c r="AZ876" s="119" t="s">
        <v>2988</v>
      </c>
    </row>
    <row r="877" spans="1:52">
      <c r="A877" s="119" t="s">
        <v>2989</v>
      </c>
      <c r="B877" s="117" t="s">
        <v>48</v>
      </c>
      <c r="C877" s="117">
        <v>66</v>
      </c>
      <c r="D877" s="117">
        <v>1.69</v>
      </c>
      <c r="E877" s="117">
        <v>80</v>
      </c>
      <c r="F877" s="117">
        <f>E877/(D877*D877)</f>
        <v>28.0102237316621</v>
      </c>
      <c r="G877">
        <v>0</v>
      </c>
      <c r="H877" s="119" t="s">
        <v>2982</v>
      </c>
      <c r="I877" s="158">
        <v>45911</v>
      </c>
      <c r="J877" s="158">
        <v>45919</v>
      </c>
      <c r="L877" s="137">
        <v>1</v>
      </c>
      <c r="M877" s="138">
        <v>8</v>
      </c>
      <c r="N877" s="270" t="s">
        <v>2990</v>
      </c>
      <c r="O877" s="117">
        <v>1</v>
      </c>
      <c r="T877" s="117">
        <v>0</v>
      </c>
      <c r="U877" s="117">
        <v>0</v>
      </c>
      <c r="V877" s="117">
        <v>1</v>
      </c>
      <c r="W877" s="117">
        <v>0</v>
      </c>
      <c r="X877" s="117">
        <v>1</v>
      </c>
      <c r="Y877" s="117">
        <v>1</v>
      </c>
      <c r="Z877" s="119" t="s">
        <v>58</v>
      </c>
      <c r="AA877" s="117">
        <v>1</v>
      </c>
      <c r="AB877" s="114">
        <f>_xlfn.IFS(AT877&gt;51,3,AT877&gt;=34,2,AT877&lt;34,1)</f>
        <v>1</v>
      </c>
      <c r="AC877" s="114">
        <f>_xlfn.IFS(AS877&gt;35,1,AS877&gt;=28,2,AS877&lt;28,3)</f>
        <v>1</v>
      </c>
      <c r="AD877" s="114">
        <f>_xlfn.IFS(AR877&gt;2.3,3,AR877&gt;=1.7,2,AR877&lt;1.7,1)</f>
        <v>1</v>
      </c>
      <c r="AE877" s="114">
        <f>Y877+AA877+AB877+AC877+AD877</f>
        <v>5</v>
      </c>
      <c r="AG877" s="114">
        <f>AT877/17.1</f>
        <v>1.80701754385965</v>
      </c>
      <c r="AH877" s="114">
        <f>AU877/88.4</f>
        <v>0.746606334841629</v>
      </c>
      <c r="AI877" s="114">
        <f>AR877</f>
        <v>1.19</v>
      </c>
      <c r="AJ877" s="159">
        <f>LN(IF(AG877&gt;=1,AG877,1))*3.8+LN(IF(AH877&gt;=1,AH877,1))*9.6+11.2*LN(IF(AI877&gt;=1,AI877,1))+6.4*AN877</f>
        <v>10.5966523772838</v>
      </c>
      <c r="AK877" s="160">
        <f>IF(AND(AG877&gt;0,AH877&gt;0,AI877&gt;0),AJ877,"")</f>
        <v>10.5966523772838</v>
      </c>
      <c r="AL877" s="141">
        <f>AK877+1.59*(135-AM877)</f>
        <v>10.5966523772838</v>
      </c>
      <c r="AM877" s="241">
        <f>IF(AV877&gt;135,135,IF(AV877&lt;120,120,AV877))</f>
        <v>135</v>
      </c>
      <c r="AN877" s="117">
        <v>1</v>
      </c>
      <c r="AP877" s="117">
        <v>2.64</v>
      </c>
      <c r="AQ877" s="117">
        <v>134</v>
      </c>
      <c r="AR877" s="117">
        <v>1.19</v>
      </c>
      <c r="AS877" s="141">
        <v>36</v>
      </c>
      <c r="AT877" s="142">
        <v>30.9</v>
      </c>
      <c r="AU877" s="117">
        <v>66</v>
      </c>
      <c r="AV877" s="117">
        <v>143</v>
      </c>
      <c r="AW877" s="234">
        <v>4</v>
      </c>
      <c r="AX877" s="234">
        <v>70</v>
      </c>
      <c r="AZ877" s="119" t="s">
        <v>2991</v>
      </c>
    </row>
    <row r="878" spans="1:52">
      <c r="A878" s="119" t="s">
        <v>2992</v>
      </c>
      <c r="B878" s="117" t="s">
        <v>53</v>
      </c>
      <c r="C878" s="117">
        <v>71</v>
      </c>
      <c r="D878" s="117">
        <v>1.62</v>
      </c>
      <c r="E878" s="117">
        <v>85</v>
      </c>
      <c r="F878" s="117">
        <f>E878/(D878*D878)</f>
        <v>32.3883554336229</v>
      </c>
      <c r="G878">
        <v>2</v>
      </c>
      <c r="H878" s="119" t="s">
        <v>2993</v>
      </c>
      <c r="I878" s="158">
        <v>45903</v>
      </c>
      <c r="J878" s="158">
        <v>45911</v>
      </c>
      <c r="L878" s="137">
        <v>1</v>
      </c>
      <c r="M878" s="138">
        <v>9</v>
      </c>
      <c r="N878" s="270" t="s">
        <v>2994</v>
      </c>
      <c r="S878" s="119" t="s">
        <v>1083</v>
      </c>
      <c r="T878" s="117">
        <v>0</v>
      </c>
      <c r="U878" s="119" t="s">
        <v>1083</v>
      </c>
      <c r="V878" s="117">
        <v>0</v>
      </c>
      <c r="W878" s="117">
        <v>0</v>
      </c>
      <c r="X878" s="117">
        <v>0</v>
      </c>
      <c r="Y878" s="119" t="s">
        <v>2946</v>
      </c>
      <c r="Z878" s="119" t="s">
        <v>58</v>
      </c>
      <c r="AA878" s="117">
        <v>1</v>
      </c>
      <c r="AB878" s="114">
        <f>_xlfn.IFS(AT878&gt;51,3,AT878&gt;=34,2,AT878&lt;34,1)</f>
        <v>3</v>
      </c>
      <c r="AC878" s="114">
        <f>_xlfn.IFS(AS878&gt;35,1,AS878&gt;=28,2,AS878&lt;28,3)</f>
        <v>1</v>
      </c>
      <c r="AD878" s="114">
        <f>_xlfn.IFS(AR878&gt;2.3,3,AR878&gt;=1.7,2,AR878&lt;1.7,1)</f>
        <v>1</v>
      </c>
      <c r="AE878" s="114" t="e">
        <f>Y878+AA878+AB878+AC878+AD878</f>
        <v>#VALUE!</v>
      </c>
      <c r="AG878" s="114">
        <f>AT878/17.1</f>
        <v>3.82456140350877</v>
      </c>
      <c r="AH878" s="114">
        <f>AU878/88.4</f>
        <v>0.542986425339366</v>
      </c>
      <c r="AI878" s="114">
        <f>AR878</f>
        <v>1.27</v>
      </c>
      <c r="AJ878" s="159">
        <f>LN(IF(AG878&gt;=1,AG878,1))*3.8+LN(IF(AH878&gt;=1,AH878,1))*9.6+11.2*LN(IF(AI878&gt;=1,AI878,1))+6.4*AN878</f>
        <v>14.1744757060968</v>
      </c>
      <c r="AK878" s="160">
        <f>IF(AND(AG878&gt;0,AH878&gt;0,AI878&gt;0),AJ878,"")</f>
        <v>14.1744757060968</v>
      </c>
      <c r="AL878" s="141">
        <f>AK878+1.59*(135-AM878)</f>
        <v>14.1744757060968</v>
      </c>
      <c r="AM878" s="241">
        <f>IF(AV878&gt;135,135,IF(AV878&lt;120,120,AV878))</f>
        <v>135</v>
      </c>
      <c r="AN878" s="117">
        <v>1</v>
      </c>
      <c r="AP878" s="117">
        <v>3.45</v>
      </c>
      <c r="AQ878" s="117">
        <v>92</v>
      </c>
      <c r="AR878" s="117">
        <v>1.27</v>
      </c>
      <c r="AS878" s="141">
        <v>42</v>
      </c>
      <c r="AT878" s="142">
        <v>65.4</v>
      </c>
      <c r="AU878" s="117">
        <v>48</v>
      </c>
      <c r="AV878" s="117">
        <v>144</v>
      </c>
      <c r="AW878" s="234" t="s">
        <v>2995</v>
      </c>
      <c r="AX878" s="234"/>
      <c r="AZ878" s="119" t="s">
        <v>58</v>
      </c>
    </row>
    <row r="879" spans="1:52">
      <c r="A879" s="119" t="s">
        <v>2996</v>
      </c>
      <c r="B879" s="117" t="s">
        <v>53</v>
      </c>
      <c r="C879" s="117">
        <v>78</v>
      </c>
      <c r="D879" s="117">
        <v>1.6</v>
      </c>
      <c r="E879" s="117">
        <v>70</v>
      </c>
      <c r="F879" s="117">
        <f>E879/(D879*D879)</f>
        <v>27.34375</v>
      </c>
      <c r="G879">
        <v>1</v>
      </c>
      <c r="H879" s="119" t="s">
        <v>2997</v>
      </c>
      <c r="I879" s="158">
        <v>45890</v>
      </c>
      <c r="J879" s="158">
        <v>45897</v>
      </c>
      <c r="L879" s="137">
        <v>3</v>
      </c>
      <c r="M879" s="138">
        <v>7</v>
      </c>
      <c r="N879" s="270" t="s">
        <v>2998</v>
      </c>
      <c r="S879" s="117">
        <v>1</v>
      </c>
      <c r="T879" s="117">
        <v>0</v>
      </c>
      <c r="U879" s="117">
        <v>0</v>
      </c>
      <c r="V879" s="117">
        <v>1</v>
      </c>
      <c r="W879" s="117">
        <v>0</v>
      </c>
      <c r="X879" s="117">
        <v>1</v>
      </c>
      <c r="Y879" s="117">
        <v>1</v>
      </c>
      <c r="Z879" s="119" t="s">
        <v>58</v>
      </c>
      <c r="AA879" s="117">
        <v>1</v>
      </c>
      <c r="AB879" s="114">
        <f>_xlfn.IFS(AT879&gt;51,3,AT879&gt;=34,2,AT879&lt;34,1)</f>
        <v>1</v>
      </c>
      <c r="AC879" s="114">
        <f>_xlfn.IFS(AS879&gt;35,1,AS879&gt;=28,2,AS879&lt;28,3)</f>
        <v>2</v>
      </c>
      <c r="AD879" s="114">
        <f>_xlfn.IFS(AR879&gt;2.3,3,AR879&gt;=1.7,2,AR879&lt;1.7,1)</f>
        <v>1</v>
      </c>
      <c r="AE879" s="114">
        <f>Y879+AA879+AB879+AC879+AD879</f>
        <v>6</v>
      </c>
      <c r="AG879" s="114">
        <f>AT879/17.1</f>
        <v>0.894736842105263</v>
      </c>
      <c r="AH879" s="114">
        <f>AU879/88.4</f>
        <v>0.8710407239819</v>
      </c>
      <c r="AI879" s="114">
        <f>AR879</f>
        <v>1.22</v>
      </c>
      <c r="AJ879" s="159">
        <f>LN(IF(AG879&gt;=1,AG879,1))*3.8+LN(IF(AH879&gt;=1,AH879,1))*9.6+11.2*LN(IF(AI879&gt;=1,AI879,1))+6.4*AN879</f>
        <v>8.62712961794585</v>
      </c>
      <c r="AK879" s="160">
        <f>IF(AND(AG879&gt;0,AH879&gt;0,AI879&gt;0),AJ879,"")</f>
        <v>8.62712961794585</v>
      </c>
      <c r="AL879" s="141">
        <f>AK879+1.59*(135-AM879)</f>
        <v>8.62712961794585</v>
      </c>
      <c r="AM879" s="241">
        <f>IF(AV879&gt;135,135,IF(AV879&lt;120,120,AV879))</f>
        <v>135</v>
      </c>
      <c r="AN879" s="117">
        <v>1</v>
      </c>
      <c r="AP879" s="117">
        <v>1.92</v>
      </c>
      <c r="AQ879" s="117">
        <v>63</v>
      </c>
      <c r="AR879" s="117">
        <v>1.22</v>
      </c>
      <c r="AS879" s="141">
        <v>32</v>
      </c>
      <c r="AT879" s="142">
        <v>15.3</v>
      </c>
      <c r="AU879" s="117">
        <v>77</v>
      </c>
      <c r="AV879" s="117">
        <v>140</v>
      </c>
      <c r="AW879" s="234">
        <v>12</v>
      </c>
      <c r="AX879" s="234">
        <v>50</v>
      </c>
      <c r="AZ879" s="119" t="s">
        <v>2999</v>
      </c>
    </row>
    <row r="880" spans="1:52">
      <c r="A880" s="119" t="s">
        <v>1551</v>
      </c>
      <c r="B880" s="117" t="s">
        <v>53</v>
      </c>
      <c r="C880" s="117">
        <v>75</v>
      </c>
      <c r="D880" s="117">
        <v>1.6</v>
      </c>
      <c r="E880" s="117">
        <v>56</v>
      </c>
      <c r="F880" s="117">
        <f>E880/(D880*D880)</f>
        <v>21.875</v>
      </c>
      <c r="G880">
        <v>0</v>
      </c>
      <c r="H880" s="119" t="s">
        <v>2997</v>
      </c>
      <c r="I880" s="158">
        <v>45891</v>
      </c>
      <c r="J880" s="158">
        <v>45899</v>
      </c>
      <c r="L880" s="137">
        <v>5</v>
      </c>
      <c r="M880" s="138">
        <v>8</v>
      </c>
      <c r="N880" s="270" t="s">
        <v>3000</v>
      </c>
      <c r="S880" s="117">
        <v>1</v>
      </c>
      <c r="T880" s="117">
        <v>0</v>
      </c>
      <c r="U880" s="117">
        <v>0</v>
      </c>
      <c r="V880" s="117">
        <v>1</v>
      </c>
      <c r="W880" s="117">
        <v>0</v>
      </c>
      <c r="X880" s="117">
        <v>1</v>
      </c>
      <c r="Y880" s="117">
        <v>1</v>
      </c>
      <c r="Z880" s="119" t="s">
        <v>58</v>
      </c>
      <c r="AA880" s="117">
        <v>1</v>
      </c>
      <c r="AB880" s="114">
        <f>_xlfn.IFS(AT880&gt;51,3,AT880&gt;=34,2,AT880&lt;34,1)</f>
        <v>1</v>
      </c>
      <c r="AC880" s="114">
        <f>_xlfn.IFS(AS880&gt;35,1,AS880&gt;=28,2,AS880&lt;28,3)</f>
        <v>1</v>
      </c>
      <c r="AD880" s="114">
        <f>_xlfn.IFS(AR880&gt;2.3,3,AR880&gt;=1.7,2,AR880&lt;1.7,1)</f>
        <v>1</v>
      </c>
      <c r="AE880" s="114">
        <f>Y880+AA880+AB880+AC880+AD880</f>
        <v>5</v>
      </c>
      <c r="AG880" s="114">
        <f>AT880/17.1</f>
        <v>1.49707602339181</v>
      </c>
      <c r="AH880" s="114">
        <f>AU880/88.4</f>
        <v>0.633484162895928</v>
      </c>
      <c r="AI880" s="114">
        <f>AR880</f>
        <v>1.06</v>
      </c>
      <c r="AJ880" s="159">
        <f>LN(IF(AG880&gt;=1,AG880,1))*3.8+LN(IF(AH880&gt;=1,AH880,1))*9.6+11.2*LN(IF(AI880&gt;=1,AI880,1))+6.4*AN880</f>
        <v>8.58596454530076</v>
      </c>
      <c r="AK880" s="160">
        <f>IF(AND(AG880&gt;0,AH880&gt;0,AI880&gt;0),AJ880,"")</f>
        <v>8.58596454530076</v>
      </c>
      <c r="AL880" s="141">
        <f>AK880+1.59*(135-AM880)</f>
        <v>8.58596454530076</v>
      </c>
      <c r="AM880" s="241">
        <f>IF(AV880&gt;135,135,IF(AV880&lt;120,120,AV880))</f>
        <v>135</v>
      </c>
      <c r="AN880" s="117">
        <v>1</v>
      </c>
      <c r="AP880" s="117">
        <v>5.12</v>
      </c>
      <c r="AQ880" s="117">
        <v>128</v>
      </c>
      <c r="AR880" s="117">
        <v>1.06</v>
      </c>
      <c r="AS880" s="141">
        <v>44</v>
      </c>
      <c r="AT880" s="142">
        <v>25.6</v>
      </c>
      <c r="AU880" s="117">
        <v>56</v>
      </c>
      <c r="AV880" s="117">
        <v>144</v>
      </c>
      <c r="AW880" s="234">
        <v>15</v>
      </c>
      <c r="AX880" s="234">
        <v>70</v>
      </c>
      <c r="AZ880" s="119" t="s">
        <v>3001</v>
      </c>
    </row>
    <row r="881" spans="1:52">
      <c r="A881" s="119" t="s">
        <v>3002</v>
      </c>
      <c r="B881" s="117" t="s">
        <v>48</v>
      </c>
      <c r="C881" s="117">
        <v>91</v>
      </c>
      <c r="D881" s="117">
        <v>1.65</v>
      </c>
      <c r="E881" s="117">
        <v>57</v>
      </c>
      <c r="F881" s="117">
        <f>E881/(D881*D881)</f>
        <v>20.9366391184573</v>
      </c>
      <c r="G881">
        <v>6</v>
      </c>
      <c r="H881" s="119" t="s">
        <v>3003</v>
      </c>
      <c r="I881" s="158">
        <v>45897</v>
      </c>
      <c r="J881" s="158">
        <v>45898</v>
      </c>
      <c r="L881" s="137">
        <v>1</v>
      </c>
      <c r="M881" s="138">
        <v>3</v>
      </c>
      <c r="N881" s="270" t="s">
        <v>3004</v>
      </c>
      <c r="S881" s="117">
        <v>1</v>
      </c>
      <c r="T881" s="117">
        <v>0</v>
      </c>
      <c r="U881" s="119" t="s">
        <v>1083</v>
      </c>
      <c r="V881" s="117">
        <v>0</v>
      </c>
      <c r="W881" s="117">
        <v>0</v>
      </c>
      <c r="X881" s="117">
        <v>0</v>
      </c>
      <c r="Y881" s="117">
        <v>1</v>
      </c>
      <c r="Z881" s="119" t="s">
        <v>58</v>
      </c>
      <c r="AA881" s="117">
        <v>1</v>
      </c>
      <c r="AB881" s="114">
        <f>_xlfn.IFS(AT881&gt;51,3,AT881&gt;=34,2,AT881&lt;34,1)</f>
        <v>1</v>
      </c>
      <c r="AC881" s="114">
        <f>_xlfn.IFS(AS881&gt;35,1,AS881&gt;=28,2,AS881&lt;28,3)</f>
        <v>2</v>
      </c>
      <c r="AD881" s="114">
        <f>_xlfn.IFS(AR881&gt;2.3,3,AR881&gt;=1.7,2,AR881&lt;1.7,1)</f>
        <v>1</v>
      </c>
      <c r="AE881" s="114">
        <f>Y881+AA881+AB881+AC881+AD881</f>
        <v>6</v>
      </c>
      <c r="AG881" s="114">
        <f>AT881/17.1</f>
        <v>1.34502923976608</v>
      </c>
      <c r="AH881" s="114">
        <f>AU881/88.4</f>
        <v>1.58371040723982</v>
      </c>
      <c r="AI881" s="114">
        <f>AR881</f>
        <v>1.17</v>
      </c>
      <c r="AJ881" s="159">
        <f>LN(IF(AG881&gt;=1,AG881,1))*3.8+LN(IF(AH881&gt;=1,AH881,1))*9.6+11.2*LN(IF(AI881&gt;=1,AI881,1))+6.4*AN881</f>
        <v>13.6986181943371</v>
      </c>
      <c r="AK881" s="160">
        <f>IF(AND(AG881&gt;0,AH881&gt;0,AI881&gt;0),AJ881,"")</f>
        <v>13.6986181943371</v>
      </c>
      <c r="AL881" s="141">
        <f>AK881+1.59*(135-AM881)</f>
        <v>13.6986181943371</v>
      </c>
      <c r="AM881" s="241">
        <f>IF(AV881&gt;135,135,IF(AV881&lt;120,120,AV881))</f>
        <v>135</v>
      </c>
      <c r="AN881" s="117">
        <v>1</v>
      </c>
      <c r="AP881" s="117">
        <v>1.63</v>
      </c>
      <c r="AQ881" s="117">
        <v>63</v>
      </c>
      <c r="AR881" s="117">
        <v>1.17</v>
      </c>
      <c r="AS881" s="141">
        <v>35</v>
      </c>
      <c r="AT881" s="142">
        <v>23</v>
      </c>
      <c r="AU881" s="117">
        <v>140</v>
      </c>
      <c r="AV881" s="117">
        <v>142</v>
      </c>
      <c r="AW881" s="234" t="s">
        <v>3005</v>
      </c>
      <c r="AX881" s="234"/>
      <c r="AZ881" s="119" t="s">
        <v>3006</v>
      </c>
    </row>
    <row r="882" spans="1:52">
      <c r="A882" s="119" t="s">
        <v>3007</v>
      </c>
      <c r="B882" s="117" t="s">
        <v>48</v>
      </c>
      <c r="C882" s="117">
        <v>40</v>
      </c>
      <c r="D882" s="117">
        <v>1.83</v>
      </c>
      <c r="E882" s="117">
        <v>124</v>
      </c>
      <c r="F882" s="117">
        <f t="shared" ref="F882:F894" si="272">E882/(D882*D882)</f>
        <v>37.0270835199618</v>
      </c>
      <c r="G882">
        <v>6</v>
      </c>
      <c r="I882" s="158">
        <v>45889</v>
      </c>
      <c r="J882" s="158">
        <v>45903</v>
      </c>
      <c r="L882" s="137">
        <v>1</v>
      </c>
      <c r="M882" s="138">
        <v>14</v>
      </c>
      <c r="N882" s="270" t="s">
        <v>3008</v>
      </c>
      <c r="P882" s="117">
        <v>1</v>
      </c>
      <c r="T882" s="117">
        <v>1</v>
      </c>
      <c r="X882" s="117">
        <v>1</v>
      </c>
      <c r="Y882" s="117">
        <v>1</v>
      </c>
      <c r="Z882" s="119" t="s">
        <v>321</v>
      </c>
      <c r="AA882" s="117">
        <v>3</v>
      </c>
      <c r="AB882" s="114">
        <f>_xlfn.IFS(AT882&gt;51,3,AT882&gt;=34,2,AT882&lt;34,1)</f>
        <v>1</v>
      </c>
      <c r="AC882" s="114">
        <f>_xlfn.IFS(AS882&gt;35,1,AS882&gt;=28,2,AS882&lt;28,3)</f>
        <v>3</v>
      </c>
      <c r="AD882" s="114">
        <f>_xlfn.IFS(AR882&gt;2.3,3,AR882&gt;=1.7,2,AR882&lt;1.7,1)</f>
        <v>1</v>
      </c>
      <c r="AE882" s="114">
        <f>Y882+AA882+AB882+AC882+AD882</f>
        <v>9</v>
      </c>
      <c r="AG882" s="114">
        <f t="shared" ref="AG882:AG900" si="273">AT882/17.1</f>
        <v>1.33333333333333</v>
      </c>
      <c r="AH882" s="114">
        <f t="shared" ref="AH882:AH900" si="274">AU882/88.4</f>
        <v>0.542986425339366</v>
      </c>
      <c r="AI882" s="114">
        <f t="shared" ref="AI882:AI900" si="275">AR882</f>
        <v>1.04</v>
      </c>
      <c r="AJ882" s="159">
        <f t="shared" ref="AJ882:AJ900" si="276">LN(IF(AG882&gt;=1,AG882,1))*3.8+LN(IF(AH882&gt;=1,AH882,1))*9.6+11.2*LN(IF(AI882&gt;=1,AI882,1))+6.4*AN882</f>
        <v>1.53246386263352</v>
      </c>
      <c r="AK882" s="160">
        <f t="shared" ref="AK882:AK900" si="277">IF(AND(AG882&gt;0,AH882&gt;0,AI882&gt;0),AJ882,"")</f>
        <v>1.53246386263352</v>
      </c>
      <c r="AL882" s="141">
        <f t="shared" ref="AL882:AL900" si="278">AK882+1.59*(135-AM882)</f>
        <v>20.6124638626335</v>
      </c>
      <c r="AM882" s="241">
        <f t="shared" ref="AM882:AM900" si="279">IF(AV882&gt;135,135,IF(AV882&lt;120,120,AV882))</f>
        <v>123</v>
      </c>
      <c r="AN882" s="117">
        <v>0</v>
      </c>
      <c r="AP882" s="117">
        <v>7.27</v>
      </c>
      <c r="AQ882" s="117">
        <v>144</v>
      </c>
      <c r="AR882" s="117">
        <v>1.04</v>
      </c>
      <c r="AS882" s="141">
        <v>24</v>
      </c>
      <c r="AT882" s="142">
        <v>22.8</v>
      </c>
      <c r="AU882" s="117">
        <v>48</v>
      </c>
      <c r="AV882" s="117">
        <v>123</v>
      </c>
      <c r="AW882" s="234">
        <v>6</v>
      </c>
      <c r="AX882" s="234">
        <v>80</v>
      </c>
      <c r="AZ882" s="119" t="s">
        <v>3009</v>
      </c>
    </row>
    <row r="883" spans="1:52">
      <c r="A883" s="119" t="s">
        <v>3010</v>
      </c>
      <c r="B883" s="117" t="s">
        <v>53</v>
      </c>
      <c r="C883" s="117">
        <v>71</v>
      </c>
      <c r="D883" s="117">
        <v>1.55</v>
      </c>
      <c r="E883" s="117">
        <v>69</v>
      </c>
      <c r="F883" s="117">
        <f t="shared" si="272"/>
        <v>28.7200832466181</v>
      </c>
      <c r="G883">
        <v>5</v>
      </c>
      <c r="H883" s="119" t="s">
        <v>3011</v>
      </c>
      <c r="I883" s="158">
        <v>45883</v>
      </c>
      <c r="J883" s="158">
        <v>45891</v>
      </c>
      <c r="L883" s="137">
        <v>1</v>
      </c>
      <c r="M883" s="138">
        <v>8</v>
      </c>
      <c r="N883" s="270" t="s">
        <v>3012</v>
      </c>
      <c r="Q883" s="117">
        <v>1</v>
      </c>
      <c r="V883" s="117">
        <v>1</v>
      </c>
      <c r="W883" s="117">
        <v>1</v>
      </c>
      <c r="X883" s="117">
        <v>1</v>
      </c>
      <c r="Y883" s="117">
        <v>1</v>
      </c>
      <c r="Z883" s="119" t="s">
        <v>3013</v>
      </c>
      <c r="AA883" s="117">
        <v>3</v>
      </c>
      <c r="AB883" s="114">
        <f>_xlfn.IFS(AT883&gt;51,3,AT883&gt;=34,2,AT883&lt;34,1)</f>
        <v>1</v>
      </c>
      <c r="AC883" s="114">
        <f>_xlfn.IFS(AS883&gt;35,1,AS883&gt;=28,2,AS883&lt;28,3)</f>
        <v>3</v>
      </c>
      <c r="AD883" s="114">
        <f>_xlfn.IFS(AR883&gt;2.3,3,AR883&gt;=1.7,2,AR883&lt;1.7,1)</f>
        <v>1</v>
      </c>
      <c r="AE883" s="114">
        <f>Y883+AA883+AB883+AC883+AD883</f>
        <v>9</v>
      </c>
      <c r="AG883" s="114">
        <f t="shared" si="273"/>
        <v>0.83625730994152</v>
      </c>
      <c r="AH883" s="114">
        <f t="shared" si="274"/>
        <v>0.486425339366516</v>
      </c>
      <c r="AI883" s="114">
        <f t="shared" si="275"/>
        <v>1.21</v>
      </c>
      <c r="AJ883" s="159">
        <f t="shared" si="276"/>
        <v>8.53494802761688</v>
      </c>
      <c r="AK883" s="160">
        <f t="shared" si="277"/>
        <v>8.53494802761688</v>
      </c>
      <c r="AL883" s="141">
        <f t="shared" si="278"/>
        <v>8.53494802761688</v>
      </c>
      <c r="AM883" s="241">
        <f t="shared" si="279"/>
        <v>135</v>
      </c>
      <c r="AN883" s="117">
        <v>1</v>
      </c>
      <c r="AP883" s="117">
        <v>7.94</v>
      </c>
      <c r="AQ883" s="117">
        <v>99</v>
      </c>
      <c r="AR883" s="117">
        <v>1.21</v>
      </c>
      <c r="AS883" s="141">
        <v>24</v>
      </c>
      <c r="AT883" s="142">
        <v>14.3</v>
      </c>
      <c r="AU883" s="117">
        <v>43</v>
      </c>
      <c r="AV883" s="117">
        <v>137</v>
      </c>
      <c r="AW883" s="234">
        <v>15</v>
      </c>
      <c r="AX883" s="234">
        <v>80</v>
      </c>
      <c r="AZ883" s="119" t="s">
        <v>3014</v>
      </c>
    </row>
    <row r="884" spans="1:52">
      <c r="A884" s="119" t="s">
        <v>3015</v>
      </c>
      <c r="B884" s="117" t="s">
        <v>48</v>
      </c>
      <c r="C884" s="117">
        <v>55</v>
      </c>
      <c r="D884" s="117">
        <v>1.6</v>
      </c>
      <c r="E884" s="117">
        <v>60</v>
      </c>
      <c r="F884" s="117">
        <f t="shared" si="272"/>
        <v>23.4375</v>
      </c>
      <c r="G884">
        <v>6</v>
      </c>
      <c r="H884" s="119" t="s">
        <v>3011</v>
      </c>
      <c r="I884" s="158">
        <v>45881</v>
      </c>
      <c r="J884" s="158">
        <v>45892</v>
      </c>
      <c r="L884" s="137">
        <v>1</v>
      </c>
      <c r="M884" s="138">
        <v>11</v>
      </c>
      <c r="N884" s="270" t="s">
        <v>3016</v>
      </c>
      <c r="P884" s="117">
        <v>1</v>
      </c>
      <c r="V884" s="117">
        <v>1</v>
      </c>
      <c r="X884" s="117">
        <v>1</v>
      </c>
      <c r="Y884" s="117">
        <v>1</v>
      </c>
      <c r="Z884" s="119" t="s">
        <v>58</v>
      </c>
      <c r="AA884" s="117">
        <v>1</v>
      </c>
      <c r="AB884" s="114">
        <f>_xlfn.IFS(AT884&gt;51,3,AT884&gt;=34,2,AT884&lt;34,1)</f>
        <v>2</v>
      </c>
      <c r="AC884" s="114">
        <f>_xlfn.IFS(AS884&gt;35,1,AS884&gt;=28,2,AS884&lt;28,3)</f>
        <v>2</v>
      </c>
      <c r="AD884" s="114">
        <f>_xlfn.IFS(AR884&gt;2.3,3,AR884&gt;=1.7,2,AR884&lt;1.7,1)</f>
        <v>1</v>
      </c>
      <c r="AE884" s="114">
        <f>Y884+AA884+AB884+AC884+AD884</f>
        <v>7</v>
      </c>
      <c r="AG884" s="114">
        <f t="shared" si="273"/>
        <v>2.01754385964912</v>
      </c>
      <c r="AH884" s="114">
        <f t="shared" si="274"/>
        <v>0.622171945701357</v>
      </c>
      <c r="AI884" s="114">
        <f t="shared" si="275"/>
        <v>1.17</v>
      </c>
      <c r="AJ884" s="159">
        <f t="shared" si="276"/>
        <v>4.4255892566773</v>
      </c>
      <c r="AK884" s="160">
        <f t="shared" si="277"/>
        <v>4.4255892566773</v>
      </c>
      <c r="AL884" s="141">
        <f t="shared" si="278"/>
        <v>4.4255892566773</v>
      </c>
      <c r="AM884" s="241">
        <f t="shared" si="279"/>
        <v>135</v>
      </c>
      <c r="AN884" s="117">
        <v>0</v>
      </c>
      <c r="AP884" s="117">
        <v>1.27</v>
      </c>
      <c r="AQ884" s="117">
        <v>92</v>
      </c>
      <c r="AR884" s="117">
        <v>1.17</v>
      </c>
      <c r="AS884" s="141">
        <v>35</v>
      </c>
      <c r="AT884" s="142">
        <v>34.5</v>
      </c>
      <c r="AU884" s="117">
        <v>55</v>
      </c>
      <c r="AV884" s="117">
        <v>141</v>
      </c>
      <c r="AW884" s="234">
        <v>6</v>
      </c>
      <c r="AX884" s="234">
        <v>75</v>
      </c>
      <c r="AZ884" s="119" t="s">
        <v>3017</v>
      </c>
    </row>
    <row r="885" spans="1:52">
      <c r="A885" s="119" t="s">
        <v>2488</v>
      </c>
      <c r="B885" s="117" t="s">
        <v>48</v>
      </c>
      <c r="C885" s="117">
        <v>66</v>
      </c>
      <c r="D885" s="117">
        <v>1.7</v>
      </c>
      <c r="E885" s="117">
        <v>60</v>
      </c>
      <c r="F885" s="117">
        <f t="shared" si="272"/>
        <v>20.7612456747405</v>
      </c>
      <c r="G885">
        <v>6</v>
      </c>
      <c r="H885" s="119" t="s">
        <v>3018</v>
      </c>
      <c r="I885" s="119" t="s">
        <v>3019</v>
      </c>
      <c r="J885" s="119" t="s">
        <v>2997</v>
      </c>
      <c r="L885" s="137">
        <v>5</v>
      </c>
      <c r="M885" s="138">
        <v>5</v>
      </c>
      <c r="N885" s="270" t="s">
        <v>3020</v>
      </c>
      <c r="Q885" s="117">
        <v>1</v>
      </c>
      <c r="T885" s="117">
        <v>1</v>
      </c>
      <c r="V885" s="117">
        <v>1</v>
      </c>
      <c r="X885" s="117">
        <v>1</v>
      </c>
      <c r="Y885" s="117">
        <v>1</v>
      </c>
      <c r="Z885" s="119" t="s">
        <v>321</v>
      </c>
      <c r="AA885" s="117">
        <v>3</v>
      </c>
      <c r="AB885" s="114">
        <f>_xlfn.IFS(AT885&gt;51,3,AT885&gt;=34,2,AT885&lt;34,1)</f>
        <v>1</v>
      </c>
      <c r="AC885" s="114">
        <f>_xlfn.IFS(AS885&gt;35,1,AS885&gt;=28,2,AS885&lt;28,3)</f>
        <v>2</v>
      </c>
      <c r="AD885" s="114">
        <f>_xlfn.IFS(AR885&gt;2.3,3,AR885&gt;=1.7,2,AR885&lt;1.7,1)</f>
        <v>1</v>
      </c>
      <c r="AE885" s="114">
        <f>Y885+AA885+AB885+AC885+AD885</f>
        <v>8</v>
      </c>
      <c r="AG885" s="114">
        <f t="shared" si="273"/>
        <v>0.947368421052631</v>
      </c>
      <c r="AH885" s="114">
        <f t="shared" si="274"/>
        <v>1.44796380090498</v>
      </c>
      <c r="AI885" s="114">
        <f t="shared" si="275"/>
        <v>1.12</v>
      </c>
      <c r="AJ885" s="159">
        <f t="shared" si="276"/>
        <v>11.2228009004882</v>
      </c>
      <c r="AK885" s="160">
        <f t="shared" si="277"/>
        <v>11.2228009004882</v>
      </c>
      <c r="AL885" s="141">
        <f t="shared" si="278"/>
        <v>11.2228009004882</v>
      </c>
      <c r="AM885" s="241">
        <f t="shared" si="279"/>
        <v>135</v>
      </c>
      <c r="AN885" s="117">
        <v>1</v>
      </c>
      <c r="AP885" s="117">
        <v>2.52</v>
      </c>
      <c r="AQ885" s="117">
        <v>98</v>
      </c>
      <c r="AR885" s="117">
        <v>1.12</v>
      </c>
      <c r="AS885" s="141">
        <v>30</v>
      </c>
      <c r="AT885" s="142">
        <v>16.2</v>
      </c>
      <c r="AU885" s="117">
        <v>128</v>
      </c>
      <c r="AV885" s="117">
        <v>140</v>
      </c>
      <c r="AW885" s="234">
        <v>6</v>
      </c>
      <c r="AX885" s="234">
        <v>85</v>
      </c>
      <c r="AZ885" s="119" t="s">
        <v>3021</v>
      </c>
    </row>
    <row r="886" spans="1:52">
      <c r="A886" s="119" t="s">
        <v>3022</v>
      </c>
      <c r="B886" s="117" t="s">
        <v>53</v>
      </c>
      <c r="C886" s="117">
        <v>76</v>
      </c>
      <c r="D886" s="117">
        <v>1.6</v>
      </c>
      <c r="E886" s="117">
        <v>65</v>
      </c>
      <c r="F886" s="117">
        <f t="shared" si="272"/>
        <v>25.390625</v>
      </c>
      <c r="G886">
        <v>1</v>
      </c>
      <c r="H886" s="119" t="s">
        <v>3023</v>
      </c>
      <c r="I886" s="119" t="s">
        <v>3024</v>
      </c>
      <c r="J886" s="119" t="s">
        <v>2997</v>
      </c>
      <c r="L886" s="137">
        <v>3</v>
      </c>
      <c r="M886" s="138">
        <v>27</v>
      </c>
      <c r="N886" s="270" t="s">
        <v>3025</v>
      </c>
      <c r="S886" s="117">
        <v>1</v>
      </c>
      <c r="T886" s="117">
        <v>1</v>
      </c>
      <c r="W886" s="117">
        <v>1</v>
      </c>
      <c r="X886" s="117">
        <v>1</v>
      </c>
      <c r="Y886" s="117">
        <v>1</v>
      </c>
      <c r="Z886" s="119" t="s">
        <v>2811</v>
      </c>
      <c r="AA886" s="117">
        <v>2</v>
      </c>
      <c r="AB886" s="114">
        <f>_xlfn.IFS(AT886&gt;51,3,AT886&gt;=34,2,AT886&lt;34,1)</f>
        <v>2</v>
      </c>
      <c r="AC886" s="114">
        <f>_xlfn.IFS(AS886&gt;35,1,AS886&gt;=28,2,AS886&lt;28,3)</f>
        <v>1</v>
      </c>
      <c r="AD886" s="114">
        <f>_xlfn.IFS(AR886&gt;2.3,3,AR886&gt;=1.7,2,AR886&lt;1.7,1)</f>
        <v>1</v>
      </c>
      <c r="AE886" s="114">
        <f>Y886+AA886+AB886+AC886+AD886</f>
        <v>7</v>
      </c>
      <c r="AG886" s="114">
        <f t="shared" si="273"/>
        <v>2.67251461988304</v>
      </c>
      <c r="AH886" s="114">
        <f t="shared" si="274"/>
        <v>1.14253393665158</v>
      </c>
      <c r="AI886" s="114">
        <f t="shared" si="275"/>
        <v>1.31</v>
      </c>
      <c r="AJ886" s="159">
        <f t="shared" si="276"/>
        <v>14.4389653605717</v>
      </c>
      <c r="AK886" s="160">
        <f t="shared" si="277"/>
        <v>14.4389653605717</v>
      </c>
      <c r="AL886" s="141">
        <f t="shared" si="278"/>
        <v>18.5729653605717</v>
      </c>
      <c r="AM886" s="241">
        <f t="shared" si="279"/>
        <v>132.4</v>
      </c>
      <c r="AN886" s="117">
        <v>1</v>
      </c>
      <c r="AP886" s="117">
        <v>1.92</v>
      </c>
      <c r="AQ886" s="117">
        <v>76</v>
      </c>
      <c r="AR886" s="117">
        <v>1.31</v>
      </c>
      <c r="AS886" s="141">
        <v>37</v>
      </c>
      <c r="AT886" s="142">
        <v>45.7</v>
      </c>
      <c r="AU886" s="117">
        <v>101</v>
      </c>
      <c r="AV886" s="117">
        <v>132.4</v>
      </c>
      <c r="AW886" s="234">
        <v>0</v>
      </c>
      <c r="AX886" s="234">
        <v>50</v>
      </c>
      <c r="AZ886" s="119" t="s">
        <v>3026</v>
      </c>
    </row>
    <row r="887" spans="1:52">
      <c r="A887" s="119" t="s">
        <v>2912</v>
      </c>
      <c r="B887" s="117" t="s">
        <v>48</v>
      </c>
      <c r="C887" s="117">
        <v>71</v>
      </c>
      <c r="D887" s="117">
        <v>1.76</v>
      </c>
      <c r="E887" s="117">
        <v>66</v>
      </c>
      <c r="F887" s="117">
        <f t="shared" si="272"/>
        <v>21.3068181818182</v>
      </c>
      <c r="G887">
        <v>3</v>
      </c>
      <c r="H887" s="119" t="s">
        <v>3023</v>
      </c>
      <c r="I887" s="158">
        <v>45911</v>
      </c>
      <c r="J887" s="158">
        <v>45925</v>
      </c>
      <c r="L887" s="137">
        <v>6</v>
      </c>
      <c r="M887" s="138">
        <v>14</v>
      </c>
      <c r="N887" s="270" t="s">
        <v>3027</v>
      </c>
      <c r="S887" s="117">
        <v>1</v>
      </c>
      <c r="T887" s="117">
        <v>1</v>
      </c>
      <c r="W887" s="117">
        <v>1</v>
      </c>
      <c r="X887" s="117">
        <v>1</v>
      </c>
      <c r="Y887" s="117">
        <v>1</v>
      </c>
      <c r="Z887" s="119" t="s">
        <v>321</v>
      </c>
      <c r="AA887" s="117">
        <v>3</v>
      </c>
      <c r="AB887" s="114">
        <f t="shared" ref="AB887:AB913" si="280">_xlfn.IFS(AT887&gt;51,3,AT887&gt;=34,2,AT887&lt;34,1)</f>
        <v>1</v>
      </c>
      <c r="AC887" s="114">
        <f t="shared" ref="AC887:AC913" si="281">_xlfn.IFS(AS887&gt;35,1,AS887&gt;=28,2,AS887&lt;28,3)</f>
        <v>3</v>
      </c>
      <c r="AD887" s="114">
        <f t="shared" ref="AD887:AD913" si="282">_xlfn.IFS(AR887&gt;2.3,3,AR887&gt;=1.7,2,AR887&lt;1.7,1)</f>
        <v>2</v>
      </c>
      <c r="AE887" s="114">
        <f t="shared" ref="AE887:AE913" si="283">Y887+AA887+AB887+AC887+AD887</f>
        <v>10</v>
      </c>
      <c r="AG887" s="114">
        <f t="shared" si="273"/>
        <v>0.91812865497076</v>
      </c>
      <c r="AH887" s="114">
        <f t="shared" si="274"/>
        <v>0.972850678733032</v>
      </c>
      <c r="AI887" s="114">
        <f t="shared" si="275"/>
        <v>1.78</v>
      </c>
      <c r="AJ887" s="159">
        <f t="shared" si="276"/>
        <v>12.8580696802047</v>
      </c>
      <c r="AK887" s="160">
        <f t="shared" si="277"/>
        <v>12.8580696802047</v>
      </c>
      <c r="AL887" s="141">
        <f t="shared" si="278"/>
        <v>12.8580696802047</v>
      </c>
      <c r="AM887" s="241">
        <f t="shared" si="279"/>
        <v>135</v>
      </c>
      <c r="AN887" s="117">
        <v>1</v>
      </c>
      <c r="AP887" s="117">
        <v>2.96</v>
      </c>
      <c r="AQ887" s="117">
        <v>66</v>
      </c>
      <c r="AR887" s="117">
        <v>1.78</v>
      </c>
      <c r="AS887" s="141">
        <v>25</v>
      </c>
      <c r="AT887" s="142">
        <v>15.7</v>
      </c>
      <c r="AU887" s="117">
        <v>86</v>
      </c>
      <c r="AV887" s="117">
        <v>137</v>
      </c>
      <c r="AW887" s="234">
        <v>5</v>
      </c>
      <c r="AX887" s="234">
        <v>60</v>
      </c>
      <c r="AZ887" s="119" t="s">
        <v>3028</v>
      </c>
    </row>
    <row r="888" spans="1:52">
      <c r="A888" s="119" t="s">
        <v>2687</v>
      </c>
      <c r="B888" s="117" t="s">
        <v>53</v>
      </c>
      <c r="C888" s="117">
        <v>64</v>
      </c>
      <c r="D888" s="117">
        <v>1.58</v>
      </c>
      <c r="E888" s="117">
        <v>65</v>
      </c>
      <c r="F888" s="117">
        <f t="shared" si="272"/>
        <v>26.0374939913475</v>
      </c>
      <c r="G888">
        <v>1</v>
      </c>
      <c r="H888" s="119" t="s">
        <v>3023</v>
      </c>
      <c r="I888" s="158">
        <v>45873</v>
      </c>
      <c r="J888" s="158">
        <v>45885</v>
      </c>
      <c r="L888" s="137">
        <v>2</v>
      </c>
      <c r="M888" s="138">
        <v>12</v>
      </c>
      <c r="N888" s="270" t="s">
        <v>3029</v>
      </c>
      <c r="S888" s="117">
        <v>1</v>
      </c>
      <c r="V888" s="117">
        <v>1</v>
      </c>
      <c r="X888" s="117">
        <v>1</v>
      </c>
      <c r="Y888" s="117">
        <v>1</v>
      </c>
      <c r="Z888" s="119" t="s">
        <v>58</v>
      </c>
      <c r="AA888" s="117">
        <v>1</v>
      </c>
      <c r="AB888" s="114">
        <f t="shared" si="280"/>
        <v>1</v>
      </c>
      <c r="AC888" s="114">
        <f t="shared" si="281"/>
        <v>2</v>
      </c>
      <c r="AD888" s="114">
        <f t="shared" si="282"/>
        <v>1</v>
      </c>
      <c r="AE888" s="114">
        <f t="shared" si="283"/>
        <v>6</v>
      </c>
      <c r="AG888" s="114">
        <f t="shared" si="273"/>
        <v>0.64327485380117</v>
      </c>
      <c r="AH888" s="114">
        <f t="shared" si="274"/>
        <v>0.373303167420814</v>
      </c>
      <c r="AI888" s="114">
        <f t="shared" si="275"/>
        <v>1.33</v>
      </c>
      <c r="AJ888" s="159">
        <f t="shared" si="276"/>
        <v>9.59400415301702</v>
      </c>
      <c r="AK888" s="160">
        <f t="shared" si="277"/>
        <v>9.59400415301702</v>
      </c>
      <c r="AL888" s="141">
        <f t="shared" si="278"/>
        <v>9.59400415301702</v>
      </c>
      <c r="AM888" s="241">
        <f t="shared" si="279"/>
        <v>135</v>
      </c>
      <c r="AN888" s="117">
        <v>1</v>
      </c>
      <c r="AP888" s="117">
        <v>2.69</v>
      </c>
      <c r="AQ888" s="117">
        <v>95</v>
      </c>
      <c r="AR888" s="117">
        <v>1.33</v>
      </c>
      <c r="AS888" s="141">
        <v>31</v>
      </c>
      <c r="AT888" s="142">
        <v>11</v>
      </c>
      <c r="AU888" s="117">
        <v>33</v>
      </c>
      <c r="AV888" s="117">
        <v>141</v>
      </c>
      <c r="AW888" s="234">
        <v>3</v>
      </c>
      <c r="AX888" s="234">
        <v>70</v>
      </c>
      <c r="AZ888" s="119" t="s">
        <v>3030</v>
      </c>
    </row>
    <row r="889" spans="1:52">
      <c r="A889" s="119" t="s">
        <v>3031</v>
      </c>
      <c r="B889" s="117" t="s">
        <v>53</v>
      </c>
      <c r="C889" s="117">
        <v>60</v>
      </c>
      <c r="D889" s="117">
        <v>1.54</v>
      </c>
      <c r="E889" s="117">
        <v>65</v>
      </c>
      <c r="F889" s="117">
        <f t="shared" si="272"/>
        <v>27.4076572777871</v>
      </c>
      <c r="G889">
        <v>1</v>
      </c>
      <c r="H889" s="119" t="s">
        <v>3032</v>
      </c>
      <c r="I889" s="119" t="s">
        <v>3032</v>
      </c>
      <c r="J889" s="119" t="s">
        <v>3033</v>
      </c>
      <c r="L889" s="137">
        <v>1</v>
      </c>
      <c r="M889" s="138">
        <v>12</v>
      </c>
      <c r="N889" s="270" t="s">
        <v>3034</v>
      </c>
      <c r="Q889" s="117">
        <v>1</v>
      </c>
      <c r="V889" s="117">
        <v>1</v>
      </c>
      <c r="X889" s="117">
        <v>1</v>
      </c>
      <c r="Y889" s="117">
        <v>1</v>
      </c>
      <c r="Z889" s="119" t="s">
        <v>58</v>
      </c>
      <c r="AA889" s="117">
        <v>1</v>
      </c>
      <c r="AB889" s="114">
        <f t="shared" si="280"/>
        <v>1</v>
      </c>
      <c r="AC889" s="114">
        <f t="shared" si="281"/>
        <v>1</v>
      </c>
      <c r="AD889" s="114">
        <f t="shared" si="282"/>
        <v>1</v>
      </c>
      <c r="AE889" s="114">
        <f t="shared" si="283"/>
        <v>5</v>
      </c>
      <c r="AF889" s="119" t="s">
        <v>59</v>
      </c>
      <c r="AG889" s="114">
        <f t="shared" si="273"/>
        <v>1.14619883040936</v>
      </c>
      <c r="AH889" s="114">
        <f t="shared" si="274"/>
        <v>0.588235294117647</v>
      </c>
      <c r="AI889" s="114">
        <f t="shared" si="275"/>
        <v>1.27</v>
      </c>
      <c r="AJ889" s="159">
        <f t="shared" si="276"/>
        <v>3.19550347563546</v>
      </c>
      <c r="AK889" s="160">
        <f t="shared" si="277"/>
        <v>3.19550347563546</v>
      </c>
      <c r="AL889" s="141">
        <f t="shared" si="278"/>
        <v>3.19550347563546</v>
      </c>
      <c r="AM889" s="241">
        <f t="shared" si="279"/>
        <v>135</v>
      </c>
      <c r="AN889" s="117">
        <v>0</v>
      </c>
      <c r="AP889" s="117">
        <v>3.01</v>
      </c>
      <c r="AQ889" s="117">
        <v>115</v>
      </c>
      <c r="AR889" s="117">
        <v>1.27</v>
      </c>
      <c r="AS889" s="141">
        <v>38</v>
      </c>
      <c r="AT889" s="142">
        <v>19.6</v>
      </c>
      <c r="AU889" s="117">
        <v>52</v>
      </c>
      <c r="AV889" s="117">
        <v>140</v>
      </c>
      <c r="AW889" s="234">
        <v>0</v>
      </c>
      <c r="AX889" s="234">
        <v>90</v>
      </c>
      <c r="AZ889" s="119" t="s">
        <v>3035</v>
      </c>
    </row>
    <row r="890" spans="1:52">
      <c r="A890" s="119" t="s">
        <v>177</v>
      </c>
      <c r="B890" s="117" t="s">
        <v>48</v>
      </c>
      <c r="C890" s="117">
        <v>46</v>
      </c>
      <c r="D890" s="117">
        <v>1.75</v>
      </c>
      <c r="E890" s="117">
        <v>85</v>
      </c>
      <c r="F890" s="117">
        <f t="shared" si="272"/>
        <v>27.7551020408163</v>
      </c>
      <c r="G890">
        <v>1</v>
      </c>
      <c r="H890" s="315" t="s">
        <v>3032</v>
      </c>
      <c r="I890" s="119" t="s">
        <v>3023</v>
      </c>
      <c r="J890" s="119" t="s">
        <v>3033</v>
      </c>
      <c r="L890" s="137">
        <v>5</v>
      </c>
      <c r="M890" s="138">
        <v>11</v>
      </c>
      <c r="N890" s="270" t="s">
        <v>3036</v>
      </c>
      <c r="O890" s="117">
        <v>1</v>
      </c>
      <c r="Y890" s="117">
        <v>1</v>
      </c>
      <c r="Z890" s="119" t="s">
        <v>58</v>
      </c>
      <c r="AA890" s="117">
        <v>1</v>
      </c>
      <c r="AB890" s="114">
        <f t="shared" si="280"/>
        <v>2</v>
      </c>
      <c r="AC890" s="114">
        <f t="shared" si="281"/>
        <v>1</v>
      </c>
      <c r="AD890" s="114">
        <f t="shared" si="282"/>
        <v>1</v>
      </c>
      <c r="AE890" s="114">
        <f t="shared" si="283"/>
        <v>6</v>
      </c>
      <c r="AF890" s="119" t="s">
        <v>59</v>
      </c>
      <c r="AG890" s="114">
        <f t="shared" si="273"/>
        <v>2.50292397660819</v>
      </c>
      <c r="AH890" s="114">
        <f t="shared" si="274"/>
        <v>0.610859728506787</v>
      </c>
      <c r="AI890" s="114">
        <f t="shared" si="275"/>
        <v>1.6</v>
      </c>
      <c r="AJ890" s="159">
        <f t="shared" si="276"/>
        <v>15.150387276053</v>
      </c>
      <c r="AK890" s="160">
        <f t="shared" si="277"/>
        <v>15.150387276053</v>
      </c>
      <c r="AL890" s="141">
        <f t="shared" si="278"/>
        <v>15.150387276053</v>
      </c>
      <c r="AM890" s="241">
        <f t="shared" si="279"/>
        <v>135</v>
      </c>
      <c r="AN890" s="117">
        <v>1</v>
      </c>
      <c r="AP890" s="117">
        <v>2.57</v>
      </c>
      <c r="AQ890" s="117">
        <v>108</v>
      </c>
      <c r="AR890" s="117">
        <v>1.6</v>
      </c>
      <c r="AS890" s="141">
        <v>41</v>
      </c>
      <c r="AT890" s="142">
        <v>42.8</v>
      </c>
      <c r="AU890" s="117">
        <v>54</v>
      </c>
      <c r="AV890" s="117">
        <v>141</v>
      </c>
      <c r="AW890" s="234">
        <v>0</v>
      </c>
      <c r="AX890" s="234">
        <v>70</v>
      </c>
      <c r="AZ890" s="119" t="s">
        <v>3037</v>
      </c>
    </row>
    <row r="891" spans="1:52">
      <c r="A891" s="119" t="s">
        <v>342</v>
      </c>
      <c r="B891" s="117" t="s">
        <v>48</v>
      </c>
      <c r="C891" s="117">
        <v>63</v>
      </c>
      <c r="D891" s="117">
        <v>1.68</v>
      </c>
      <c r="E891" s="117">
        <v>54</v>
      </c>
      <c r="F891" s="117">
        <f t="shared" si="272"/>
        <v>19.1326530612245</v>
      </c>
      <c r="G891">
        <v>1</v>
      </c>
      <c r="H891" s="119" t="s">
        <v>3038</v>
      </c>
      <c r="I891" s="119" t="s">
        <v>3039</v>
      </c>
      <c r="J891" s="119" t="s">
        <v>3033</v>
      </c>
      <c r="L891" s="137">
        <v>7</v>
      </c>
      <c r="M891" s="138">
        <v>21</v>
      </c>
      <c r="N891" s="270" t="s">
        <v>3040</v>
      </c>
      <c r="O891" s="117">
        <v>1</v>
      </c>
      <c r="V891" s="117">
        <v>1</v>
      </c>
      <c r="X891" s="117">
        <v>1</v>
      </c>
      <c r="Y891" s="117">
        <v>1</v>
      </c>
      <c r="Z891" s="119" t="s">
        <v>58</v>
      </c>
      <c r="AA891" s="117">
        <v>1</v>
      </c>
      <c r="AB891" s="114">
        <f t="shared" si="280"/>
        <v>1</v>
      </c>
      <c r="AC891" s="114">
        <f t="shared" si="281"/>
        <v>2</v>
      </c>
      <c r="AD891" s="114">
        <f t="shared" si="282"/>
        <v>1</v>
      </c>
      <c r="AE891" s="114">
        <f t="shared" si="283"/>
        <v>6</v>
      </c>
      <c r="AF891" s="119" t="s">
        <v>59</v>
      </c>
      <c r="AG891" s="114">
        <f t="shared" si="273"/>
        <v>1.74269005847953</v>
      </c>
      <c r="AH891" s="114">
        <f t="shared" si="274"/>
        <v>0.712669683257918</v>
      </c>
      <c r="AI891" s="114">
        <f t="shared" si="275"/>
        <v>1.64</v>
      </c>
      <c r="AJ891" s="159">
        <f t="shared" si="276"/>
        <v>14.0512316425748</v>
      </c>
      <c r="AK891" s="160">
        <f t="shared" si="277"/>
        <v>14.0512316425748</v>
      </c>
      <c r="AL891" s="141">
        <f t="shared" si="278"/>
        <v>14.0512316425748</v>
      </c>
      <c r="AM891" s="241">
        <f t="shared" si="279"/>
        <v>135</v>
      </c>
      <c r="AN891" s="117">
        <v>1</v>
      </c>
      <c r="AP891" s="117">
        <v>1.39</v>
      </c>
      <c r="AQ891" s="117">
        <v>53</v>
      </c>
      <c r="AR891" s="117">
        <v>1.64</v>
      </c>
      <c r="AS891" s="141">
        <v>34</v>
      </c>
      <c r="AT891" s="142">
        <v>29.8</v>
      </c>
      <c r="AU891" s="117">
        <v>63</v>
      </c>
      <c r="AV891" s="117">
        <v>136</v>
      </c>
      <c r="AW891" s="234">
        <v>8</v>
      </c>
      <c r="AX891" s="234">
        <v>75</v>
      </c>
      <c r="AZ891" s="119" t="s">
        <v>3041</v>
      </c>
    </row>
    <row r="892" spans="1:52">
      <c r="A892" s="119" t="s">
        <v>2996</v>
      </c>
      <c r="B892" s="117" t="s">
        <v>53</v>
      </c>
      <c r="C892" s="117">
        <v>78</v>
      </c>
      <c r="D892" s="117">
        <v>1.6</v>
      </c>
      <c r="E892" s="117">
        <v>70</v>
      </c>
      <c r="F892" s="117">
        <f t="shared" si="272"/>
        <v>27.34375</v>
      </c>
      <c r="G892">
        <v>0</v>
      </c>
      <c r="H892" s="119" t="s">
        <v>3038</v>
      </c>
      <c r="I892" s="119" t="s">
        <v>3042</v>
      </c>
      <c r="J892" s="119" t="s">
        <v>3023</v>
      </c>
      <c r="L892" s="137">
        <v>1</v>
      </c>
      <c r="M892" s="138">
        <v>13</v>
      </c>
      <c r="N892" s="270" t="s">
        <v>3043</v>
      </c>
      <c r="Q892" s="117">
        <v>1</v>
      </c>
      <c r="T892" s="117">
        <v>1</v>
      </c>
      <c r="V892" s="117">
        <v>1</v>
      </c>
      <c r="X892" s="117">
        <v>1</v>
      </c>
      <c r="Y892" s="117">
        <v>1</v>
      </c>
      <c r="Z892" s="119" t="s">
        <v>2811</v>
      </c>
      <c r="AA892" s="117">
        <v>2</v>
      </c>
      <c r="AB892" s="114">
        <f t="shared" si="280"/>
        <v>1</v>
      </c>
      <c r="AC892" s="114">
        <f t="shared" si="281"/>
        <v>2</v>
      </c>
      <c r="AD892" s="114">
        <f t="shared" si="282"/>
        <v>1</v>
      </c>
      <c r="AE892" s="114">
        <f t="shared" si="283"/>
        <v>7</v>
      </c>
      <c r="AF892" s="119" t="s">
        <v>63</v>
      </c>
      <c r="AG892" s="114">
        <f t="shared" si="273"/>
        <v>0.789473684210526</v>
      </c>
      <c r="AH892" s="114">
        <f t="shared" si="274"/>
        <v>0.791855203619909</v>
      </c>
      <c r="AI892" s="114">
        <f t="shared" si="275"/>
        <v>1.14</v>
      </c>
      <c r="AJ892" s="159">
        <f t="shared" si="276"/>
        <v>1.46751653895172</v>
      </c>
      <c r="AK892" s="160">
        <f t="shared" si="277"/>
        <v>1.46751653895172</v>
      </c>
      <c r="AL892" s="141">
        <f t="shared" si="278"/>
        <v>1.46751653895172</v>
      </c>
      <c r="AM892" s="241">
        <f t="shared" si="279"/>
        <v>135</v>
      </c>
      <c r="AN892" s="117">
        <v>0</v>
      </c>
      <c r="AP892" s="117">
        <v>1.85</v>
      </c>
      <c r="AQ892" s="117">
        <v>68</v>
      </c>
      <c r="AR892" s="117">
        <v>1.14</v>
      </c>
      <c r="AS892" s="141">
        <v>29</v>
      </c>
      <c r="AT892" s="142">
        <v>13.5</v>
      </c>
      <c r="AU892" s="117">
        <v>70</v>
      </c>
      <c r="AV892" s="117">
        <v>145</v>
      </c>
      <c r="AW892" s="234">
        <v>13</v>
      </c>
      <c r="AX892" s="234">
        <v>70</v>
      </c>
      <c r="AZ892" s="119" t="s">
        <v>3044</v>
      </c>
    </row>
    <row r="893" spans="1:52">
      <c r="A893" s="119" t="s">
        <v>2109</v>
      </c>
      <c r="B893" s="117" t="s">
        <v>48</v>
      </c>
      <c r="C893" s="117">
        <v>77</v>
      </c>
      <c r="D893" s="117">
        <v>1.7</v>
      </c>
      <c r="E893" s="117">
        <v>65</v>
      </c>
      <c r="F893" s="117">
        <f t="shared" si="272"/>
        <v>22.4913494809689</v>
      </c>
      <c r="G893">
        <v>7</v>
      </c>
      <c r="H893" s="119" t="s">
        <v>2926</v>
      </c>
      <c r="I893" s="119" t="s">
        <v>3042</v>
      </c>
      <c r="J893" s="119" t="s">
        <v>3045</v>
      </c>
      <c r="L893" s="137">
        <v>2</v>
      </c>
      <c r="M893" s="138">
        <v>11</v>
      </c>
      <c r="N893" s="270" t="s">
        <v>3046</v>
      </c>
      <c r="S893" s="117">
        <v>1</v>
      </c>
      <c r="Y893" s="117">
        <v>1</v>
      </c>
      <c r="Z893" s="119" t="s">
        <v>321</v>
      </c>
      <c r="AA893" s="117">
        <v>3</v>
      </c>
      <c r="AB893" s="114">
        <f t="shared" si="280"/>
        <v>1</v>
      </c>
      <c r="AC893" s="114">
        <f t="shared" si="281"/>
        <v>2</v>
      </c>
      <c r="AD893" s="114">
        <f t="shared" si="282"/>
        <v>1</v>
      </c>
      <c r="AE893" s="114">
        <f t="shared" si="283"/>
        <v>8</v>
      </c>
      <c r="AF893" s="119" t="s">
        <v>63</v>
      </c>
      <c r="AG893" s="114">
        <f t="shared" si="273"/>
        <v>1.60818713450292</v>
      </c>
      <c r="AH893" s="114">
        <f t="shared" si="274"/>
        <v>0.927601809954751</v>
      </c>
      <c r="AI893" s="114">
        <f t="shared" si="275"/>
        <v>1.39</v>
      </c>
      <c r="AJ893" s="159">
        <f t="shared" si="276"/>
        <v>11.89361062442</v>
      </c>
      <c r="AK893" s="160">
        <f t="shared" si="277"/>
        <v>11.89361062442</v>
      </c>
      <c r="AL893" s="141">
        <f t="shared" si="278"/>
        <v>11.89361062442</v>
      </c>
      <c r="AM893" s="241">
        <f t="shared" si="279"/>
        <v>135</v>
      </c>
      <c r="AN893" s="117">
        <v>1</v>
      </c>
      <c r="AP893" s="117">
        <v>3.66</v>
      </c>
      <c r="AQ893" s="117">
        <v>69</v>
      </c>
      <c r="AR893" s="117">
        <v>1.39</v>
      </c>
      <c r="AS893" s="141">
        <v>29</v>
      </c>
      <c r="AT893" s="142">
        <v>27.5</v>
      </c>
      <c r="AU893" s="117">
        <v>82</v>
      </c>
      <c r="AV893" s="117">
        <v>138</v>
      </c>
      <c r="AW893" s="234">
        <v>4</v>
      </c>
      <c r="AX893" s="234">
        <v>50</v>
      </c>
      <c r="AZ893" s="119" t="s">
        <v>3047</v>
      </c>
    </row>
    <row r="894" spans="1:52">
      <c r="A894" s="119" t="s">
        <v>2960</v>
      </c>
      <c r="B894" s="117" t="s">
        <v>53</v>
      </c>
      <c r="C894" s="117">
        <v>71</v>
      </c>
      <c r="D894" s="117">
        <v>1.52</v>
      </c>
      <c r="E894" s="117">
        <v>55</v>
      </c>
      <c r="F894" s="117">
        <f t="shared" si="272"/>
        <v>23.8054016620499</v>
      </c>
      <c r="G894">
        <v>3</v>
      </c>
      <c r="H894" s="119"/>
      <c r="I894" s="119" t="s">
        <v>2974</v>
      </c>
      <c r="J894" s="119" t="s">
        <v>3048</v>
      </c>
      <c r="L894" s="137">
        <v>1</v>
      </c>
      <c r="M894" s="138">
        <v>10</v>
      </c>
      <c r="N894" s="270" t="s">
        <v>3049</v>
      </c>
      <c r="Q894" s="117">
        <v>1</v>
      </c>
      <c r="V894" s="117">
        <v>1</v>
      </c>
      <c r="X894" s="117">
        <v>1</v>
      </c>
      <c r="Y894" s="117">
        <v>1</v>
      </c>
      <c r="Z894" s="119" t="s">
        <v>58</v>
      </c>
      <c r="AA894" s="117">
        <v>1</v>
      </c>
      <c r="AB894" s="114">
        <f t="shared" si="280"/>
        <v>1</v>
      </c>
      <c r="AC894" s="114">
        <f t="shared" si="281"/>
        <v>1</v>
      </c>
      <c r="AD894" s="114">
        <f t="shared" si="282"/>
        <v>1</v>
      </c>
      <c r="AE894" s="114">
        <f t="shared" si="283"/>
        <v>5</v>
      </c>
      <c r="AF894" s="119" t="s">
        <v>59</v>
      </c>
      <c r="AG894" s="114">
        <f t="shared" si="273"/>
        <v>0.701754385964912</v>
      </c>
      <c r="AH894" s="114">
        <f t="shared" si="274"/>
        <v>0.656108597285068</v>
      </c>
      <c r="AI894" s="114">
        <f t="shared" si="275"/>
        <v>1.03</v>
      </c>
      <c r="AJ894" s="159">
        <f t="shared" si="276"/>
        <v>0.331058585105298</v>
      </c>
      <c r="AK894" s="160">
        <f t="shared" si="277"/>
        <v>0.331058585105298</v>
      </c>
      <c r="AL894" s="141">
        <f t="shared" si="278"/>
        <v>0.331058585105298</v>
      </c>
      <c r="AM894" s="241">
        <f t="shared" si="279"/>
        <v>135</v>
      </c>
      <c r="AN894" s="117">
        <v>0</v>
      </c>
      <c r="AP894" s="117">
        <v>4.63</v>
      </c>
      <c r="AQ894" s="117">
        <v>131</v>
      </c>
      <c r="AR894" s="117">
        <v>1.03</v>
      </c>
      <c r="AS894" s="141">
        <v>38</v>
      </c>
      <c r="AT894" s="142">
        <v>12</v>
      </c>
      <c r="AU894" s="117">
        <v>58</v>
      </c>
      <c r="AV894" s="117">
        <v>145</v>
      </c>
      <c r="AW894" s="234"/>
      <c r="AX894" s="234">
        <v>90</v>
      </c>
      <c r="AZ894" s="119" t="s">
        <v>2963</v>
      </c>
    </row>
    <row r="895" spans="1:52">
      <c r="H895" s="119"/>
    </row>
  </sheetData>
  <sheetProtection formatCells="0" insertHyperlinks="0" autoFilter="0"/>
  <mergeCells count="6">
    <mergeCell ref="O1:S1"/>
    <mergeCell ref="T1:V1"/>
    <mergeCell ref="Y1:AF1"/>
    <mergeCell ref="AG1:AO1"/>
    <mergeCell ref="AP1:AQ1"/>
    <mergeCell ref="AS1:AT1"/>
  </mergeCells>
  <conditionalFormatting sqref="A$1:A$1048576">
    <cfRule type="expression" dxfId="0" priority="482">
      <formula>AND(SUMPRODUCT(IFERROR(1*(($A$1:$A$1048576&amp;"x")=(A1&amp;"x")),0))&gt;1,NOT(ISBLANK(A1)))</formula>
    </cfRule>
  </conditionalFormatting>
  <pageMargins left="0.699305555555556" right="0.699305555555556" top="0.75" bottom="0.75" header="0.3" footer="0.3"/>
  <pageSetup paperSize="1" fitToWidth="0" fitToHeight="0"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67"/>
  <sheetViews>
    <sheetView topLeftCell="L1" workbookViewId="0">
      <pane ySplit="1" topLeftCell="A86" activePane="bottomLeft" state="frozen"/>
      <selection/>
      <selection pane="bottomLeft" activeCell="A198" sqref="A198:A201"/>
    </sheetView>
  </sheetViews>
  <sheetFormatPr defaultColWidth="9" defaultRowHeight="14.25"/>
  <cols>
    <col min="1" max="1" width="9" style="110"/>
    <col min="2" max="2" width="14.8833333333333" style="110" customWidth="1"/>
    <col min="4" max="4" width="18.75" customWidth="1"/>
    <col min="5" max="5" width="15.25" customWidth="1"/>
    <col min="6" max="6" width="16.25" customWidth="1"/>
    <col min="7" max="7" width="13" customWidth="1"/>
    <col min="12" max="12" width="16.1333333333333" customWidth="1"/>
    <col min="13" max="13" width="17" customWidth="1"/>
    <col min="14" max="14" width="14" customWidth="1"/>
    <col min="15" max="15" width="20.6333333333333" customWidth="1"/>
    <col min="16" max="16" width="17.3833333333333" customWidth="1"/>
    <col min="17" max="17" width="19.75" customWidth="1"/>
    <col min="18" max="18" width="21.75" customWidth="1"/>
    <col min="19" max="19" width="27" customWidth="1"/>
  </cols>
  <sheetData>
    <row r="1" spans="1:19">
      <c r="A1" s="110" t="s">
        <v>9</v>
      </c>
      <c r="B1" s="110" t="s">
        <v>3050</v>
      </c>
      <c r="C1" s="45" t="s">
        <v>3051</v>
      </c>
      <c r="D1" s="45" t="s">
        <v>3052</v>
      </c>
      <c r="E1" s="45" t="s">
        <v>3053</v>
      </c>
      <c r="F1" s="45" t="s">
        <v>3054</v>
      </c>
      <c r="G1" s="111" t="s">
        <v>3055</v>
      </c>
      <c r="H1" t="s">
        <v>3056</v>
      </c>
      <c r="I1">
        <v>2</v>
      </c>
      <c r="J1">
        <v>3</v>
      </c>
      <c r="K1">
        <v>4</v>
      </c>
      <c r="L1" t="s">
        <v>3053</v>
      </c>
      <c r="M1" t="s">
        <v>3057</v>
      </c>
      <c r="N1">
        <v>2</v>
      </c>
      <c r="O1" s="45" t="s">
        <v>3058</v>
      </c>
      <c r="P1" s="112" t="s">
        <v>3059</v>
      </c>
      <c r="Q1" s="112" t="s">
        <v>3060</v>
      </c>
      <c r="R1" s="112" t="s">
        <v>3061</v>
      </c>
      <c r="S1" s="112" t="s">
        <v>3062</v>
      </c>
    </row>
    <row r="2" spans="1:19">
      <c r="A2" s="110" t="s">
        <v>3063</v>
      </c>
      <c r="B2" s="110" t="s">
        <v>3064</v>
      </c>
      <c r="C2">
        <v>86.593</v>
      </c>
      <c r="D2">
        <v>130.6295</v>
      </c>
      <c r="E2">
        <v>71.6652</v>
      </c>
      <c r="F2">
        <v>58.9094</v>
      </c>
      <c r="G2">
        <f>AVERAGE(H2,I2,J2,K2)</f>
        <v>54.375</v>
      </c>
      <c r="H2">
        <v>49.1</v>
      </c>
      <c r="I2">
        <v>56.7</v>
      </c>
      <c r="J2">
        <v>56.2</v>
      </c>
      <c r="K2">
        <v>55.5</v>
      </c>
      <c r="L2">
        <f>AVERAGE(M2:N2)</f>
        <v>-60.85</v>
      </c>
      <c r="M2">
        <v>-54.8</v>
      </c>
      <c r="N2">
        <v>-66.9</v>
      </c>
      <c r="O2">
        <f>G2/L2</f>
        <v>-0.893590797041906</v>
      </c>
      <c r="P2" s="112">
        <v>133.208</v>
      </c>
      <c r="Q2" s="112">
        <v>69.4226</v>
      </c>
      <c r="R2" s="112">
        <v>96.4496</v>
      </c>
      <c r="S2" s="112">
        <v>1.389311262</v>
      </c>
    </row>
    <row r="3" spans="1:19">
      <c r="A3" s="110" t="s">
        <v>133</v>
      </c>
      <c r="B3" s="110" t="s">
        <v>3065</v>
      </c>
      <c r="C3">
        <v>99.016</v>
      </c>
      <c r="D3">
        <v>124.4353</v>
      </c>
      <c r="E3">
        <v>61.2702</v>
      </c>
      <c r="F3">
        <v>183.9868</v>
      </c>
      <c r="G3">
        <f t="shared" ref="G3:G62" si="0">AVERAGE(H3,I3,J3,K3)</f>
        <v>52.025</v>
      </c>
      <c r="H3">
        <v>50.2</v>
      </c>
      <c r="I3">
        <v>57.8</v>
      </c>
      <c r="J3">
        <v>55.6</v>
      </c>
      <c r="K3">
        <v>44.5</v>
      </c>
      <c r="L3">
        <f t="shared" ref="L3:L62" si="1">AVERAGE(M3:N3)</f>
        <v>-92.25</v>
      </c>
      <c r="M3">
        <v>-92.3</v>
      </c>
      <c r="N3">
        <v>-92.2</v>
      </c>
      <c r="O3">
        <f t="shared" ref="O3:O62" si="2">G3/L3</f>
        <v>-0.563956639566396</v>
      </c>
      <c r="P3" s="112">
        <v>123.923</v>
      </c>
      <c r="Q3" s="112">
        <v>62.2011</v>
      </c>
      <c r="R3" s="112">
        <v>231.172</v>
      </c>
      <c r="S3" s="112">
        <v>3.716525914</v>
      </c>
    </row>
    <row r="4" spans="1:19">
      <c r="A4" s="110" t="s">
        <v>3066</v>
      </c>
      <c r="B4" s="110" t="s">
        <v>3067</v>
      </c>
      <c r="C4">
        <v>96.542</v>
      </c>
      <c r="D4">
        <v>131.4273</v>
      </c>
      <c r="E4">
        <v>128.8495</v>
      </c>
      <c r="F4">
        <v>100.3918</v>
      </c>
      <c r="G4">
        <f t="shared" si="0"/>
        <v>53.075</v>
      </c>
      <c r="H4">
        <v>52.8</v>
      </c>
      <c r="I4">
        <v>58</v>
      </c>
      <c r="J4">
        <v>52.3</v>
      </c>
      <c r="K4">
        <v>49.2</v>
      </c>
      <c r="L4">
        <f t="shared" si="1"/>
        <v>-86.6</v>
      </c>
      <c r="M4">
        <v>-85.6</v>
      </c>
      <c r="N4">
        <v>-87.6</v>
      </c>
      <c r="O4">
        <f t="shared" si="2"/>
        <v>-0.612875288683603</v>
      </c>
      <c r="P4" s="112">
        <v>129.2422</v>
      </c>
      <c r="Q4" s="112">
        <v>130.5495</v>
      </c>
      <c r="R4" s="112">
        <v>135.4419</v>
      </c>
      <c r="S4" s="112">
        <v>1.03747544</v>
      </c>
    </row>
    <row r="5" spans="1:19">
      <c r="A5" s="110" t="s">
        <v>112</v>
      </c>
      <c r="B5" s="110" t="s">
        <v>3068</v>
      </c>
      <c r="C5">
        <v>97.553</v>
      </c>
      <c r="D5">
        <v>158.8083</v>
      </c>
      <c r="E5">
        <v>151.2466</v>
      </c>
      <c r="F5">
        <v>145.4141</v>
      </c>
      <c r="G5">
        <f t="shared" si="0"/>
        <v>39.825</v>
      </c>
      <c r="H5">
        <v>44.4</v>
      </c>
      <c r="I5">
        <v>27.4</v>
      </c>
      <c r="J5">
        <v>38.1</v>
      </c>
      <c r="K5">
        <v>49.4</v>
      </c>
      <c r="L5">
        <f t="shared" si="1"/>
        <v>-105.4</v>
      </c>
      <c r="M5">
        <v>-103.1</v>
      </c>
      <c r="N5">
        <v>-107.7</v>
      </c>
      <c r="O5">
        <f t="shared" si="2"/>
        <v>-0.377846299810247</v>
      </c>
      <c r="P5" s="112">
        <v>163.0464</v>
      </c>
      <c r="Q5" s="112">
        <v>150.848</v>
      </c>
      <c r="R5" s="112">
        <v>174.3421</v>
      </c>
      <c r="S5" s="112">
        <v>1.155746845</v>
      </c>
    </row>
    <row r="6" spans="1:19">
      <c r="A6" s="110" t="s">
        <v>118</v>
      </c>
      <c r="B6" s="110" t="s">
        <v>3069</v>
      </c>
      <c r="C6">
        <v>83.655</v>
      </c>
      <c r="D6">
        <v>104.9183</v>
      </c>
      <c r="E6">
        <v>163.7667</v>
      </c>
      <c r="F6">
        <v>76.4499</v>
      </c>
      <c r="G6">
        <f t="shared" si="0"/>
        <v>52.225</v>
      </c>
      <c r="H6">
        <v>43.7</v>
      </c>
      <c r="I6">
        <v>56</v>
      </c>
      <c r="J6">
        <v>55.2</v>
      </c>
      <c r="K6">
        <v>54</v>
      </c>
      <c r="L6">
        <f t="shared" si="1"/>
        <v>-104.1</v>
      </c>
      <c r="M6">
        <v>-105.5</v>
      </c>
      <c r="N6">
        <v>-102.7</v>
      </c>
      <c r="O6">
        <f t="shared" si="2"/>
        <v>-0.501681075888569</v>
      </c>
      <c r="P6" s="112">
        <v>103.2367</v>
      </c>
      <c r="Q6" s="112">
        <v>162.9656</v>
      </c>
      <c r="R6" s="112">
        <v>90.22</v>
      </c>
      <c r="S6" s="112">
        <v>0.553613769</v>
      </c>
    </row>
    <row r="7" spans="1:19">
      <c r="A7" s="110" t="s">
        <v>130</v>
      </c>
      <c r="B7" s="110" t="s">
        <v>3070</v>
      </c>
      <c r="C7">
        <v>96.236</v>
      </c>
      <c r="D7">
        <v>120.9014</v>
      </c>
      <c r="E7">
        <v>205.8137</v>
      </c>
      <c r="F7">
        <v>115.5622</v>
      </c>
      <c r="G7">
        <f t="shared" si="0"/>
        <v>50.2</v>
      </c>
      <c r="H7">
        <v>49.5</v>
      </c>
      <c r="I7">
        <v>55.4</v>
      </c>
      <c r="J7">
        <v>52.4</v>
      </c>
      <c r="K7">
        <v>43.5</v>
      </c>
      <c r="L7">
        <f t="shared" si="1"/>
        <v>-103.6</v>
      </c>
      <c r="M7">
        <v>-101.4</v>
      </c>
      <c r="N7">
        <v>-105.8</v>
      </c>
      <c r="O7">
        <f t="shared" si="2"/>
        <v>-0.484555984555985</v>
      </c>
      <c r="P7" s="112">
        <v>125.5772</v>
      </c>
      <c r="Q7" s="112">
        <v>206.0473</v>
      </c>
      <c r="R7" s="112">
        <v>141.5205</v>
      </c>
      <c r="S7" s="112">
        <v>0.686835013</v>
      </c>
    </row>
    <row r="8" spans="1:19">
      <c r="A8" s="110" t="s">
        <v>124</v>
      </c>
      <c r="B8" s="110" t="s">
        <v>3071</v>
      </c>
      <c r="C8">
        <v>80.203</v>
      </c>
      <c r="D8">
        <v>83.828</v>
      </c>
      <c r="E8">
        <v>84.9843</v>
      </c>
      <c r="F8">
        <v>39.0325</v>
      </c>
      <c r="G8">
        <f t="shared" si="0"/>
        <v>40.675</v>
      </c>
      <c r="H8">
        <v>40.6</v>
      </c>
      <c r="I8">
        <v>48</v>
      </c>
      <c r="J8">
        <v>47.9</v>
      </c>
      <c r="K8">
        <v>26.2</v>
      </c>
      <c r="L8">
        <f t="shared" si="1"/>
        <v>-67</v>
      </c>
      <c r="M8">
        <v>-68.7</v>
      </c>
      <c r="N8">
        <v>-65.3</v>
      </c>
      <c r="O8">
        <f t="shared" si="2"/>
        <v>-0.607089552238806</v>
      </c>
      <c r="P8" s="112">
        <v>81.4583</v>
      </c>
      <c r="Q8" s="112">
        <v>84.6621</v>
      </c>
      <c r="R8" s="112">
        <v>65.9073</v>
      </c>
      <c r="S8" s="112">
        <v>0.778474666</v>
      </c>
    </row>
    <row r="9" spans="1:19">
      <c r="A9" s="110" t="s">
        <v>70</v>
      </c>
      <c r="B9" s="110" t="s">
        <v>3072</v>
      </c>
      <c r="C9">
        <v>91.768</v>
      </c>
      <c r="D9">
        <v>91.6628</v>
      </c>
      <c r="E9">
        <v>69.5598</v>
      </c>
      <c r="F9">
        <v>76.5891</v>
      </c>
      <c r="G9">
        <f t="shared" si="0"/>
        <v>26.6</v>
      </c>
      <c r="H9">
        <v>31.6</v>
      </c>
      <c r="I9">
        <v>21.2</v>
      </c>
      <c r="J9">
        <v>22.9</v>
      </c>
      <c r="K9">
        <v>30.7</v>
      </c>
      <c r="L9">
        <f t="shared" si="1"/>
        <v>-75.8</v>
      </c>
      <c r="M9">
        <v>-79.3</v>
      </c>
      <c r="N9">
        <v>-72.3</v>
      </c>
      <c r="O9">
        <f t="shared" si="2"/>
        <v>-0.350923482849604</v>
      </c>
      <c r="P9" s="112">
        <v>95.5307</v>
      </c>
      <c r="Q9" s="112">
        <v>72.5567</v>
      </c>
      <c r="R9" s="112">
        <v>119.5265</v>
      </c>
      <c r="S9" s="112">
        <v>1.647353036</v>
      </c>
    </row>
    <row r="10" spans="1:19">
      <c r="A10" s="110" t="s">
        <v>3073</v>
      </c>
      <c r="B10" s="110" t="s">
        <v>3074</v>
      </c>
      <c r="C10">
        <v>76.454</v>
      </c>
      <c r="D10">
        <v>123.4744</v>
      </c>
      <c r="E10">
        <v>58.23</v>
      </c>
      <c r="F10">
        <v>34.2731</v>
      </c>
      <c r="G10">
        <f t="shared" si="0"/>
        <v>53.625</v>
      </c>
      <c r="H10">
        <v>50.8</v>
      </c>
      <c r="I10">
        <v>51.6</v>
      </c>
      <c r="J10">
        <v>55.4</v>
      </c>
      <c r="K10">
        <v>56.7</v>
      </c>
      <c r="L10">
        <f t="shared" si="1"/>
        <v>-78.85</v>
      </c>
      <c r="M10">
        <v>-80.9</v>
      </c>
      <c r="N10">
        <v>-76.8</v>
      </c>
      <c r="O10">
        <f t="shared" si="2"/>
        <v>-0.680088776157261</v>
      </c>
      <c r="P10" s="112">
        <v>122.7769</v>
      </c>
      <c r="Q10" s="112">
        <v>57.6731</v>
      </c>
      <c r="R10" s="112">
        <v>52.5375</v>
      </c>
      <c r="S10" s="112">
        <v>0.910953287</v>
      </c>
    </row>
    <row r="11" spans="1:19">
      <c r="A11" s="110" t="s">
        <v>79</v>
      </c>
      <c r="B11" s="110" t="s">
        <v>3074</v>
      </c>
      <c r="C11">
        <v>94.086</v>
      </c>
      <c r="D11">
        <v>151.8119</v>
      </c>
      <c r="E11">
        <v>98.9789</v>
      </c>
      <c r="F11">
        <v>138.0966</v>
      </c>
      <c r="G11">
        <f t="shared" si="0"/>
        <v>57.85</v>
      </c>
      <c r="H11">
        <v>54.2</v>
      </c>
      <c r="I11">
        <v>52.1</v>
      </c>
      <c r="J11">
        <v>63.5</v>
      </c>
      <c r="K11">
        <v>61.6</v>
      </c>
      <c r="L11">
        <f t="shared" si="1"/>
        <v>-96.7</v>
      </c>
      <c r="M11">
        <v>-100.8</v>
      </c>
      <c r="N11">
        <v>-92.6</v>
      </c>
      <c r="O11">
        <f t="shared" si="2"/>
        <v>-0.598241985522234</v>
      </c>
      <c r="P11" s="112">
        <v>161.3214</v>
      </c>
      <c r="Q11" s="112">
        <v>100.1098</v>
      </c>
      <c r="R11" s="112">
        <v>177.8919</v>
      </c>
      <c r="S11" s="112">
        <v>1.776967889</v>
      </c>
    </row>
    <row r="12" spans="1:19">
      <c r="A12" s="110" t="s">
        <v>109</v>
      </c>
      <c r="B12" s="110" t="s">
        <v>3075</v>
      </c>
      <c r="C12">
        <v>90.548</v>
      </c>
      <c r="D12">
        <v>97.3645</v>
      </c>
      <c r="E12">
        <v>170.5695</v>
      </c>
      <c r="F12">
        <v>111.2768</v>
      </c>
      <c r="G12">
        <f t="shared" si="0"/>
        <v>52.925</v>
      </c>
      <c r="H12">
        <v>53.2</v>
      </c>
      <c r="I12">
        <v>50.3</v>
      </c>
      <c r="J12">
        <v>56.9</v>
      </c>
      <c r="K12">
        <v>51.3</v>
      </c>
      <c r="L12">
        <f t="shared" si="1"/>
        <v>-105.05</v>
      </c>
      <c r="M12">
        <v>-105.4</v>
      </c>
      <c r="N12">
        <v>-104.7</v>
      </c>
      <c r="O12">
        <f t="shared" si="2"/>
        <v>-0.503807710613993</v>
      </c>
      <c r="P12" s="112">
        <v>99.8314</v>
      </c>
      <c r="Q12" s="112">
        <v>171.7081</v>
      </c>
      <c r="R12" s="112">
        <v>124.0831</v>
      </c>
      <c r="S12" s="112">
        <v>0.722639759</v>
      </c>
    </row>
    <row r="13" spans="1:19">
      <c r="A13" s="110" t="s">
        <v>3076</v>
      </c>
      <c r="B13" s="110" t="s">
        <v>3072</v>
      </c>
      <c r="C13">
        <v>107.49</v>
      </c>
      <c r="D13">
        <v>167.6827</v>
      </c>
      <c r="E13">
        <v>131.8196</v>
      </c>
      <c r="F13">
        <v>20.1535</v>
      </c>
      <c r="G13">
        <f t="shared" si="0"/>
        <v>54.1</v>
      </c>
      <c r="H13">
        <v>54.6</v>
      </c>
      <c r="I13">
        <v>58.2</v>
      </c>
      <c r="J13">
        <v>52.9</v>
      </c>
      <c r="K13">
        <v>50.7</v>
      </c>
      <c r="L13">
        <f t="shared" si="1"/>
        <v>-39.35</v>
      </c>
      <c r="M13">
        <v>-40.2</v>
      </c>
      <c r="N13">
        <v>-38.5</v>
      </c>
      <c r="O13">
        <f t="shared" si="2"/>
        <v>-1.37484116899619</v>
      </c>
      <c r="P13" s="112">
        <v>153.8416</v>
      </c>
      <c r="Q13" s="112">
        <v>127.3155</v>
      </c>
      <c r="R13" s="112">
        <v>69.003</v>
      </c>
      <c r="S13" s="112">
        <v>0.541984283</v>
      </c>
    </row>
    <row r="14" spans="1:19">
      <c r="A14" s="110" t="s">
        <v>127</v>
      </c>
      <c r="B14" s="110" t="s">
        <v>3077</v>
      </c>
      <c r="C14">
        <v>104.54</v>
      </c>
      <c r="D14">
        <v>142.6147</v>
      </c>
      <c r="E14">
        <v>307.7454</v>
      </c>
      <c r="F14">
        <v>122.5342</v>
      </c>
      <c r="G14">
        <f t="shared" si="0"/>
        <v>49.375</v>
      </c>
      <c r="H14">
        <v>43</v>
      </c>
      <c r="I14">
        <v>46.9</v>
      </c>
      <c r="J14">
        <v>55.1</v>
      </c>
      <c r="K14">
        <v>52.5</v>
      </c>
      <c r="L14">
        <f t="shared" si="1"/>
        <v>-99.65</v>
      </c>
      <c r="M14">
        <v>-100.3</v>
      </c>
      <c r="N14">
        <v>-99</v>
      </c>
      <c r="O14">
        <f t="shared" si="2"/>
        <v>-0.495484194681385</v>
      </c>
      <c r="P14" s="112">
        <v>138.0127</v>
      </c>
      <c r="Q14" s="112">
        <v>298.3948</v>
      </c>
      <c r="R14" s="112">
        <v>131.4209</v>
      </c>
      <c r="S14" s="112">
        <v>0.440426241</v>
      </c>
    </row>
    <row r="15" spans="1:19">
      <c r="A15" s="110" t="s">
        <v>85</v>
      </c>
      <c r="B15" s="110" t="s">
        <v>3078</v>
      </c>
      <c r="C15">
        <v>85.082</v>
      </c>
      <c r="D15">
        <v>126.8259</v>
      </c>
      <c r="E15">
        <v>60.8434</v>
      </c>
      <c r="F15">
        <v>3.8027</v>
      </c>
      <c r="G15">
        <f t="shared" si="0"/>
        <v>55.85</v>
      </c>
      <c r="H15">
        <v>52</v>
      </c>
      <c r="I15">
        <v>56.1</v>
      </c>
      <c r="J15">
        <v>58.2</v>
      </c>
      <c r="K15">
        <v>57.1</v>
      </c>
      <c r="L15">
        <f t="shared" si="1"/>
        <v>-53.65</v>
      </c>
      <c r="M15">
        <v>-50.7</v>
      </c>
      <c r="N15">
        <v>-56.6</v>
      </c>
      <c r="O15">
        <f t="shared" si="2"/>
        <v>-1.04100652376514</v>
      </c>
      <c r="P15" s="112">
        <v>124.3465</v>
      </c>
      <c r="Q15" s="112">
        <v>59.8405</v>
      </c>
      <c r="R15" s="112">
        <v>11.9284</v>
      </c>
      <c r="S15" s="112">
        <f>R15/Q15</f>
        <v>0.199336569714491</v>
      </c>
    </row>
    <row r="16" spans="1:19">
      <c r="A16" s="110" t="s">
        <v>135</v>
      </c>
      <c r="B16" s="110" t="s">
        <v>3079</v>
      </c>
      <c r="C16">
        <v>109.69</v>
      </c>
      <c r="D16">
        <v>118.3859</v>
      </c>
      <c r="E16">
        <v>132.2974</v>
      </c>
      <c r="F16">
        <v>377.4993</v>
      </c>
      <c r="G16">
        <f t="shared" si="0"/>
        <v>47.85</v>
      </c>
      <c r="H16">
        <v>39</v>
      </c>
      <c r="I16">
        <v>54.5</v>
      </c>
      <c r="J16">
        <v>58.7</v>
      </c>
      <c r="K16">
        <v>39.2</v>
      </c>
      <c r="L16">
        <f t="shared" si="1"/>
        <v>-102.4</v>
      </c>
      <c r="M16">
        <v>-105.4</v>
      </c>
      <c r="N16">
        <v>-99.4</v>
      </c>
      <c r="O16">
        <f t="shared" si="2"/>
        <v>-0.46728515625</v>
      </c>
      <c r="P16" s="112">
        <v>116.0167</v>
      </c>
      <c r="Q16" s="112">
        <v>136.3115</v>
      </c>
      <c r="R16" s="112">
        <v>392.3034</v>
      </c>
      <c r="S16" s="112">
        <v>2.877991952</v>
      </c>
    </row>
    <row r="17" spans="1:19">
      <c r="A17" s="110" t="s">
        <v>3080</v>
      </c>
      <c r="B17" s="110" t="s">
        <v>3081</v>
      </c>
      <c r="C17">
        <v>99.512</v>
      </c>
      <c r="D17">
        <v>106.3155</v>
      </c>
      <c r="E17">
        <v>149.6002</v>
      </c>
      <c r="F17">
        <v>186.0177</v>
      </c>
      <c r="G17">
        <f t="shared" si="0"/>
        <v>48.6</v>
      </c>
      <c r="H17">
        <v>56.6</v>
      </c>
      <c r="I17">
        <v>53</v>
      </c>
      <c r="J17">
        <v>35.3</v>
      </c>
      <c r="K17">
        <v>49.5</v>
      </c>
      <c r="L17">
        <f t="shared" si="1"/>
        <v>-100.15</v>
      </c>
      <c r="M17">
        <v>-96.1</v>
      </c>
      <c r="N17">
        <v>-104.2</v>
      </c>
      <c r="O17">
        <f t="shared" si="2"/>
        <v>-0.485272091862207</v>
      </c>
      <c r="P17" s="112">
        <v>110.8985</v>
      </c>
      <c r="Q17" s="112">
        <v>154.5893</v>
      </c>
      <c r="R17" s="112">
        <v>198.0336</v>
      </c>
      <c r="S17" s="112">
        <v>1.281030446</v>
      </c>
    </row>
    <row r="18" spans="1:19">
      <c r="A18" s="110" t="s">
        <v>3082</v>
      </c>
      <c r="B18" s="110" t="s">
        <v>3083</v>
      </c>
      <c r="C18">
        <v>93.82</v>
      </c>
      <c r="D18">
        <v>183.0007</v>
      </c>
      <c r="E18">
        <v>121.6751</v>
      </c>
      <c r="F18">
        <v>73.1222</v>
      </c>
      <c r="G18">
        <f t="shared" si="0"/>
        <v>48.675</v>
      </c>
      <c r="H18">
        <v>47.7</v>
      </c>
      <c r="I18">
        <v>51.1</v>
      </c>
      <c r="J18">
        <v>51.3</v>
      </c>
      <c r="K18">
        <v>44.6</v>
      </c>
      <c r="L18">
        <f t="shared" si="1"/>
        <v>-93.1</v>
      </c>
      <c r="M18">
        <v>-90.9</v>
      </c>
      <c r="N18">
        <v>-95.3</v>
      </c>
      <c r="O18">
        <f t="shared" si="2"/>
        <v>-0.522824919441461</v>
      </c>
      <c r="P18" s="112">
        <v>177.4765</v>
      </c>
      <c r="Q18" s="112">
        <v>123.8028</v>
      </c>
      <c r="R18" s="112">
        <v>89.441</v>
      </c>
      <c r="S18" s="112">
        <v>0.722447311</v>
      </c>
    </row>
    <row r="19" spans="1:19">
      <c r="A19" s="110" t="s">
        <v>3084</v>
      </c>
      <c r="B19" s="110" t="s">
        <v>3085</v>
      </c>
      <c r="C19">
        <v>94.086</v>
      </c>
      <c r="D19">
        <v>151.4053</v>
      </c>
      <c r="E19">
        <v>98.7967</v>
      </c>
      <c r="F19">
        <v>138.9004</v>
      </c>
      <c r="G19">
        <f t="shared" si="0"/>
        <v>46.45</v>
      </c>
      <c r="H19">
        <v>45.1</v>
      </c>
      <c r="I19">
        <v>51.9</v>
      </c>
      <c r="J19">
        <v>48.3</v>
      </c>
      <c r="K19">
        <v>40.5</v>
      </c>
      <c r="L19">
        <f t="shared" si="1"/>
        <v>-78.45</v>
      </c>
      <c r="M19">
        <v>-76.7</v>
      </c>
      <c r="N19">
        <v>-80.2</v>
      </c>
      <c r="O19">
        <f t="shared" si="2"/>
        <v>-0.592096876991715</v>
      </c>
      <c r="P19" s="112">
        <v>140.965</v>
      </c>
      <c r="Q19" s="112">
        <v>112.0779</v>
      </c>
      <c r="R19" s="112">
        <v>103.5138</v>
      </c>
      <c r="S19" s="112">
        <v>0.923587969</v>
      </c>
    </row>
    <row r="20" spans="1:19">
      <c r="A20" s="110" t="s">
        <v>52</v>
      </c>
      <c r="B20" s="110" t="s">
        <v>3086</v>
      </c>
      <c r="C20">
        <v>112.81</v>
      </c>
      <c r="D20">
        <v>120.5394</v>
      </c>
      <c r="E20">
        <v>209.9316</v>
      </c>
      <c r="F20">
        <v>141.4871</v>
      </c>
      <c r="G20">
        <f t="shared" si="0"/>
        <v>25.025</v>
      </c>
      <c r="H20">
        <v>10.3</v>
      </c>
      <c r="I20">
        <v>42.2</v>
      </c>
      <c r="J20">
        <v>29.2</v>
      </c>
      <c r="K20">
        <v>18.4</v>
      </c>
      <c r="L20">
        <f t="shared" si="1"/>
        <v>-95.8</v>
      </c>
      <c r="M20">
        <v>-95.8</v>
      </c>
      <c r="N20">
        <v>-95.8</v>
      </c>
      <c r="O20">
        <f t="shared" si="2"/>
        <v>-0.261221294363257</v>
      </c>
      <c r="P20" s="112">
        <v>128.7106</v>
      </c>
      <c r="Q20" s="112">
        <v>219.8496</v>
      </c>
      <c r="R20" s="112">
        <v>190.0883</v>
      </c>
      <c r="S20" s="112">
        <v>0.864628819</v>
      </c>
    </row>
    <row r="21" spans="1:19">
      <c r="A21" s="110" t="s">
        <v>56</v>
      </c>
      <c r="B21" s="110" t="s">
        <v>3087</v>
      </c>
      <c r="C21">
        <v>99.951</v>
      </c>
      <c r="D21">
        <v>118.2755</v>
      </c>
      <c r="E21">
        <v>192.1786</v>
      </c>
      <c r="F21">
        <v>178.5981</v>
      </c>
      <c r="G21">
        <f t="shared" si="0"/>
        <v>28.675</v>
      </c>
      <c r="H21">
        <v>43.1</v>
      </c>
      <c r="I21">
        <v>25.6</v>
      </c>
      <c r="J21">
        <v>27.8</v>
      </c>
      <c r="K21">
        <v>18.2</v>
      </c>
      <c r="L21">
        <f t="shared" si="1"/>
        <v>-110.65</v>
      </c>
      <c r="M21">
        <v>-108.1</v>
      </c>
      <c r="N21">
        <v>-113.2</v>
      </c>
      <c r="O21">
        <f t="shared" si="2"/>
        <v>-0.259150474469047</v>
      </c>
      <c r="P21" s="112">
        <v>122.2786</v>
      </c>
      <c r="Q21" s="112">
        <v>196.4826</v>
      </c>
      <c r="R21" s="112">
        <v>197.7437</v>
      </c>
      <c r="S21" s="112">
        <v>1.00641838</v>
      </c>
    </row>
    <row r="22" spans="1:19">
      <c r="A22" s="110" t="s">
        <v>3088</v>
      </c>
      <c r="B22" s="110" t="s">
        <v>3089</v>
      </c>
      <c r="C22">
        <v>120.28</v>
      </c>
      <c r="D22">
        <v>152.3056</v>
      </c>
      <c r="E22">
        <v>360.3079</v>
      </c>
      <c r="F22">
        <v>301.2442</v>
      </c>
      <c r="G22">
        <f t="shared" si="0"/>
        <v>36.175</v>
      </c>
      <c r="H22">
        <v>40.1</v>
      </c>
      <c r="I22">
        <v>33.4</v>
      </c>
      <c r="J22">
        <v>44.2</v>
      </c>
      <c r="K22">
        <v>27</v>
      </c>
      <c r="L22">
        <f t="shared" si="1"/>
        <v>-102.75</v>
      </c>
      <c r="M22">
        <v>-98.4</v>
      </c>
      <c r="N22">
        <v>-107.1</v>
      </c>
      <c r="O22">
        <f t="shared" si="2"/>
        <v>-0.352068126520681</v>
      </c>
      <c r="P22" s="112">
        <v>157.7974</v>
      </c>
      <c r="Q22" s="112">
        <v>372.4456</v>
      </c>
      <c r="R22" s="112">
        <v>315.6242</v>
      </c>
      <c r="S22" s="112">
        <v>0.847437049</v>
      </c>
    </row>
    <row r="23" spans="1:19">
      <c r="A23" s="110" t="s">
        <v>76</v>
      </c>
      <c r="B23" s="110" t="s">
        <v>3090</v>
      </c>
      <c r="C23">
        <v>97.809</v>
      </c>
      <c r="D23">
        <v>140.6806</v>
      </c>
      <c r="E23">
        <v>140.8421</v>
      </c>
      <c r="F23">
        <v>175.5412</v>
      </c>
      <c r="G23">
        <f t="shared" si="0"/>
        <v>51.375</v>
      </c>
      <c r="H23">
        <v>51.2</v>
      </c>
      <c r="I23">
        <v>54.9</v>
      </c>
      <c r="J23">
        <v>51.1</v>
      </c>
      <c r="K23">
        <v>48.3</v>
      </c>
      <c r="L23">
        <f t="shared" si="1"/>
        <v>-109.2</v>
      </c>
      <c r="M23">
        <v>-112.5</v>
      </c>
      <c r="N23">
        <v>-105.9</v>
      </c>
      <c r="O23">
        <f t="shared" si="2"/>
        <v>-0.470467032967033</v>
      </c>
      <c r="P23" s="112">
        <v>147.5899</v>
      </c>
      <c r="Q23" s="112">
        <v>144.0007</v>
      </c>
      <c r="R23" s="112">
        <v>185.1693</v>
      </c>
      <c r="S23" s="112">
        <v>1.285891666</v>
      </c>
    </row>
    <row r="24" spans="1:19">
      <c r="A24" s="110" t="s">
        <v>3091</v>
      </c>
      <c r="B24" s="110" t="s">
        <v>3092</v>
      </c>
      <c r="C24">
        <v>100.95</v>
      </c>
      <c r="D24">
        <v>108.807</v>
      </c>
      <c r="E24">
        <v>57.0543</v>
      </c>
      <c r="F24">
        <v>153.2484</v>
      </c>
      <c r="G24">
        <f t="shared" si="0"/>
        <v>18.2</v>
      </c>
      <c r="H24">
        <v>15.8</v>
      </c>
      <c r="I24">
        <v>19.1</v>
      </c>
      <c r="J24">
        <v>21.8</v>
      </c>
      <c r="K24">
        <v>16.1</v>
      </c>
      <c r="L24">
        <f t="shared" si="1"/>
        <v>-97.65</v>
      </c>
      <c r="M24">
        <v>-92.2</v>
      </c>
      <c r="N24">
        <v>-103.1</v>
      </c>
      <c r="O24">
        <f t="shared" si="2"/>
        <v>-0.186379928315412</v>
      </c>
      <c r="P24" s="112">
        <v>109.8797</v>
      </c>
      <c r="Q24" s="112">
        <v>63.1081</v>
      </c>
      <c r="R24" s="112">
        <v>166.1881</v>
      </c>
      <c r="S24" s="112">
        <v>2.63338779</v>
      </c>
    </row>
    <row r="25" spans="1:19">
      <c r="A25" s="110" t="s">
        <v>3093</v>
      </c>
      <c r="B25" s="110" t="s">
        <v>3094</v>
      </c>
      <c r="C25">
        <v>119.73</v>
      </c>
      <c r="D25">
        <v>142.9543</v>
      </c>
      <c r="E25">
        <v>181.8607</v>
      </c>
      <c r="F25">
        <v>204.7809</v>
      </c>
      <c r="G25">
        <f t="shared" si="0"/>
        <v>41.675</v>
      </c>
      <c r="H25">
        <v>39.3</v>
      </c>
      <c r="I25">
        <v>37.3</v>
      </c>
      <c r="J25">
        <v>46.9</v>
      </c>
      <c r="K25">
        <v>43.2</v>
      </c>
      <c r="L25">
        <f t="shared" si="1"/>
        <v>-95.2</v>
      </c>
      <c r="M25">
        <v>-100.8</v>
      </c>
      <c r="N25">
        <v>-89.6</v>
      </c>
      <c r="O25">
        <f t="shared" si="2"/>
        <v>-0.437762605042017</v>
      </c>
      <c r="P25" s="112">
        <v>174.3473</v>
      </c>
      <c r="Q25" s="112">
        <v>193.4205</v>
      </c>
      <c r="R25" s="112">
        <v>269.6945</v>
      </c>
      <c r="S25" s="112">
        <v>1.394342895</v>
      </c>
    </row>
    <row r="26" spans="1:19">
      <c r="A26" s="110" t="s">
        <v>106</v>
      </c>
      <c r="B26" s="110" t="s">
        <v>3095</v>
      </c>
      <c r="C26">
        <v>80.149</v>
      </c>
      <c r="D26">
        <v>126.6267</v>
      </c>
      <c r="E26">
        <v>78.9847</v>
      </c>
      <c r="F26">
        <v>74.1307</v>
      </c>
      <c r="G26">
        <f t="shared" si="0"/>
        <v>50.2</v>
      </c>
      <c r="H26">
        <v>53.2</v>
      </c>
      <c r="I26">
        <v>51.9</v>
      </c>
      <c r="J26">
        <v>50.4</v>
      </c>
      <c r="K26">
        <v>45.3</v>
      </c>
      <c r="L26">
        <f t="shared" si="1"/>
        <v>-98.85</v>
      </c>
      <c r="M26">
        <v>-98.5</v>
      </c>
      <c r="N26">
        <v>-99.2</v>
      </c>
      <c r="O26">
        <f t="shared" si="2"/>
        <v>-0.507840161861406</v>
      </c>
      <c r="P26" s="112">
        <v>138.5144</v>
      </c>
      <c r="Q26" s="112">
        <v>83.5394</v>
      </c>
      <c r="R26" s="112">
        <v>81.4573</v>
      </c>
      <c r="S26" s="112">
        <v>0.975076431</v>
      </c>
    </row>
    <row r="27" spans="1:19">
      <c r="A27" s="110" t="s">
        <v>103</v>
      </c>
      <c r="B27" s="110" t="s">
        <v>3096</v>
      </c>
      <c r="C27">
        <v>91.167</v>
      </c>
      <c r="D27">
        <v>183.5989</v>
      </c>
      <c r="E27">
        <v>124.6075</v>
      </c>
      <c r="F27">
        <v>104.2363</v>
      </c>
      <c r="G27">
        <f t="shared" si="0"/>
        <v>44.2</v>
      </c>
      <c r="H27">
        <v>39.1</v>
      </c>
      <c r="I27">
        <v>44</v>
      </c>
      <c r="J27">
        <v>48.6</v>
      </c>
      <c r="K27">
        <v>45.1</v>
      </c>
      <c r="L27">
        <f t="shared" si="1"/>
        <v>-105.25</v>
      </c>
      <c r="M27">
        <v>-111.6</v>
      </c>
      <c r="N27">
        <v>-98.9</v>
      </c>
      <c r="O27">
        <f t="shared" si="2"/>
        <v>-0.419952494061758</v>
      </c>
      <c r="P27" s="112">
        <v>182.1942</v>
      </c>
      <c r="Q27" s="112">
        <v>125.3191</v>
      </c>
      <c r="R27" s="112">
        <v>122.9084</v>
      </c>
      <c r="S27" s="112">
        <v>0.980763507</v>
      </c>
    </row>
    <row r="28" spans="1:19">
      <c r="A28" s="110" t="s">
        <v>3097</v>
      </c>
      <c r="B28" s="110" t="s">
        <v>3098</v>
      </c>
      <c r="C28">
        <v>89.148</v>
      </c>
      <c r="D28">
        <v>100.9275</v>
      </c>
      <c r="E28">
        <v>28.9539</v>
      </c>
      <c r="F28">
        <v>93.0489</v>
      </c>
      <c r="G28">
        <f t="shared" si="0"/>
        <v>43.4</v>
      </c>
      <c r="H28">
        <v>46.9</v>
      </c>
      <c r="I28">
        <v>47.4</v>
      </c>
      <c r="J28">
        <v>27.7</v>
      </c>
      <c r="K28">
        <v>51.6</v>
      </c>
      <c r="L28">
        <f t="shared" si="1"/>
        <v>-97.2</v>
      </c>
      <c r="M28">
        <v>-94.2</v>
      </c>
      <c r="N28">
        <v>-100.2</v>
      </c>
      <c r="O28">
        <f t="shared" si="2"/>
        <v>-0.446502057613169</v>
      </c>
      <c r="P28" s="112">
        <v>94.8246</v>
      </c>
      <c r="Q28" s="112">
        <v>29.9119</v>
      </c>
      <c r="R28" s="112">
        <v>131.6011</v>
      </c>
      <c r="S28" s="112">
        <v>4.399623561</v>
      </c>
    </row>
    <row r="29" spans="1:19">
      <c r="A29" s="110" t="s">
        <v>3099</v>
      </c>
      <c r="B29" s="110" t="s">
        <v>3100</v>
      </c>
      <c r="C29">
        <v>110.39</v>
      </c>
      <c r="D29">
        <v>173.9568</v>
      </c>
      <c r="E29">
        <v>88.5026</v>
      </c>
      <c r="F29">
        <v>270.974</v>
      </c>
      <c r="G29">
        <f t="shared" si="0"/>
        <v>55.2</v>
      </c>
      <c r="H29">
        <v>56</v>
      </c>
      <c r="I29">
        <v>58.8</v>
      </c>
      <c r="J29">
        <v>54.7</v>
      </c>
      <c r="K29">
        <v>51.3</v>
      </c>
      <c r="L29">
        <f t="shared" si="1"/>
        <v>-86.85</v>
      </c>
      <c r="M29">
        <v>-85</v>
      </c>
      <c r="N29">
        <v>-88.7</v>
      </c>
      <c r="O29">
        <f t="shared" si="2"/>
        <v>-0.635578583765112</v>
      </c>
      <c r="P29" s="112">
        <v>179.3507</v>
      </c>
      <c r="Q29" s="112">
        <v>95.5389</v>
      </c>
      <c r="R29" s="112">
        <v>294.2904</v>
      </c>
      <c r="S29" s="112">
        <v>3.080320163</v>
      </c>
    </row>
    <row r="30" spans="1:19">
      <c r="A30" s="110" t="s">
        <v>91</v>
      </c>
      <c r="B30" s="110" t="s">
        <v>3101</v>
      </c>
      <c r="C30">
        <v>89.539</v>
      </c>
      <c r="D30">
        <v>159.5656</v>
      </c>
      <c r="E30">
        <v>116.6571</v>
      </c>
      <c r="F30">
        <v>66.3685</v>
      </c>
      <c r="G30">
        <f t="shared" si="0"/>
        <v>53.575</v>
      </c>
      <c r="H30">
        <v>49.5</v>
      </c>
      <c r="I30">
        <v>54.2</v>
      </c>
      <c r="J30">
        <v>58.9</v>
      </c>
      <c r="K30">
        <v>51.7</v>
      </c>
      <c r="L30">
        <f t="shared" si="1"/>
        <v>-90.05</v>
      </c>
      <c r="M30">
        <v>-88.5</v>
      </c>
      <c r="N30">
        <v>-91.6</v>
      </c>
      <c r="O30">
        <f t="shared" si="2"/>
        <v>-0.59494725152693</v>
      </c>
      <c r="P30" s="112">
        <v>164.5282</v>
      </c>
      <c r="Q30" s="112">
        <v>118.9677</v>
      </c>
      <c r="R30" s="112">
        <v>86.6139</v>
      </c>
      <c r="S30" s="112">
        <v>0.728045512</v>
      </c>
    </row>
    <row r="31" spans="1:19">
      <c r="A31" s="110" t="s">
        <v>88</v>
      </c>
      <c r="B31" s="110" t="s">
        <v>3101</v>
      </c>
      <c r="C31">
        <v>98.423</v>
      </c>
      <c r="D31">
        <v>116.5544</v>
      </c>
      <c r="E31">
        <v>178.672</v>
      </c>
      <c r="F31">
        <v>207.2842</v>
      </c>
      <c r="G31">
        <f t="shared" si="0"/>
        <v>7.15</v>
      </c>
      <c r="H31">
        <v>42.6</v>
      </c>
      <c r="I31">
        <v>-1.8</v>
      </c>
      <c r="J31">
        <v>26.2</v>
      </c>
      <c r="K31">
        <v>-38.4</v>
      </c>
      <c r="L31">
        <f t="shared" si="1"/>
        <v>-126.4</v>
      </c>
      <c r="M31">
        <v>-125.9</v>
      </c>
      <c r="N31">
        <v>-126.9</v>
      </c>
      <c r="O31">
        <f t="shared" si="2"/>
        <v>-0.0565664556962025</v>
      </c>
      <c r="P31" s="112">
        <v>124.2652</v>
      </c>
      <c r="Q31" s="112">
        <v>186.6401</v>
      </c>
      <c r="R31" s="112">
        <v>209.4557</v>
      </c>
      <c r="S31" s="112">
        <v>1.122243826</v>
      </c>
    </row>
    <row r="32" spans="1:19">
      <c r="A32" s="110" t="s">
        <v>65</v>
      </c>
      <c r="C32">
        <v>143.9</v>
      </c>
      <c r="D32">
        <v>199.1717</v>
      </c>
      <c r="E32">
        <v>202.0952</v>
      </c>
      <c r="F32">
        <v>314.1823</v>
      </c>
      <c r="G32">
        <f t="shared" si="0"/>
        <v>51.6</v>
      </c>
      <c r="H32">
        <v>48.4</v>
      </c>
      <c r="I32">
        <v>50.4</v>
      </c>
      <c r="J32">
        <v>52.4</v>
      </c>
      <c r="K32">
        <v>55.2</v>
      </c>
      <c r="L32">
        <f t="shared" si="1"/>
        <v>-102.45</v>
      </c>
      <c r="M32">
        <v>-102.9</v>
      </c>
      <c r="N32">
        <v>-102</v>
      </c>
      <c r="O32">
        <f t="shared" si="2"/>
        <v>-0.503660322108345</v>
      </c>
      <c r="P32" s="112">
        <v>200.6079</v>
      </c>
      <c r="Q32" s="112">
        <v>200.3445</v>
      </c>
      <c r="R32" s="112">
        <v>338.6666</v>
      </c>
      <c r="S32" s="112">
        <v>1.690421249</v>
      </c>
    </row>
    <row r="33" spans="1:19">
      <c r="A33" s="110" t="s">
        <v>67</v>
      </c>
      <c r="C33">
        <v>118.09</v>
      </c>
      <c r="D33">
        <v>122.1943</v>
      </c>
      <c r="E33">
        <v>415.287</v>
      </c>
      <c r="F33">
        <v>200.2716</v>
      </c>
      <c r="G33">
        <f t="shared" si="0"/>
        <v>11.05</v>
      </c>
      <c r="H33">
        <v>5.9</v>
      </c>
      <c r="I33">
        <v>-3.3</v>
      </c>
      <c r="J33">
        <v>14</v>
      </c>
      <c r="K33">
        <v>27.6</v>
      </c>
      <c r="L33">
        <f t="shared" si="1"/>
        <v>-103.15</v>
      </c>
      <c r="M33">
        <v>-108.1</v>
      </c>
      <c r="N33">
        <v>-98.2</v>
      </c>
      <c r="O33">
        <f t="shared" si="2"/>
        <v>-0.107125545322346</v>
      </c>
      <c r="P33" s="112">
        <v>127.8687</v>
      </c>
      <c r="Q33" s="112">
        <v>427.1603</v>
      </c>
      <c r="R33" s="112">
        <v>203.7525</v>
      </c>
      <c r="S33" s="112">
        <v>0.476993063</v>
      </c>
    </row>
    <row r="34" spans="1:19">
      <c r="A34" s="110" t="s">
        <v>73</v>
      </c>
      <c r="G34">
        <f t="shared" si="0"/>
        <v>31.225</v>
      </c>
      <c r="H34">
        <v>40.3</v>
      </c>
      <c r="I34">
        <v>28.3</v>
      </c>
      <c r="J34">
        <v>23.4</v>
      </c>
      <c r="K34">
        <v>32.9</v>
      </c>
      <c r="L34">
        <f t="shared" si="1"/>
        <v>-85.9</v>
      </c>
      <c r="M34">
        <v>-82.8</v>
      </c>
      <c r="N34">
        <v>-89</v>
      </c>
      <c r="O34">
        <f t="shared" si="2"/>
        <v>-0.363504074505239</v>
      </c>
      <c r="P34" s="112"/>
      <c r="Q34" s="112"/>
      <c r="R34" s="112"/>
      <c r="S34" s="112"/>
    </row>
    <row r="35" spans="1:19">
      <c r="A35" s="110" t="s">
        <v>141</v>
      </c>
      <c r="C35">
        <v>94.08</v>
      </c>
      <c r="D35">
        <v>89.1718</v>
      </c>
      <c r="E35">
        <v>201.6174</v>
      </c>
      <c r="F35">
        <v>189.7979</v>
      </c>
      <c r="G35">
        <f t="shared" si="0"/>
        <v>41.65</v>
      </c>
      <c r="H35">
        <v>30.9</v>
      </c>
      <c r="I35">
        <v>52.4</v>
      </c>
      <c r="J35">
        <v>51.1</v>
      </c>
      <c r="K35">
        <v>32.2</v>
      </c>
      <c r="L35">
        <f t="shared" si="1"/>
        <v>-108.55</v>
      </c>
      <c r="M35">
        <v>-111.4</v>
      </c>
      <c r="N35">
        <v>-105.7</v>
      </c>
      <c r="O35">
        <f t="shared" si="2"/>
        <v>-0.383694150161216</v>
      </c>
      <c r="P35" s="112">
        <v>91.0145</v>
      </c>
      <c r="Q35" s="112">
        <v>202.8486</v>
      </c>
      <c r="R35" s="112">
        <v>200.9156</v>
      </c>
      <c r="S35" s="112">
        <v>0.990470725</v>
      </c>
    </row>
    <row r="36" spans="1:19">
      <c r="A36" s="110" t="s">
        <v>144</v>
      </c>
      <c r="C36">
        <v>84.977</v>
      </c>
      <c r="D36">
        <v>149.6857</v>
      </c>
      <c r="E36">
        <v>105.0351</v>
      </c>
      <c r="F36">
        <v>35.0475</v>
      </c>
      <c r="G36">
        <f t="shared" si="0"/>
        <v>65.725</v>
      </c>
      <c r="H36">
        <v>64.2</v>
      </c>
      <c r="I36">
        <v>69.9</v>
      </c>
      <c r="J36">
        <v>65.3</v>
      </c>
      <c r="K36">
        <v>63.5</v>
      </c>
      <c r="L36">
        <f t="shared" si="1"/>
        <v>-101.85</v>
      </c>
      <c r="M36">
        <v>-103</v>
      </c>
      <c r="N36">
        <v>-100.7</v>
      </c>
      <c r="O36">
        <f t="shared" si="2"/>
        <v>-0.645311732940599</v>
      </c>
      <c r="P36" s="112">
        <v>149.452</v>
      </c>
      <c r="Q36" s="112">
        <v>105.5772</v>
      </c>
      <c r="R36" s="112">
        <v>41.8468</v>
      </c>
      <c r="S36" s="112">
        <v>0.396362093</v>
      </c>
    </row>
    <row r="37" spans="1:19">
      <c r="A37" s="110" t="s">
        <v>147</v>
      </c>
      <c r="C37">
        <v>74.255</v>
      </c>
      <c r="D37">
        <v>83.7194</v>
      </c>
      <c r="E37">
        <v>77.818</v>
      </c>
      <c r="F37">
        <v>41.9077</v>
      </c>
      <c r="G37">
        <f t="shared" si="0"/>
        <v>57.2</v>
      </c>
      <c r="H37">
        <v>52.9</v>
      </c>
      <c r="I37">
        <v>57.5</v>
      </c>
      <c r="J37">
        <v>60.8</v>
      </c>
      <c r="K37">
        <v>57.6</v>
      </c>
      <c r="L37">
        <f t="shared" si="1"/>
        <v>-86.7</v>
      </c>
      <c r="M37">
        <v>-88.5</v>
      </c>
      <c r="N37">
        <v>-84.9</v>
      </c>
      <c r="O37">
        <f t="shared" si="2"/>
        <v>-0.659746251441753</v>
      </c>
      <c r="P37" s="112">
        <v>85.3575</v>
      </c>
      <c r="Q37" s="112">
        <v>81.2703</v>
      </c>
      <c r="R37" s="112">
        <v>57.0562</v>
      </c>
      <c r="S37" s="112">
        <v>0.702054748</v>
      </c>
    </row>
    <row r="38" spans="1:19">
      <c r="A38" s="110" t="s">
        <v>150</v>
      </c>
      <c r="G38">
        <f t="shared" si="0"/>
        <v>51.125</v>
      </c>
      <c r="H38">
        <v>48.7</v>
      </c>
      <c r="I38">
        <v>55.7</v>
      </c>
      <c r="J38">
        <v>49.4</v>
      </c>
      <c r="K38">
        <v>50.7</v>
      </c>
      <c r="L38">
        <f t="shared" si="1"/>
        <v>-94.2</v>
      </c>
      <c r="M38">
        <v>-100.5</v>
      </c>
      <c r="N38">
        <v>-87.9</v>
      </c>
      <c r="O38">
        <f t="shared" si="2"/>
        <v>-0.542728237791932</v>
      </c>
      <c r="P38" s="112"/>
      <c r="Q38" s="112"/>
      <c r="R38" s="112"/>
      <c r="S38" s="112"/>
    </row>
    <row r="39" spans="1:19">
      <c r="A39" s="110" t="s">
        <v>3102</v>
      </c>
      <c r="C39">
        <v>88.943</v>
      </c>
      <c r="D39">
        <v>89.7172</v>
      </c>
      <c r="E39">
        <v>28.2919</v>
      </c>
      <c r="F39">
        <v>6.9438</v>
      </c>
      <c r="G39">
        <f t="shared" si="0"/>
        <v>44.05</v>
      </c>
      <c r="H39">
        <v>42.5</v>
      </c>
      <c r="I39">
        <v>43.7</v>
      </c>
      <c r="J39">
        <v>40.4</v>
      </c>
      <c r="K39">
        <v>49.6</v>
      </c>
      <c r="L39">
        <f t="shared" si="1"/>
        <v>-104.7</v>
      </c>
      <c r="M39">
        <v>-107.4</v>
      </c>
      <c r="N39">
        <v>-102</v>
      </c>
      <c r="O39">
        <f t="shared" si="2"/>
        <v>-0.4207258834766</v>
      </c>
      <c r="P39" s="112">
        <v>89.4169</v>
      </c>
      <c r="Q39" s="112">
        <v>31.5516</v>
      </c>
      <c r="R39" s="112">
        <v>27.6352</v>
      </c>
      <c r="S39" s="112">
        <v>0.875873173</v>
      </c>
    </row>
    <row r="40" spans="1:19">
      <c r="A40" s="110" t="s">
        <v>121</v>
      </c>
      <c r="C40">
        <v>80.603</v>
      </c>
      <c r="D40">
        <v>106.7145</v>
      </c>
      <c r="E40">
        <v>105.2718</v>
      </c>
      <c r="F40">
        <v>93.1427</v>
      </c>
      <c r="G40">
        <f t="shared" si="0"/>
        <v>19.15</v>
      </c>
      <c r="H40">
        <v>36.2</v>
      </c>
      <c r="I40">
        <v>36.9</v>
      </c>
      <c r="J40">
        <v>31.6</v>
      </c>
      <c r="K40">
        <v>-28.1</v>
      </c>
      <c r="L40">
        <f t="shared" si="1"/>
        <v>-82.5</v>
      </c>
      <c r="M40">
        <v>-78.5</v>
      </c>
      <c r="N40">
        <v>-86.5</v>
      </c>
      <c r="O40">
        <f t="shared" si="2"/>
        <v>-0.232121212121212</v>
      </c>
      <c r="P40" s="112">
        <v>106.3727</v>
      </c>
      <c r="Q40" s="112">
        <v>107.4685</v>
      </c>
      <c r="R40" s="112">
        <v>105.9253</v>
      </c>
      <c r="S40" s="112">
        <v>0.985640443</v>
      </c>
    </row>
    <row r="41" spans="1:19">
      <c r="A41" s="110" t="s">
        <v>160</v>
      </c>
      <c r="C41">
        <v>103.32</v>
      </c>
      <c r="D41">
        <v>163.6574</v>
      </c>
      <c r="E41">
        <v>164.4858</v>
      </c>
      <c r="F41">
        <v>212.8788</v>
      </c>
      <c r="G41">
        <f t="shared" si="0"/>
        <v>41.75</v>
      </c>
      <c r="H41">
        <v>33.9</v>
      </c>
      <c r="I41">
        <v>41.6</v>
      </c>
      <c r="J41">
        <v>54.7</v>
      </c>
      <c r="K41">
        <v>36.8</v>
      </c>
      <c r="L41">
        <f t="shared" si="1"/>
        <v>-94.5</v>
      </c>
      <c r="M41">
        <v>-90</v>
      </c>
      <c r="N41">
        <v>-99</v>
      </c>
      <c r="O41">
        <f t="shared" si="2"/>
        <v>-0.441798941798942</v>
      </c>
      <c r="P41" s="112">
        <v>166.0795</v>
      </c>
      <c r="Q41" s="112">
        <v>165.7916</v>
      </c>
      <c r="R41" s="112">
        <v>240.0275</v>
      </c>
      <c r="S41" s="112">
        <v>1.447766352</v>
      </c>
    </row>
    <row r="42" spans="1:19">
      <c r="A42" s="110" t="s">
        <v>158</v>
      </c>
      <c r="C42">
        <v>99.273</v>
      </c>
      <c r="D42">
        <v>127.0722</v>
      </c>
      <c r="E42">
        <v>147.7121</v>
      </c>
      <c r="F42">
        <v>127.3142</v>
      </c>
      <c r="G42">
        <f t="shared" si="0"/>
        <v>43.65</v>
      </c>
      <c r="H42">
        <v>42.6</v>
      </c>
      <c r="I42">
        <v>47.9</v>
      </c>
      <c r="J42">
        <v>45.9</v>
      </c>
      <c r="K42">
        <v>38.2</v>
      </c>
      <c r="L42">
        <f t="shared" si="1"/>
        <v>-110.05</v>
      </c>
      <c r="M42">
        <v>-112.3</v>
      </c>
      <c r="N42">
        <v>-107.8</v>
      </c>
      <c r="O42">
        <f t="shared" si="2"/>
        <v>-0.396637891867333</v>
      </c>
      <c r="P42" s="112">
        <v>127.7723</v>
      </c>
      <c r="Q42" s="112">
        <v>148.49</v>
      </c>
      <c r="R42" s="112">
        <v>147.4269</v>
      </c>
      <c r="S42" s="112">
        <v>0.992840595</v>
      </c>
    </row>
    <row r="43" spans="1:19">
      <c r="A43" s="110" t="s">
        <v>153</v>
      </c>
      <c r="C43">
        <v>105.59</v>
      </c>
      <c r="D43">
        <v>140.3334</v>
      </c>
      <c r="E43">
        <v>92.8888</v>
      </c>
      <c r="F43">
        <v>222.4458</v>
      </c>
      <c r="G43">
        <f t="shared" si="0"/>
        <v>36.125</v>
      </c>
      <c r="H43">
        <v>38.3</v>
      </c>
      <c r="I43">
        <v>48.8</v>
      </c>
      <c r="J43">
        <v>20.6</v>
      </c>
      <c r="K43">
        <v>36.8</v>
      </c>
      <c r="L43">
        <f t="shared" si="1"/>
        <v>-74.5</v>
      </c>
      <c r="M43">
        <v>-71.8</v>
      </c>
      <c r="N43">
        <v>-77.2</v>
      </c>
      <c r="O43">
        <f t="shared" si="2"/>
        <v>-0.48489932885906</v>
      </c>
      <c r="P43" s="112">
        <v>146.1239</v>
      </c>
      <c r="Q43" s="112">
        <v>99.4238</v>
      </c>
      <c r="R43" s="112">
        <v>258.3169</v>
      </c>
      <c r="S43" s="112">
        <v>2.59813948</v>
      </c>
    </row>
    <row r="44" spans="1:19">
      <c r="A44" s="110" t="s">
        <v>351</v>
      </c>
      <c r="C44">
        <v>99.832</v>
      </c>
      <c r="D44">
        <v>174.2643</v>
      </c>
      <c r="E44">
        <v>129.1889</v>
      </c>
      <c r="F44">
        <v>51.8853</v>
      </c>
      <c r="G44">
        <f t="shared" si="0"/>
        <v>47.125</v>
      </c>
      <c r="H44">
        <v>51.9</v>
      </c>
      <c r="I44">
        <v>50</v>
      </c>
      <c r="J44">
        <v>39.4</v>
      </c>
      <c r="K44">
        <v>47.2</v>
      </c>
      <c r="L44">
        <f t="shared" si="1"/>
        <v>-67.2</v>
      </c>
      <c r="M44">
        <v>-57.9</v>
      </c>
      <c r="N44">
        <v>-76.5</v>
      </c>
      <c r="O44">
        <f t="shared" si="2"/>
        <v>-0.701264880952381</v>
      </c>
      <c r="P44" s="112">
        <v>170.3031</v>
      </c>
      <c r="Q44" s="112">
        <v>129.5999</v>
      </c>
      <c r="R44" s="112">
        <v>91.7028</v>
      </c>
      <c r="S44" s="112">
        <v>0.707583879</v>
      </c>
    </row>
    <row r="45" spans="1:19">
      <c r="A45" s="110" t="s">
        <v>218</v>
      </c>
      <c r="C45">
        <v>105.34</v>
      </c>
      <c r="D45">
        <v>120.7567</v>
      </c>
      <c r="E45">
        <v>185.9269</v>
      </c>
      <c r="F45">
        <v>247.5211</v>
      </c>
      <c r="G45">
        <f t="shared" si="0"/>
        <v>34.9</v>
      </c>
      <c r="H45">
        <v>17.3</v>
      </c>
      <c r="I45">
        <v>33.8</v>
      </c>
      <c r="J45">
        <v>61.6</v>
      </c>
      <c r="K45">
        <v>26.9</v>
      </c>
      <c r="L45">
        <f t="shared" si="1"/>
        <v>-107.4</v>
      </c>
      <c r="M45">
        <v>-115.1</v>
      </c>
      <c r="N45">
        <v>-99.7</v>
      </c>
      <c r="O45">
        <f t="shared" si="2"/>
        <v>-0.324953445065177</v>
      </c>
      <c r="P45" s="112">
        <v>110.9525</v>
      </c>
      <c r="Q45" s="112">
        <v>172.6045</v>
      </c>
      <c r="R45" s="112">
        <v>254.2724</v>
      </c>
      <c r="S45" s="112">
        <v>1.473150468</v>
      </c>
    </row>
    <row r="46" spans="1:19">
      <c r="A46" s="110" t="s">
        <v>212</v>
      </c>
      <c r="C46">
        <v>82.037</v>
      </c>
      <c r="D46">
        <v>136.2086</v>
      </c>
      <c r="E46">
        <v>112.0933</v>
      </c>
      <c r="F46">
        <v>93.1211</v>
      </c>
      <c r="G46">
        <f t="shared" si="0"/>
        <v>65.075</v>
      </c>
      <c r="H46">
        <v>59.8</v>
      </c>
      <c r="I46">
        <v>68.1</v>
      </c>
      <c r="J46">
        <v>67.6</v>
      </c>
      <c r="K46">
        <v>64.8</v>
      </c>
      <c r="L46">
        <f t="shared" si="1"/>
        <v>-106.85</v>
      </c>
      <c r="M46">
        <v>-108.9</v>
      </c>
      <c r="N46">
        <v>-104.8</v>
      </c>
      <c r="O46">
        <f t="shared" si="2"/>
        <v>-0.609031352363126</v>
      </c>
      <c r="P46" s="112">
        <v>136.2226</v>
      </c>
      <c r="Q46" s="112">
        <v>109.8432</v>
      </c>
      <c r="R46" s="112">
        <v>106.3772</v>
      </c>
      <c r="S46" s="112">
        <v>0.96844593</v>
      </c>
    </row>
    <row r="47" spans="1:19">
      <c r="A47" s="110" t="s">
        <v>222</v>
      </c>
      <c r="C47">
        <v>102.3</v>
      </c>
      <c r="D47">
        <v>156.7756</v>
      </c>
      <c r="E47">
        <v>179.3892</v>
      </c>
      <c r="F47">
        <v>193.5475</v>
      </c>
      <c r="G47">
        <f t="shared" si="0"/>
        <v>40.1</v>
      </c>
      <c r="H47">
        <v>38.1</v>
      </c>
      <c r="I47">
        <v>46.1</v>
      </c>
      <c r="J47">
        <v>46.9</v>
      </c>
      <c r="K47">
        <v>29.3</v>
      </c>
      <c r="L47">
        <f t="shared" si="1"/>
        <v>-99.65</v>
      </c>
      <c r="M47">
        <v>-97.2</v>
      </c>
      <c r="N47">
        <v>-102.1</v>
      </c>
      <c r="O47">
        <f t="shared" si="2"/>
        <v>-0.402408429503261</v>
      </c>
      <c r="P47" s="112">
        <v>168.639</v>
      </c>
      <c r="Q47" s="112">
        <v>183.7911</v>
      </c>
      <c r="R47" s="112">
        <v>208.1355</v>
      </c>
      <c r="S47" s="112">
        <v>1.132456904</v>
      </c>
    </row>
    <row r="48" spans="1:19">
      <c r="A48" s="110" t="s">
        <v>416</v>
      </c>
      <c r="C48">
        <v>87.959</v>
      </c>
      <c r="D48">
        <v>100.3995</v>
      </c>
      <c r="E48">
        <v>129.9235</v>
      </c>
      <c r="F48">
        <v>98.8995</v>
      </c>
      <c r="G48">
        <f t="shared" si="0"/>
        <v>53.125</v>
      </c>
      <c r="H48">
        <v>52.7</v>
      </c>
      <c r="I48">
        <v>48.2</v>
      </c>
      <c r="J48">
        <v>54.8</v>
      </c>
      <c r="K48">
        <v>56.8</v>
      </c>
      <c r="L48">
        <f t="shared" si="1"/>
        <v>-105.7</v>
      </c>
      <c r="M48">
        <v>-104.4</v>
      </c>
      <c r="N48">
        <v>-107</v>
      </c>
      <c r="O48">
        <f t="shared" si="2"/>
        <v>-0.502601702932829</v>
      </c>
      <c r="P48" s="112">
        <v>100.8388</v>
      </c>
      <c r="Q48" s="112">
        <v>128.4469</v>
      </c>
      <c r="R48" s="112">
        <v>121.8205</v>
      </c>
      <c r="S48" s="112">
        <v>0.948411367</v>
      </c>
    </row>
    <row r="49" spans="1:19">
      <c r="A49" s="110" t="s">
        <v>206</v>
      </c>
      <c r="C49">
        <v>75.193</v>
      </c>
      <c r="D49">
        <v>77.0664</v>
      </c>
      <c r="E49">
        <v>77.6953</v>
      </c>
      <c r="F49">
        <v>62.9219</v>
      </c>
      <c r="G49">
        <f t="shared" si="0"/>
        <v>24.5</v>
      </c>
      <c r="H49">
        <v>36.9</v>
      </c>
      <c r="I49">
        <v>1</v>
      </c>
      <c r="J49">
        <v>42.1</v>
      </c>
      <c r="K49">
        <v>18</v>
      </c>
      <c r="L49">
        <f t="shared" si="1"/>
        <v>-109.05</v>
      </c>
      <c r="M49">
        <v>-105.1</v>
      </c>
      <c r="N49">
        <v>-113</v>
      </c>
      <c r="O49">
        <f t="shared" si="2"/>
        <v>-0.224667583677212</v>
      </c>
      <c r="P49" s="112">
        <v>83.3047</v>
      </c>
      <c r="Q49" s="112">
        <v>81.2305</v>
      </c>
      <c r="R49" s="112">
        <v>78.2773</v>
      </c>
      <c r="S49" s="112">
        <v>0.963644198</v>
      </c>
    </row>
    <row r="50" spans="1:19">
      <c r="A50" s="110" t="s">
        <v>204</v>
      </c>
      <c r="C50">
        <v>97.447</v>
      </c>
      <c r="D50">
        <v>81.0742</v>
      </c>
      <c r="E50">
        <v>33.6001</v>
      </c>
      <c r="F50">
        <v>72.1865</v>
      </c>
      <c r="G50">
        <f t="shared" si="0"/>
        <v>42.925</v>
      </c>
      <c r="H50">
        <v>45.3</v>
      </c>
      <c r="I50">
        <v>44.3</v>
      </c>
      <c r="J50">
        <v>40.2</v>
      </c>
      <c r="K50">
        <v>41.9</v>
      </c>
      <c r="L50">
        <f t="shared" si="1"/>
        <v>-44.5</v>
      </c>
      <c r="M50">
        <v>-39</v>
      </c>
      <c r="N50">
        <v>-50</v>
      </c>
      <c r="O50">
        <f t="shared" si="2"/>
        <v>-0.964606741573034</v>
      </c>
      <c r="P50" s="112">
        <v>93.7921</v>
      </c>
      <c r="Q50" s="112">
        <v>40.307</v>
      </c>
      <c r="R50" s="112">
        <v>101.4195</v>
      </c>
      <c r="S50" s="112">
        <v>2.51617585</v>
      </c>
    </row>
    <row r="51" spans="1:19">
      <c r="A51" s="110" t="s">
        <v>3103</v>
      </c>
      <c r="C51">
        <v>118.15</v>
      </c>
      <c r="D51">
        <v>191.6181</v>
      </c>
      <c r="E51">
        <v>400.6638</v>
      </c>
      <c r="F51">
        <v>188.1552</v>
      </c>
      <c r="G51">
        <f t="shared" si="0"/>
        <v>50.85</v>
      </c>
      <c r="H51">
        <v>51.2</v>
      </c>
      <c r="I51">
        <v>53.2</v>
      </c>
      <c r="J51">
        <v>54.1</v>
      </c>
      <c r="K51">
        <v>44.9</v>
      </c>
      <c r="L51">
        <f t="shared" si="1"/>
        <v>-106.1</v>
      </c>
      <c r="M51">
        <v>-106.8</v>
      </c>
      <c r="N51">
        <v>-105.4</v>
      </c>
      <c r="O51">
        <f t="shared" si="2"/>
        <v>-0.479264844486334</v>
      </c>
      <c r="P51" s="112">
        <v>188.6713</v>
      </c>
      <c r="Q51" s="112">
        <v>401.1893</v>
      </c>
      <c r="R51" s="112">
        <v>202.3074</v>
      </c>
      <c r="S51" s="112">
        <v>0.504269182</v>
      </c>
    </row>
    <row r="52" spans="1:19">
      <c r="A52" s="110" t="s">
        <v>201</v>
      </c>
      <c r="C52">
        <v>98.247</v>
      </c>
      <c r="D52">
        <v>96.6256</v>
      </c>
      <c r="E52">
        <v>230.1063</v>
      </c>
      <c r="F52">
        <v>202.8645</v>
      </c>
      <c r="G52">
        <f t="shared" si="0"/>
        <v>42.575</v>
      </c>
      <c r="H52">
        <v>49.5</v>
      </c>
      <c r="I52">
        <v>44.3</v>
      </c>
      <c r="J52">
        <v>45.1</v>
      </c>
      <c r="K52">
        <v>31.4</v>
      </c>
      <c r="L52">
        <f t="shared" si="1"/>
        <v>-107.65</v>
      </c>
      <c r="M52">
        <v>-102.4</v>
      </c>
      <c r="N52">
        <v>-112.9</v>
      </c>
      <c r="O52">
        <f t="shared" si="2"/>
        <v>-0.395494658615885</v>
      </c>
      <c r="P52" s="112">
        <v>99.8166</v>
      </c>
      <c r="Q52" s="112">
        <v>237.507</v>
      </c>
      <c r="R52" s="112">
        <v>208.25</v>
      </c>
      <c r="S52" s="112">
        <v>0.876816262</v>
      </c>
    </row>
    <row r="53" spans="1:19">
      <c r="A53" s="110" t="s">
        <v>198</v>
      </c>
      <c r="C53">
        <v>95.844</v>
      </c>
      <c r="D53">
        <v>80.9715</v>
      </c>
      <c r="E53">
        <v>87.9869</v>
      </c>
      <c r="F53">
        <v>96.6195</v>
      </c>
      <c r="G53">
        <f t="shared" si="0"/>
        <v>38.3</v>
      </c>
      <c r="H53">
        <v>32.8</v>
      </c>
      <c r="I53">
        <v>35.9</v>
      </c>
      <c r="J53">
        <v>46.3</v>
      </c>
      <c r="K53">
        <v>38.2</v>
      </c>
      <c r="L53">
        <f t="shared" si="1"/>
        <v>-95.3</v>
      </c>
      <c r="M53">
        <v>-98.8</v>
      </c>
      <c r="N53">
        <v>-91.8</v>
      </c>
      <c r="O53">
        <f t="shared" si="2"/>
        <v>-0.401888772298006</v>
      </c>
      <c r="P53" s="112">
        <v>86.5153</v>
      </c>
      <c r="Q53" s="112">
        <v>90.3326</v>
      </c>
      <c r="R53" s="112">
        <v>150.4767</v>
      </c>
      <c r="S53" s="112">
        <v>1.66580725</v>
      </c>
    </row>
    <row r="54" spans="1:19">
      <c r="A54" s="110" t="s">
        <v>190</v>
      </c>
      <c r="C54">
        <v>80.794</v>
      </c>
      <c r="D54">
        <v>69.5739</v>
      </c>
      <c r="E54">
        <v>55.7752</v>
      </c>
      <c r="F54">
        <v>30.5576</v>
      </c>
      <c r="G54">
        <f t="shared" si="0"/>
        <v>54.4</v>
      </c>
      <c r="H54">
        <v>50.2</v>
      </c>
      <c r="I54">
        <v>60.5</v>
      </c>
      <c r="J54">
        <v>50.5</v>
      </c>
      <c r="K54">
        <v>56.4</v>
      </c>
      <c r="L54">
        <f t="shared" si="1"/>
        <v>-88.45</v>
      </c>
      <c r="M54">
        <v>-83.4</v>
      </c>
      <c r="N54">
        <v>-93.5</v>
      </c>
      <c r="O54">
        <f t="shared" si="2"/>
        <v>-0.61503674392312</v>
      </c>
      <c r="P54" s="112">
        <v>97.9568</v>
      </c>
      <c r="Q54" s="112">
        <v>61.5256</v>
      </c>
      <c r="R54" s="112">
        <v>47.5569</v>
      </c>
      <c r="S54" s="112">
        <v>0.772961174</v>
      </c>
    </row>
    <row r="55" spans="1:19">
      <c r="A55" s="110" t="s">
        <v>3104</v>
      </c>
      <c r="C55">
        <v>77.773</v>
      </c>
      <c r="D55">
        <v>86.6041</v>
      </c>
      <c r="E55">
        <v>109.6833</v>
      </c>
      <c r="F55">
        <v>84.9253</v>
      </c>
      <c r="G55">
        <f t="shared" si="0"/>
        <v>53.025</v>
      </c>
      <c r="H55">
        <v>49.2</v>
      </c>
      <c r="I55">
        <v>49.1</v>
      </c>
      <c r="J55">
        <v>56.5</v>
      </c>
      <c r="K55">
        <v>57.3</v>
      </c>
      <c r="L55">
        <f t="shared" si="1"/>
        <v>-105.55</v>
      </c>
      <c r="M55">
        <v>-106.4</v>
      </c>
      <c r="N55">
        <v>-104.7</v>
      </c>
      <c r="O55">
        <f t="shared" si="2"/>
        <v>-0.502368545712932</v>
      </c>
      <c r="P55" s="112">
        <v>91.8745</v>
      </c>
      <c r="Q55" s="112">
        <v>113.5027</v>
      </c>
      <c r="R55" s="112">
        <v>91.3401</v>
      </c>
      <c r="S55" s="112">
        <v>0.804739447</v>
      </c>
    </row>
    <row r="56" spans="1:19">
      <c r="A56" s="110" t="s">
        <v>163</v>
      </c>
      <c r="C56">
        <v>80.441</v>
      </c>
      <c r="D56">
        <v>104.1167</v>
      </c>
      <c r="E56">
        <v>113.0888</v>
      </c>
      <c r="F56">
        <v>47.1384</v>
      </c>
      <c r="G56">
        <f t="shared" si="0"/>
        <v>53</v>
      </c>
      <c r="H56">
        <v>47.7</v>
      </c>
      <c r="I56">
        <v>50.8</v>
      </c>
      <c r="J56">
        <v>55.6</v>
      </c>
      <c r="K56">
        <v>57.9</v>
      </c>
      <c r="L56">
        <f t="shared" si="1"/>
        <v>-91</v>
      </c>
      <c r="M56">
        <v>-94.8</v>
      </c>
      <c r="N56">
        <v>-87.2</v>
      </c>
      <c r="O56">
        <f t="shared" si="2"/>
        <v>-0.582417582417582</v>
      </c>
      <c r="P56" s="112">
        <v>110.3193</v>
      </c>
      <c r="Q56" s="112">
        <v>112.5846</v>
      </c>
      <c r="R56" s="112">
        <v>68.3306</v>
      </c>
      <c r="S56" s="112">
        <v>0.606926702</v>
      </c>
    </row>
    <row r="57" spans="1:19">
      <c r="A57" s="110" t="s">
        <v>85</v>
      </c>
      <c r="B57" s="110">
        <v>20191126</v>
      </c>
      <c r="C57">
        <v>85.5</v>
      </c>
      <c r="D57">
        <v>122.0542</v>
      </c>
      <c r="E57">
        <v>48.7441</v>
      </c>
      <c r="F57">
        <v>13.79</v>
      </c>
      <c r="G57">
        <f t="shared" si="0"/>
        <v>60.075</v>
      </c>
      <c r="H57">
        <v>62.6</v>
      </c>
      <c r="I57">
        <v>63.3</v>
      </c>
      <c r="J57">
        <v>60.6</v>
      </c>
      <c r="K57">
        <v>53.8</v>
      </c>
      <c r="L57">
        <f t="shared" si="1"/>
        <v>-65.2</v>
      </c>
      <c r="M57">
        <v>-63.1</v>
      </c>
      <c r="N57">
        <v>-67.3</v>
      </c>
      <c r="O57">
        <f t="shared" si="2"/>
        <v>-0.921395705521472</v>
      </c>
      <c r="P57" s="112">
        <v>112.9839</v>
      </c>
      <c r="Q57" s="112">
        <v>47.5525</v>
      </c>
      <c r="R57" s="112">
        <v>28.3464</v>
      </c>
      <c r="S57" s="112">
        <v>0.59610746</v>
      </c>
    </row>
    <row r="58" spans="1:19">
      <c r="A58" s="110" t="s">
        <v>174</v>
      </c>
      <c r="B58" s="110">
        <v>20191119</v>
      </c>
      <c r="C58">
        <v>78.793</v>
      </c>
      <c r="D58">
        <v>89.7091</v>
      </c>
      <c r="E58">
        <v>76.089</v>
      </c>
      <c r="F58">
        <v>31.0598</v>
      </c>
      <c r="G58">
        <f t="shared" si="0"/>
        <v>59.025</v>
      </c>
      <c r="H58">
        <v>59.1</v>
      </c>
      <c r="I58">
        <v>57.5</v>
      </c>
      <c r="J58">
        <v>58.8</v>
      </c>
      <c r="K58">
        <v>60.7</v>
      </c>
      <c r="L58">
        <f t="shared" si="1"/>
        <v>-98.2</v>
      </c>
      <c r="M58">
        <v>-99</v>
      </c>
      <c r="N58">
        <v>-97.4</v>
      </c>
      <c r="O58">
        <f t="shared" si="2"/>
        <v>-0.601069246435845</v>
      </c>
      <c r="P58" s="112">
        <v>92.2022</v>
      </c>
      <c r="Q58" s="112">
        <v>75.3902</v>
      </c>
      <c r="R58" s="112">
        <v>48.2329</v>
      </c>
      <c r="S58" s="112">
        <v>0.639776788</v>
      </c>
    </row>
    <row r="59" spans="1:19">
      <c r="A59" s="110" t="s">
        <v>179</v>
      </c>
      <c r="C59">
        <v>96.143</v>
      </c>
      <c r="D59">
        <v>122.4524</v>
      </c>
      <c r="E59">
        <v>90.6196</v>
      </c>
      <c r="F59">
        <v>21.9238</v>
      </c>
      <c r="G59">
        <f t="shared" si="0"/>
        <v>50.925</v>
      </c>
      <c r="H59">
        <v>49.6</v>
      </c>
      <c r="I59">
        <v>51.7</v>
      </c>
      <c r="J59">
        <v>55.9</v>
      </c>
      <c r="K59">
        <v>46.5</v>
      </c>
      <c r="L59">
        <f t="shared" si="1"/>
        <v>-72.95</v>
      </c>
      <c r="M59">
        <v>-77.9</v>
      </c>
      <c r="N59">
        <v>-68</v>
      </c>
      <c r="O59">
        <f t="shared" si="2"/>
        <v>-0.698080877313228</v>
      </c>
      <c r="P59" s="112">
        <v>110.4045</v>
      </c>
      <c r="Q59" s="112">
        <v>84.0841</v>
      </c>
      <c r="R59" s="112">
        <v>53.9084</v>
      </c>
      <c r="S59" s="112">
        <v>0.641124779</v>
      </c>
    </row>
    <row r="60" spans="1:19">
      <c r="A60" s="110" t="s">
        <v>3105</v>
      </c>
      <c r="C60">
        <v>84.259</v>
      </c>
      <c r="D60">
        <v>107.6307</v>
      </c>
      <c r="E60">
        <v>120.3628</v>
      </c>
      <c r="F60">
        <v>39.8696</v>
      </c>
      <c r="G60">
        <f t="shared" si="0"/>
        <v>43.75</v>
      </c>
      <c r="H60">
        <v>39.5</v>
      </c>
      <c r="I60">
        <v>43.7</v>
      </c>
      <c r="J60">
        <v>47.5</v>
      </c>
      <c r="K60">
        <v>44.3</v>
      </c>
      <c r="L60">
        <f t="shared" si="1"/>
        <v>-99.55</v>
      </c>
      <c r="M60">
        <v>-100.1</v>
      </c>
      <c r="N60">
        <v>-99</v>
      </c>
      <c r="O60">
        <f t="shared" si="2"/>
        <v>-0.439477649422401</v>
      </c>
      <c r="P60" s="112">
        <v>105.4331</v>
      </c>
      <c r="Q60" s="112">
        <v>116.9691</v>
      </c>
      <c r="R60" s="112">
        <v>71.1077</v>
      </c>
      <c r="S60" s="112">
        <v>0.607918673</v>
      </c>
    </row>
    <row r="61" spans="1:19">
      <c r="A61" s="110" t="s">
        <v>3106</v>
      </c>
      <c r="C61">
        <v>97.713</v>
      </c>
      <c r="D61">
        <v>171.3661</v>
      </c>
      <c r="E61">
        <v>141.7953</v>
      </c>
      <c r="F61">
        <v>181.8466</v>
      </c>
      <c r="G61">
        <f t="shared" si="0"/>
        <v>42.2</v>
      </c>
      <c r="H61">
        <v>51.2</v>
      </c>
      <c r="I61">
        <v>50.8</v>
      </c>
      <c r="J61">
        <v>27.7</v>
      </c>
      <c r="K61">
        <v>39.1</v>
      </c>
      <c r="L61">
        <f t="shared" si="1"/>
        <v>-104.15</v>
      </c>
      <c r="M61">
        <v>-105.8</v>
      </c>
      <c r="N61">
        <v>-102.5</v>
      </c>
      <c r="O61">
        <f t="shared" si="2"/>
        <v>-0.405184829572732</v>
      </c>
      <c r="P61" s="112">
        <v>170.5795</v>
      </c>
      <c r="Q61" s="112">
        <v>140.9591</v>
      </c>
      <c r="R61" s="112">
        <v>195.0199</v>
      </c>
      <c r="S61" s="112">
        <v>1.383521177</v>
      </c>
    </row>
    <row r="62" spans="1:19">
      <c r="A62" s="110" t="s">
        <v>166</v>
      </c>
      <c r="B62" s="110">
        <v>20200207</v>
      </c>
      <c r="C62">
        <v>107.39</v>
      </c>
      <c r="D62">
        <v>164.6329</v>
      </c>
      <c r="E62">
        <v>144.9463</v>
      </c>
      <c r="F62">
        <v>230.5842</v>
      </c>
      <c r="G62">
        <f t="shared" si="0"/>
        <v>58.1</v>
      </c>
      <c r="H62">
        <v>47.8</v>
      </c>
      <c r="I62">
        <v>66.6</v>
      </c>
      <c r="J62">
        <v>58.4</v>
      </c>
      <c r="K62">
        <v>59.6</v>
      </c>
      <c r="L62">
        <f t="shared" si="1"/>
        <v>-95.8</v>
      </c>
      <c r="M62">
        <v>-101.3</v>
      </c>
      <c r="N62">
        <v>-90.3</v>
      </c>
      <c r="O62">
        <f t="shared" si="2"/>
        <v>-0.606471816283925</v>
      </c>
      <c r="P62" s="112">
        <v>157.212</v>
      </c>
      <c r="Q62" s="112">
        <v>138.918</v>
      </c>
      <c r="R62" s="112">
        <v>281.3079</v>
      </c>
      <c r="S62" s="112">
        <v>2.024992442</v>
      </c>
    </row>
    <row r="63" spans="1:19">
      <c r="A63" s="110" t="s">
        <v>79</v>
      </c>
      <c r="B63" s="110" t="s">
        <v>3074</v>
      </c>
      <c r="C63">
        <v>94.086</v>
      </c>
      <c r="D63">
        <v>151.8119</v>
      </c>
      <c r="E63">
        <v>98.9789</v>
      </c>
      <c r="F63">
        <v>138.0966</v>
      </c>
    </row>
    <row r="64" spans="1:19">
      <c r="A64" s="110" t="s">
        <v>109</v>
      </c>
      <c r="B64" s="110" t="s">
        <v>3075</v>
      </c>
      <c r="C64">
        <v>90.548</v>
      </c>
      <c r="D64">
        <v>97.3645</v>
      </c>
      <c r="E64">
        <v>170.5695</v>
      </c>
      <c r="F64">
        <v>111.2768</v>
      </c>
    </row>
    <row r="65" spans="1:6">
      <c r="A65" s="110" t="s">
        <v>3076</v>
      </c>
      <c r="B65" s="110" t="s">
        <v>3072</v>
      </c>
      <c r="C65">
        <v>107.49</v>
      </c>
      <c r="D65">
        <v>167.6827</v>
      </c>
      <c r="E65">
        <v>131.8196</v>
      </c>
      <c r="F65">
        <v>20.1535</v>
      </c>
    </row>
    <row r="66" spans="1:6">
      <c r="A66" s="110" t="s">
        <v>127</v>
      </c>
      <c r="B66" s="110" t="s">
        <v>3077</v>
      </c>
      <c r="C66">
        <v>104.54</v>
      </c>
      <c r="D66">
        <v>142.6147</v>
      </c>
      <c r="E66">
        <v>307.7454</v>
      </c>
      <c r="F66">
        <v>122.5342</v>
      </c>
    </row>
    <row r="67" spans="1:6">
      <c r="A67" s="110" t="s">
        <v>85</v>
      </c>
      <c r="B67" s="110" t="s">
        <v>3078</v>
      </c>
      <c r="C67">
        <v>85.082</v>
      </c>
      <c r="D67">
        <v>126.8259</v>
      </c>
      <c r="E67">
        <v>60.8434</v>
      </c>
      <c r="F67">
        <v>3.8027</v>
      </c>
    </row>
    <row r="68" spans="1:6">
      <c r="A68" s="110" t="s">
        <v>135</v>
      </c>
      <c r="B68" s="110" t="s">
        <v>3079</v>
      </c>
      <c r="C68">
        <v>109.69</v>
      </c>
      <c r="D68">
        <v>118.3859</v>
      </c>
      <c r="E68">
        <v>132.2974</v>
      </c>
      <c r="F68">
        <v>377.4993</v>
      </c>
    </row>
    <row r="69" spans="1:6">
      <c r="A69" s="110" t="s">
        <v>3080</v>
      </c>
      <c r="B69" s="110" t="s">
        <v>3081</v>
      </c>
      <c r="C69">
        <v>99.512</v>
      </c>
      <c r="D69">
        <v>106.3155</v>
      </c>
      <c r="E69">
        <v>149.6002</v>
      </c>
      <c r="F69">
        <v>186.0177</v>
      </c>
    </row>
    <row r="70" spans="1:6">
      <c r="A70" s="110" t="s">
        <v>3082</v>
      </c>
      <c r="B70" s="110" t="s">
        <v>3083</v>
      </c>
      <c r="C70">
        <v>93.82</v>
      </c>
      <c r="D70">
        <v>183.0007</v>
      </c>
      <c r="E70">
        <v>121.6751</v>
      </c>
      <c r="F70">
        <v>73.1222</v>
      </c>
    </row>
    <row r="71" spans="1:6">
      <c r="A71" s="110" t="s">
        <v>3084</v>
      </c>
      <c r="B71" s="110" t="s">
        <v>3085</v>
      </c>
      <c r="C71">
        <v>94.086</v>
      </c>
      <c r="D71">
        <v>151.4053</v>
      </c>
      <c r="E71">
        <v>98.7967</v>
      </c>
      <c r="F71">
        <v>138.9004</v>
      </c>
    </row>
    <row r="72" spans="1:6">
      <c r="A72" s="110" t="s">
        <v>52</v>
      </c>
      <c r="B72" s="110" t="s">
        <v>3086</v>
      </c>
      <c r="C72">
        <v>112.81</v>
      </c>
      <c r="D72">
        <v>120.5394</v>
      </c>
      <c r="E72">
        <v>209.9316</v>
      </c>
      <c r="F72">
        <v>141.4871</v>
      </c>
    </row>
    <row r="73" spans="1:6">
      <c r="A73" s="110" t="s">
        <v>56</v>
      </c>
      <c r="B73" s="110" t="s">
        <v>3087</v>
      </c>
      <c r="C73">
        <v>99.951</v>
      </c>
      <c r="D73">
        <v>118.2755</v>
      </c>
      <c r="E73">
        <v>192.1786</v>
      </c>
      <c r="F73">
        <v>178.5981</v>
      </c>
    </row>
    <row r="74" spans="1:6">
      <c r="A74" s="110" t="s">
        <v>3088</v>
      </c>
      <c r="B74" s="110" t="s">
        <v>3089</v>
      </c>
      <c r="C74">
        <v>120.28</v>
      </c>
      <c r="D74">
        <v>152.3056</v>
      </c>
      <c r="E74">
        <v>360.3079</v>
      </c>
      <c r="F74">
        <v>301.2442</v>
      </c>
    </row>
    <row r="75" spans="1:6">
      <c r="A75" s="110" t="s">
        <v>76</v>
      </c>
      <c r="B75" s="110" t="s">
        <v>3090</v>
      </c>
      <c r="C75">
        <v>97.809</v>
      </c>
      <c r="D75">
        <v>140.6806</v>
      </c>
      <c r="E75">
        <v>140.8421</v>
      </c>
      <c r="F75">
        <v>175.5412</v>
      </c>
    </row>
    <row r="76" spans="1:6">
      <c r="A76" s="110" t="s">
        <v>3091</v>
      </c>
      <c r="B76" s="110" t="s">
        <v>3092</v>
      </c>
      <c r="C76">
        <v>100.95</v>
      </c>
      <c r="D76">
        <v>108.807</v>
      </c>
      <c r="E76">
        <v>57.0543</v>
      </c>
      <c r="F76">
        <v>153.2484</v>
      </c>
    </row>
    <row r="77" spans="1:6">
      <c r="A77" s="110" t="s">
        <v>3093</v>
      </c>
      <c r="B77" s="110" t="s">
        <v>3094</v>
      </c>
      <c r="C77">
        <v>119.73</v>
      </c>
      <c r="D77">
        <v>142.9543</v>
      </c>
      <c r="E77">
        <v>181.8607</v>
      </c>
      <c r="F77">
        <v>204.7809</v>
      </c>
    </row>
    <row r="78" spans="1:6">
      <c r="A78" s="110" t="s">
        <v>106</v>
      </c>
      <c r="B78" s="110" t="s">
        <v>3095</v>
      </c>
      <c r="C78">
        <v>80.149</v>
      </c>
      <c r="D78">
        <v>126.6267</v>
      </c>
      <c r="E78">
        <v>78.9847</v>
      </c>
      <c r="F78">
        <v>74.1307</v>
      </c>
    </row>
    <row r="79" spans="1:6">
      <c r="A79" s="110" t="s">
        <v>103</v>
      </c>
      <c r="B79" s="110" t="s">
        <v>3096</v>
      </c>
      <c r="C79">
        <v>91.167</v>
      </c>
      <c r="D79">
        <v>183.5989</v>
      </c>
      <c r="E79">
        <v>124.6075</v>
      </c>
      <c r="F79">
        <v>104.2363</v>
      </c>
    </row>
    <row r="80" spans="1:6">
      <c r="A80" s="110" t="s">
        <v>3097</v>
      </c>
      <c r="B80" s="110" t="s">
        <v>3098</v>
      </c>
      <c r="C80">
        <v>89.148</v>
      </c>
      <c r="D80">
        <v>100.9275</v>
      </c>
      <c r="E80">
        <v>28.9539</v>
      </c>
      <c r="F80">
        <v>93.0489</v>
      </c>
    </row>
    <row r="81" spans="1:15">
      <c r="A81" s="110" t="s">
        <v>3099</v>
      </c>
      <c r="B81" s="110" t="s">
        <v>3100</v>
      </c>
      <c r="C81">
        <v>110.39</v>
      </c>
      <c r="D81">
        <v>173.9568</v>
      </c>
      <c r="E81">
        <v>88.5026</v>
      </c>
      <c r="F81">
        <v>270.974</v>
      </c>
    </row>
    <row r="82" spans="1:15">
      <c r="A82" s="110" t="s">
        <v>91</v>
      </c>
      <c r="B82" s="110" t="s">
        <v>3101</v>
      </c>
      <c r="C82">
        <v>89.539</v>
      </c>
      <c r="D82">
        <v>159.5656</v>
      </c>
      <c r="E82">
        <v>116.6571</v>
      </c>
      <c r="F82">
        <v>66.3685</v>
      </c>
    </row>
    <row r="83" spans="1:15">
      <c r="A83" s="110" t="s">
        <v>88</v>
      </c>
      <c r="B83" s="110" t="s">
        <v>3101</v>
      </c>
      <c r="C83">
        <v>98.423</v>
      </c>
      <c r="D83">
        <v>116.5544</v>
      </c>
      <c r="E83">
        <v>178.672</v>
      </c>
      <c r="F83">
        <v>207.2842</v>
      </c>
    </row>
    <row r="86" spans="1:15">
      <c r="A86" s="113" t="s">
        <v>3107</v>
      </c>
      <c r="B86" s="114"/>
      <c r="C86" s="114"/>
      <c r="D86" s="115"/>
      <c r="G86">
        <f>(H86+I86+J86+K86)/4</f>
        <v>39.425</v>
      </c>
      <c r="H86">
        <v>36.7</v>
      </c>
      <c r="I86">
        <v>43.7</v>
      </c>
      <c r="J86">
        <v>30.3</v>
      </c>
      <c r="K86">
        <v>47</v>
      </c>
      <c r="L86">
        <f t="shared" ref="L86:L117" si="3">(M86+N86)/2</f>
        <v>-89.75</v>
      </c>
      <c r="M86">
        <v>-95.9</v>
      </c>
      <c r="N86">
        <v>-83.6</v>
      </c>
      <c r="O86">
        <f>G86/L86</f>
        <v>-0.439275766016713</v>
      </c>
    </row>
    <row r="87" spans="1:15">
      <c r="A87" s="113" t="s">
        <v>1026</v>
      </c>
      <c r="B87" s="114"/>
      <c r="C87" s="114"/>
      <c r="D87" s="115"/>
      <c r="G87">
        <f t="shared" ref="G87:G118" si="4">(H87+I87+J87+K87)/4</f>
        <v>71.85</v>
      </c>
      <c r="H87">
        <v>64.7</v>
      </c>
      <c r="I87">
        <v>74.8</v>
      </c>
      <c r="J87">
        <v>77.1</v>
      </c>
      <c r="K87">
        <v>70.8</v>
      </c>
      <c r="L87">
        <f t="shared" si="3"/>
        <v>-98.05</v>
      </c>
      <c r="M87">
        <v>-94.8</v>
      </c>
      <c r="N87">
        <v>-101.3</v>
      </c>
      <c r="O87">
        <f t="shared" ref="O87:O118" si="5">G87/L87</f>
        <v>-0.732789393166752</v>
      </c>
    </row>
    <row r="88" spans="1:15">
      <c r="A88" s="113" t="s">
        <v>1034</v>
      </c>
      <c r="B88" s="114"/>
      <c r="C88" s="114"/>
      <c r="D88" s="115"/>
      <c r="G88">
        <f t="shared" si="4"/>
        <v>61.35</v>
      </c>
      <c r="H88">
        <v>56.5</v>
      </c>
      <c r="I88">
        <v>71.9</v>
      </c>
      <c r="J88">
        <v>51</v>
      </c>
      <c r="K88">
        <v>66</v>
      </c>
      <c r="L88">
        <f t="shared" si="3"/>
        <v>-44.75</v>
      </c>
      <c r="M88">
        <v>-59</v>
      </c>
      <c r="N88">
        <v>-30.5</v>
      </c>
      <c r="O88">
        <f t="shared" si="5"/>
        <v>-1.37094972067039</v>
      </c>
    </row>
    <row r="89" spans="1:15">
      <c r="A89" s="113" t="s">
        <v>3108</v>
      </c>
      <c r="B89" s="114"/>
      <c r="C89" s="114"/>
      <c r="D89" s="115"/>
      <c r="G89">
        <f t="shared" si="4"/>
        <v>52.35</v>
      </c>
      <c r="H89">
        <v>60.2</v>
      </c>
      <c r="I89">
        <v>48.2</v>
      </c>
      <c r="J89">
        <v>50.4</v>
      </c>
      <c r="K89">
        <v>50.6</v>
      </c>
      <c r="L89">
        <f t="shared" si="3"/>
        <v>-99.65</v>
      </c>
      <c r="M89">
        <v>-106.4</v>
      </c>
      <c r="N89">
        <v>-92.9</v>
      </c>
      <c r="O89">
        <f t="shared" si="5"/>
        <v>-0.525338685398896</v>
      </c>
    </row>
    <row r="90" spans="1:15">
      <c r="A90" s="113" t="s">
        <v>726</v>
      </c>
      <c r="B90" s="114"/>
      <c r="C90" s="114"/>
      <c r="D90" s="115"/>
      <c r="G90">
        <f t="shared" si="4"/>
        <v>66.9</v>
      </c>
      <c r="H90">
        <v>68</v>
      </c>
      <c r="I90">
        <v>65.1</v>
      </c>
      <c r="J90">
        <v>72</v>
      </c>
      <c r="K90">
        <v>62.5</v>
      </c>
      <c r="L90">
        <f t="shared" si="3"/>
        <v>-87.05</v>
      </c>
      <c r="M90">
        <v>-84.6</v>
      </c>
      <c r="N90">
        <v>-89.5</v>
      </c>
      <c r="O90">
        <f t="shared" si="5"/>
        <v>-0.768523836875359</v>
      </c>
    </row>
    <row r="91" spans="1:15">
      <c r="A91" s="113" t="s">
        <v>1039</v>
      </c>
      <c r="B91" s="114"/>
      <c r="C91" s="114"/>
      <c r="D91" s="115"/>
      <c r="G91">
        <f t="shared" si="4"/>
        <v>72.125</v>
      </c>
      <c r="H91">
        <v>66.8</v>
      </c>
      <c r="I91">
        <v>70.7</v>
      </c>
      <c r="J91">
        <v>71.2</v>
      </c>
      <c r="K91">
        <v>79.8</v>
      </c>
      <c r="L91">
        <f t="shared" si="3"/>
        <v>-42.4</v>
      </c>
      <c r="M91">
        <v>-44.8</v>
      </c>
      <c r="N91">
        <v>-40</v>
      </c>
      <c r="O91">
        <f t="shared" si="5"/>
        <v>-1.70106132075472</v>
      </c>
    </row>
    <row r="92" spans="1:15">
      <c r="A92" s="113" t="s">
        <v>1042</v>
      </c>
      <c r="B92" s="114"/>
      <c r="C92" s="114"/>
      <c r="D92" s="115"/>
      <c r="G92">
        <f t="shared" si="4"/>
        <v>74.025</v>
      </c>
      <c r="H92">
        <v>79.7</v>
      </c>
      <c r="I92">
        <v>66.4</v>
      </c>
      <c r="J92">
        <v>74.5</v>
      </c>
      <c r="K92">
        <v>75.5</v>
      </c>
      <c r="L92">
        <f t="shared" si="3"/>
        <v>-96.9</v>
      </c>
      <c r="M92">
        <v>-89.4</v>
      </c>
      <c r="N92">
        <v>-104.4</v>
      </c>
      <c r="O92">
        <f t="shared" si="5"/>
        <v>-0.763931888544892</v>
      </c>
    </row>
    <row r="93" spans="1:15">
      <c r="A93" s="113" t="s">
        <v>922</v>
      </c>
      <c r="B93" s="114"/>
      <c r="C93" s="114"/>
      <c r="D93" s="115"/>
      <c r="G93">
        <f t="shared" si="4"/>
        <v>62.725</v>
      </c>
      <c r="H93">
        <v>57.4</v>
      </c>
      <c r="I93">
        <v>60.5</v>
      </c>
      <c r="J93">
        <v>70.5</v>
      </c>
      <c r="K93">
        <v>62.5</v>
      </c>
      <c r="L93">
        <f t="shared" si="3"/>
        <v>-84</v>
      </c>
      <c r="M93">
        <v>-85.8</v>
      </c>
      <c r="N93">
        <v>-82.2</v>
      </c>
      <c r="O93">
        <f t="shared" si="5"/>
        <v>-0.74672619047619</v>
      </c>
    </row>
    <row r="94" spans="1:15">
      <c r="A94" s="113" t="s">
        <v>982</v>
      </c>
      <c r="B94" s="114"/>
      <c r="C94" s="114"/>
      <c r="D94" s="115"/>
      <c r="G94">
        <f t="shared" si="4"/>
        <v>54.725</v>
      </c>
      <c r="H94">
        <v>46.8</v>
      </c>
      <c r="I94">
        <v>46.7</v>
      </c>
      <c r="J94">
        <v>68.2</v>
      </c>
      <c r="K94">
        <v>57.2</v>
      </c>
      <c r="L94">
        <f t="shared" si="3"/>
        <v>-61.95</v>
      </c>
      <c r="M94">
        <v>-41.7</v>
      </c>
      <c r="N94">
        <v>-82.2</v>
      </c>
      <c r="O94">
        <f t="shared" si="5"/>
        <v>-0.883373688458434</v>
      </c>
    </row>
    <row r="95" spans="1:15">
      <c r="A95" s="113" t="s">
        <v>1050</v>
      </c>
      <c r="B95" s="116"/>
      <c r="C95" s="114"/>
      <c r="D95" s="115"/>
      <c r="G95">
        <f t="shared" si="4"/>
        <v>47.3</v>
      </c>
      <c r="H95">
        <v>53.9</v>
      </c>
      <c r="I95">
        <v>46.1</v>
      </c>
      <c r="J95">
        <v>45.6</v>
      </c>
      <c r="K95">
        <v>43.6</v>
      </c>
      <c r="L95">
        <f t="shared" si="3"/>
        <v>-93.65</v>
      </c>
      <c r="M95">
        <v>-89.7</v>
      </c>
      <c r="N95">
        <v>-97.6</v>
      </c>
      <c r="O95">
        <f t="shared" si="5"/>
        <v>-0.505072076882007</v>
      </c>
    </row>
    <row r="96" spans="1:15">
      <c r="A96" s="113" t="s">
        <v>824</v>
      </c>
      <c r="B96" s="114"/>
      <c r="C96" s="114"/>
      <c r="D96" s="115"/>
      <c r="G96">
        <f t="shared" si="4"/>
        <v>75.25</v>
      </c>
      <c r="H96">
        <v>67.5</v>
      </c>
      <c r="I96">
        <v>77.2</v>
      </c>
      <c r="J96">
        <v>77.9</v>
      </c>
      <c r="K96">
        <v>78.4</v>
      </c>
      <c r="L96">
        <f t="shared" si="3"/>
        <v>-87.2</v>
      </c>
      <c r="M96">
        <v>-79.7</v>
      </c>
      <c r="N96">
        <v>-94.7</v>
      </c>
      <c r="O96">
        <f t="shared" si="5"/>
        <v>-0.86295871559633</v>
      </c>
    </row>
    <row r="97" spans="1:46">
      <c r="A97" s="113" t="s">
        <v>1077</v>
      </c>
      <c r="B97" s="114"/>
      <c r="C97" s="114"/>
      <c r="D97" s="115"/>
      <c r="G97">
        <f t="shared" si="4"/>
        <v>64.55</v>
      </c>
      <c r="H97">
        <v>74</v>
      </c>
      <c r="I97">
        <v>51.2</v>
      </c>
      <c r="J97">
        <v>66.5</v>
      </c>
      <c r="K97">
        <v>66.5</v>
      </c>
      <c r="L97">
        <f t="shared" si="3"/>
        <v>-80.2</v>
      </c>
      <c r="M97">
        <v>-71.5</v>
      </c>
      <c r="N97">
        <v>-88.9</v>
      </c>
      <c r="O97">
        <f t="shared" si="5"/>
        <v>-0.804862842892768</v>
      </c>
    </row>
    <row r="98" spans="1:46">
      <c r="A98" s="113" t="s">
        <v>1081</v>
      </c>
      <c r="B98" s="114"/>
      <c r="C98" s="114"/>
      <c r="D98" s="115"/>
      <c r="G98">
        <f t="shared" si="4"/>
        <v>51.9</v>
      </c>
      <c r="H98">
        <v>38.6</v>
      </c>
      <c r="I98">
        <v>48</v>
      </c>
      <c r="J98">
        <v>67.8</v>
      </c>
      <c r="K98">
        <v>53.2</v>
      </c>
      <c r="L98">
        <f t="shared" si="3"/>
        <v>-95</v>
      </c>
      <c r="M98">
        <v>-96.1</v>
      </c>
      <c r="N98">
        <v>-93.9</v>
      </c>
      <c r="O98">
        <f t="shared" si="5"/>
        <v>-0.546315789473684</v>
      </c>
    </row>
    <row r="99" spans="1:46">
      <c r="A99" s="117" t="s">
        <v>1085</v>
      </c>
      <c r="B99" s="114"/>
      <c r="C99" s="114"/>
      <c r="D99" s="115"/>
      <c r="G99">
        <f t="shared" si="4"/>
        <v>51.775</v>
      </c>
      <c r="H99">
        <v>44.2</v>
      </c>
      <c r="I99">
        <v>52.1</v>
      </c>
      <c r="J99">
        <v>53.6</v>
      </c>
      <c r="K99">
        <v>57.2</v>
      </c>
      <c r="L99">
        <f t="shared" si="3"/>
        <v>-106.5</v>
      </c>
      <c r="M99">
        <v>-100</v>
      </c>
      <c r="N99">
        <v>-113</v>
      </c>
      <c r="O99">
        <f t="shared" si="5"/>
        <v>-0.486150234741784</v>
      </c>
      <c r="AT99">
        <v>1</v>
      </c>
    </row>
    <row r="100" spans="1:46">
      <c r="A100" s="113" t="s">
        <v>3109</v>
      </c>
      <c r="B100" s="114"/>
      <c r="C100" s="114"/>
      <c r="D100" s="115"/>
      <c r="G100">
        <f t="shared" si="4"/>
        <v>70.75</v>
      </c>
      <c r="H100">
        <v>63.9</v>
      </c>
      <c r="I100">
        <v>72.8</v>
      </c>
      <c r="J100">
        <v>72.5</v>
      </c>
      <c r="K100">
        <v>73.8</v>
      </c>
      <c r="L100">
        <f t="shared" si="3"/>
        <v>-74.7</v>
      </c>
      <c r="M100">
        <v>-74.8</v>
      </c>
      <c r="N100">
        <v>-74.6</v>
      </c>
      <c r="O100">
        <f t="shared" si="5"/>
        <v>-0.947121820615797</v>
      </c>
    </row>
    <row r="101" spans="1:46">
      <c r="A101" s="113" t="s">
        <v>67</v>
      </c>
      <c r="B101" s="114"/>
      <c r="C101" s="114"/>
      <c r="D101" s="115"/>
      <c r="G101">
        <f t="shared" si="4"/>
        <v>36.225</v>
      </c>
      <c r="H101">
        <v>45.4</v>
      </c>
      <c r="I101">
        <v>29.8</v>
      </c>
      <c r="J101">
        <v>39.1</v>
      </c>
      <c r="K101">
        <v>30.6</v>
      </c>
      <c r="L101">
        <f t="shared" si="3"/>
        <v>-102.3</v>
      </c>
      <c r="M101">
        <v>-91</v>
      </c>
      <c r="N101">
        <v>-113.6</v>
      </c>
      <c r="O101">
        <f t="shared" si="5"/>
        <v>-0.354105571847507</v>
      </c>
    </row>
    <row r="102" spans="1:46">
      <c r="A102" s="117" t="s">
        <v>1090</v>
      </c>
      <c r="B102" s="114"/>
      <c r="C102" s="114"/>
      <c r="D102" s="115"/>
      <c r="G102">
        <f t="shared" si="4"/>
        <v>64.075</v>
      </c>
      <c r="H102">
        <v>64.8</v>
      </c>
      <c r="I102">
        <v>58.6</v>
      </c>
      <c r="J102">
        <v>66.5</v>
      </c>
      <c r="K102">
        <v>66.4</v>
      </c>
      <c r="L102">
        <f t="shared" si="3"/>
        <v>-90.05</v>
      </c>
      <c r="M102">
        <v>-81.1</v>
      </c>
      <c r="N102">
        <v>-99</v>
      </c>
      <c r="O102">
        <f t="shared" si="5"/>
        <v>-0.711549139367018</v>
      </c>
    </row>
    <row r="103" spans="1:46">
      <c r="A103" s="117" t="s">
        <v>1093</v>
      </c>
      <c r="B103" s="114"/>
      <c r="C103" s="114"/>
      <c r="D103" s="115"/>
      <c r="G103">
        <f t="shared" si="4"/>
        <v>71.075</v>
      </c>
      <c r="H103">
        <v>64.5</v>
      </c>
      <c r="I103">
        <v>74.5</v>
      </c>
      <c r="J103">
        <v>67.2</v>
      </c>
      <c r="K103">
        <v>78.1</v>
      </c>
      <c r="L103">
        <f t="shared" si="3"/>
        <v>-73.7</v>
      </c>
      <c r="M103">
        <v>-61.8</v>
      </c>
      <c r="N103">
        <v>-85.6</v>
      </c>
      <c r="O103">
        <f t="shared" si="5"/>
        <v>-0.96438263229308</v>
      </c>
    </row>
    <row r="104" spans="1:46">
      <c r="A104" s="117" t="s">
        <v>187</v>
      </c>
      <c r="B104" s="114"/>
      <c r="C104" s="114"/>
      <c r="D104" s="115"/>
      <c r="G104">
        <f t="shared" si="4"/>
        <v>51.875</v>
      </c>
      <c r="H104">
        <v>52.6</v>
      </c>
      <c r="I104">
        <v>48.4</v>
      </c>
      <c r="J104">
        <v>52.9</v>
      </c>
      <c r="K104">
        <v>53.6</v>
      </c>
      <c r="L104">
        <f t="shared" si="3"/>
        <v>-104.2</v>
      </c>
      <c r="M104">
        <v>-106.8</v>
      </c>
      <c r="N104">
        <v>-101.6</v>
      </c>
      <c r="O104">
        <f t="shared" si="5"/>
        <v>-0.497840690978887</v>
      </c>
    </row>
    <row r="105" spans="1:46">
      <c r="A105" s="113" t="s">
        <v>67</v>
      </c>
      <c r="B105" s="116"/>
      <c r="C105" s="114"/>
      <c r="D105" s="115"/>
      <c r="G105">
        <f t="shared" si="4"/>
        <v>21.525</v>
      </c>
      <c r="H105">
        <v>11.2</v>
      </c>
      <c r="I105">
        <v>14.4</v>
      </c>
      <c r="J105">
        <v>33.6</v>
      </c>
      <c r="K105">
        <v>26.9</v>
      </c>
      <c r="L105">
        <f t="shared" si="3"/>
        <v>-74.8</v>
      </c>
      <c r="M105">
        <v>-75.1</v>
      </c>
      <c r="N105">
        <v>-74.5</v>
      </c>
      <c r="O105">
        <f t="shared" si="5"/>
        <v>-0.287767379679144</v>
      </c>
    </row>
    <row r="106" spans="1:46">
      <c r="A106" s="117" t="s">
        <v>1099</v>
      </c>
      <c r="B106" s="114"/>
      <c r="C106" s="116"/>
      <c r="D106" s="115"/>
      <c r="G106">
        <f t="shared" si="4"/>
        <v>35.25</v>
      </c>
      <c r="H106">
        <v>40.8</v>
      </c>
      <c r="I106">
        <v>33.7</v>
      </c>
      <c r="J106">
        <v>34.6</v>
      </c>
      <c r="K106">
        <v>31.9</v>
      </c>
      <c r="L106">
        <f t="shared" si="3"/>
        <v>-95.85</v>
      </c>
      <c r="M106">
        <v>-106.5</v>
      </c>
      <c r="N106">
        <v>-85.2</v>
      </c>
      <c r="O106">
        <f t="shared" si="5"/>
        <v>-0.367762128325509</v>
      </c>
    </row>
    <row r="107" spans="1:46">
      <c r="A107" s="113" t="s">
        <v>281</v>
      </c>
      <c r="B107" s="114"/>
      <c r="C107" s="114"/>
      <c r="D107" s="115"/>
      <c r="G107">
        <f t="shared" si="4"/>
        <v>45.725</v>
      </c>
      <c r="H107">
        <v>44</v>
      </c>
      <c r="I107">
        <v>42.9</v>
      </c>
      <c r="J107">
        <v>38.5</v>
      </c>
      <c r="K107">
        <v>57.5</v>
      </c>
      <c r="L107">
        <f t="shared" si="3"/>
        <v>-84.55</v>
      </c>
      <c r="M107">
        <v>-89</v>
      </c>
      <c r="N107">
        <v>-80.1</v>
      </c>
      <c r="O107">
        <f t="shared" si="5"/>
        <v>-0.5408042578356</v>
      </c>
    </row>
    <row r="108" spans="1:46">
      <c r="A108" s="117" t="s">
        <v>3110</v>
      </c>
      <c r="B108" s="114"/>
      <c r="C108" s="114"/>
      <c r="D108" s="115"/>
      <c r="G108">
        <f t="shared" si="4"/>
        <v>59.45</v>
      </c>
      <c r="H108">
        <v>45.1</v>
      </c>
      <c r="I108">
        <v>56.6</v>
      </c>
      <c r="J108">
        <v>74.1</v>
      </c>
      <c r="K108">
        <v>62</v>
      </c>
      <c r="L108">
        <f t="shared" si="3"/>
        <v>-56.45</v>
      </c>
      <c r="M108">
        <v>-60.5</v>
      </c>
      <c r="N108">
        <v>-52.4</v>
      </c>
      <c r="O108">
        <f t="shared" si="5"/>
        <v>-1.05314437555359</v>
      </c>
    </row>
    <row r="109" spans="1:46">
      <c r="A109" s="117" t="s">
        <v>1109</v>
      </c>
      <c r="B109" s="114"/>
      <c r="C109" s="114"/>
      <c r="D109" s="115"/>
      <c r="G109">
        <f t="shared" si="4"/>
        <v>54.4</v>
      </c>
      <c r="H109">
        <v>55.5</v>
      </c>
      <c r="I109">
        <v>56</v>
      </c>
      <c r="J109">
        <v>66.6</v>
      </c>
      <c r="K109">
        <v>39.5</v>
      </c>
      <c r="L109">
        <f t="shared" si="3"/>
        <v>-92.5</v>
      </c>
      <c r="M109">
        <v>-99</v>
      </c>
      <c r="N109">
        <v>-86</v>
      </c>
      <c r="O109">
        <f t="shared" si="5"/>
        <v>-0.588108108108108</v>
      </c>
    </row>
    <row r="110" spans="1:46">
      <c r="A110" s="117" t="s">
        <v>1112</v>
      </c>
      <c r="B110" s="114"/>
      <c r="C110" s="114"/>
      <c r="D110" s="115"/>
      <c r="G110">
        <f t="shared" si="4"/>
        <v>68.775</v>
      </c>
      <c r="H110">
        <v>72.6</v>
      </c>
      <c r="I110" s="71">
        <v>73.8</v>
      </c>
      <c r="J110">
        <v>67.7</v>
      </c>
      <c r="K110">
        <v>61</v>
      </c>
      <c r="L110">
        <f t="shared" si="3"/>
        <v>-101.65</v>
      </c>
      <c r="M110">
        <v>-101.5</v>
      </c>
      <c r="N110">
        <v>-101.8</v>
      </c>
      <c r="O110">
        <f t="shared" si="5"/>
        <v>-0.676586325627152</v>
      </c>
    </row>
    <row r="111" spans="1:46">
      <c r="A111" s="117" t="s">
        <v>1115</v>
      </c>
      <c r="B111" s="114"/>
      <c r="C111" s="116"/>
      <c r="D111" s="115"/>
      <c r="G111">
        <f t="shared" si="4"/>
        <v>52.05</v>
      </c>
      <c r="H111">
        <v>46.7</v>
      </c>
      <c r="I111">
        <v>40.5</v>
      </c>
      <c r="J111">
        <v>59</v>
      </c>
      <c r="K111">
        <v>62</v>
      </c>
      <c r="L111">
        <f t="shared" si="3"/>
        <v>-91.5</v>
      </c>
      <c r="M111">
        <v>-97</v>
      </c>
      <c r="N111">
        <v>-86</v>
      </c>
      <c r="O111">
        <f t="shared" si="5"/>
        <v>-0.568852459016393</v>
      </c>
    </row>
    <row r="112" spans="1:46">
      <c r="A112" s="117" t="s">
        <v>1118</v>
      </c>
      <c r="B112" s="114"/>
      <c r="C112" s="114"/>
      <c r="D112" s="115"/>
      <c r="G112">
        <f t="shared" si="4"/>
        <v>66.8</v>
      </c>
      <c r="H112">
        <v>76.4</v>
      </c>
      <c r="I112">
        <v>73</v>
      </c>
      <c r="J112">
        <v>63.3</v>
      </c>
      <c r="K112">
        <v>54.5</v>
      </c>
      <c r="L112">
        <f t="shared" si="3"/>
        <v>-70</v>
      </c>
      <c r="M112">
        <v>-72</v>
      </c>
      <c r="N112">
        <v>-68</v>
      </c>
      <c r="O112">
        <f t="shared" si="5"/>
        <v>-0.954285714285714</v>
      </c>
    </row>
    <row r="113" spans="1:15">
      <c r="A113" s="117" t="s">
        <v>1121</v>
      </c>
      <c r="B113" s="114"/>
      <c r="C113" s="114"/>
      <c r="D113" s="115"/>
      <c r="G113">
        <f t="shared" si="4"/>
        <v>60.85</v>
      </c>
      <c r="H113">
        <v>57.8</v>
      </c>
      <c r="I113">
        <v>67.7</v>
      </c>
      <c r="J113">
        <v>58.5</v>
      </c>
      <c r="K113">
        <v>59.4</v>
      </c>
      <c r="L113">
        <f t="shared" si="3"/>
        <v>-93.5</v>
      </c>
      <c r="M113">
        <v>-78</v>
      </c>
      <c r="N113">
        <v>-109</v>
      </c>
      <c r="O113">
        <f t="shared" si="5"/>
        <v>-0.650802139037433</v>
      </c>
    </row>
    <row r="114" spans="1:15">
      <c r="A114" s="117" t="s">
        <v>1124</v>
      </c>
      <c r="B114" s="114"/>
      <c r="C114" s="114"/>
      <c r="D114" s="115"/>
      <c r="G114">
        <f t="shared" si="4"/>
        <v>65.525</v>
      </c>
      <c r="H114">
        <v>72.8</v>
      </c>
      <c r="I114">
        <v>67</v>
      </c>
      <c r="J114">
        <v>64.8</v>
      </c>
      <c r="K114">
        <v>57.5</v>
      </c>
      <c r="L114">
        <f t="shared" si="3"/>
        <v>-79.2</v>
      </c>
      <c r="M114">
        <v>-73</v>
      </c>
      <c r="N114">
        <v>-85.4</v>
      </c>
      <c r="O114">
        <f t="shared" si="5"/>
        <v>-0.827335858585859</v>
      </c>
    </row>
    <row r="115" spans="1:15">
      <c r="A115" s="117" t="s">
        <v>571</v>
      </c>
      <c r="B115" s="114"/>
      <c r="C115" s="114"/>
      <c r="D115" s="115"/>
      <c r="G115">
        <f t="shared" si="4"/>
        <v>52.775</v>
      </c>
      <c r="H115">
        <v>46.1</v>
      </c>
      <c r="I115">
        <v>53</v>
      </c>
      <c r="J115">
        <v>62.5</v>
      </c>
      <c r="K115">
        <v>49.5</v>
      </c>
      <c r="L115">
        <f t="shared" si="3"/>
        <v>-105.6</v>
      </c>
      <c r="M115">
        <v>-104.2</v>
      </c>
      <c r="N115">
        <v>-107</v>
      </c>
      <c r="O115">
        <f t="shared" si="5"/>
        <v>-0.499763257575758</v>
      </c>
    </row>
    <row r="116" spans="1:15">
      <c r="A116" s="117" t="s">
        <v>3111</v>
      </c>
      <c r="B116" s="114"/>
      <c r="C116" s="114"/>
      <c r="D116" s="115"/>
      <c r="G116">
        <f t="shared" si="4"/>
        <v>61.8</v>
      </c>
      <c r="H116">
        <v>52.6</v>
      </c>
      <c r="I116">
        <v>64.1</v>
      </c>
      <c r="J116">
        <v>62.8</v>
      </c>
      <c r="K116">
        <v>67.7</v>
      </c>
      <c r="L116">
        <f t="shared" si="3"/>
        <v>-35.5</v>
      </c>
      <c r="M116">
        <v>-34.7</v>
      </c>
      <c r="N116">
        <v>-36.3</v>
      </c>
      <c r="O116">
        <f t="shared" si="5"/>
        <v>-1.74084507042254</v>
      </c>
    </row>
    <row r="117" spans="1:15">
      <c r="A117" s="117" t="s">
        <v>489</v>
      </c>
      <c r="B117" s="116"/>
      <c r="C117" s="114"/>
      <c r="D117" s="115"/>
      <c r="G117">
        <f t="shared" si="4"/>
        <v>43.875</v>
      </c>
      <c r="H117">
        <v>46</v>
      </c>
      <c r="I117">
        <v>48</v>
      </c>
      <c r="J117">
        <v>45.1</v>
      </c>
      <c r="K117">
        <v>36.4</v>
      </c>
      <c r="L117">
        <f t="shared" si="3"/>
        <v>-85.5</v>
      </c>
      <c r="M117">
        <v>-80.1</v>
      </c>
      <c r="N117">
        <v>-90.9</v>
      </c>
      <c r="O117">
        <f t="shared" si="5"/>
        <v>-0.513157894736842</v>
      </c>
    </row>
    <row r="118" spans="1:15">
      <c r="A118" s="117" t="s">
        <v>1130</v>
      </c>
      <c r="B118" s="118"/>
      <c r="C118" s="114"/>
      <c r="D118" s="115"/>
      <c r="G118">
        <f t="shared" si="4"/>
        <v>60.525</v>
      </c>
      <c r="H118">
        <v>61.1</v>
      </c>
      <c r="I118">
        <v>55.8</v>
      </c>
      <c r="J118">
        <v>66.2</v>
      </c>
      <c r="K118">
        <v>59</v>
      </c>
      <c r="L118">
        <f t="shared" ref="L118:L149" si="6">(M118+N118)/2</f>
        <v>-115.95</v>
      </c>
      <c r="M118">
        <v>-129.3</v>
      </c>
      <c r="N118">
        <v>-102.6</v>
      </c>
      <c r="O118">
        <f t="shared" si="5"/>
        <v>-0.521992238033635</v>
      </c>
    </row>
    <row r="119" spans="1:15">
      <c r="A119" s="117" t="s">
        <v>1133</v>
      </c>
      <c r="B119" s="118"/>
      <c r="C119" s="114"/>
      <c r="D119" s="115"/>
      <c r="G119">
        <f t="shared" ref="G119:G150" si="7">(H119+I119+J119+K119)/4</f>
        <v>39.925</v>
      </c>
      <c r="H119">
        <v>35.5</v>
      </c>
      <c r="I119">
        <v>25.5</v>
      </c>
      <c r="J119">
        <v>49.5</v>
      </c>
      <c r="K119">
        <v>49.2</v>
      </c>
      <c r="L119">
        <f t="shared" si="6"/>
        <v>-123.05</v>
      </c>
      <c r="M119">
        <v>-130.9</v>
      </c>
      <c r="N119">
        <v>-115.2</v>
      </c>
      <c r="O119">
        <f t="shared" ref="O119:O150" si="8">G119/L119</f>
        <v>-0.324461600975213</v>
      </c>
    </row>
    <row r="120" spans="1:15">
      <c r="A120" s="117" t="s">
        <v>1139</v>
      </c>
      <c r="B120" s="116"/>
      <c r="C120" s="114"/>
      <c r="D120" s="115"/>
      <c r="G120">
        <f t="shared" si="7"/>
        <v>50.075</v>
      </c>
      <c r="H120">
        <v>48.2</v>
      </c>
      <c r="I120">
        <v>42.8</v>
      </c>
      <c r="J120">
        <v>58.1</v>
      </c>
      <c r="K120">
        <v>51.2</v>
      </c>
      <c r="L120">
        <f t="shared" si="6"/>
        <v>-109</v>
      </c>
      <c r="M120">
        <v>-106.5</v>
      </c>
      <c r="N120">
        <v>-111.5</v>
      </c>
      <c r="O120">
        <f t="shared" si="8"/>
        <v>-0.459403669724771</v>
      </c>
    </row>
    <row r="121" spans="1:15">
      <c r="A121" s="117" t="s">
        <v>1142</v>
      </c>
      <c r="B121" s="116"/>
      <c r="C121" s="114"/>
      <c r="D121" s="115"/>
      <c r="G121">
        <f t="shared" si="7"/>
        <v>55.55</v>
      </c>
      <c r="H121">
        <v>54.4</v>
      </c>
      <c r="I121">
        <v>57</v>
      </c>
      <c r="J121">
        <v>52.2</v>
      </c>
      <c r="K121">
        <v>58.6</v>
      </c>
      <c r="L121">
        <f t="shared" si="6"/>
        <v>-86.2</v>
      </c>
      <c r="M121">
        <v>-87</v>
      </c>
      <c r="N121">
        <v>-85.4</v>
      </c>
      <c r="O121">
        <f t="shared" si="8"/>
        <v>-0.644431554524362</v>
      </c>
    </row>
    <row r="122" spans="1:15">
      <c r="A122" s="117" t="s">
        <v>1148</v>
      </c>
      <c r="B122" s="118"/>
      <c r="C122" s="114"/>
      <c r="D122" s="115"/>
      <c r="G122">
        <f t="shared" si="7"/>
        <v>53.225</v>
      </c>
      <c r="H122">
        <v>50.2</v>
      </c>
      <c r="I122">
        <v>43.6</v>
      </c>
      <c r="J122">
        <v>66.1</v>
      </c>
      <c r="K122">
        <v>53</v>
      </c>
      <c r="L122">
        <f t="shared" si="6"/>
        <v>-116.6</v>
      </c>
      <c r="M122">
        <v>-125.2</v>
      </c>
      <c r="N122">
        <v>-108</v>
      </c>
      <c r="O122">
        <f t="shared" si="8"/>
        <v>-0.45647512864494</v>
      </c>
    </row>
    <row r="123" spans="1:15">
      <c r="A123" s="117" t="s">
        <v>1151</v>
      </c>
      <c r="B123" s="116"/>
      <c r="C123" s="114"/>
      <c r="D123" s="115"/>
      <c r="G123">
        <f t="shared" si="7"/>
        <v>57.875</v>
      </c>
      <c r="H123">
        <v>48.2</v>
      </c>
      <c r="I123">
        <v>65.6</v>
      </c>
      <c r="J123">
        <v>58.8</v>
      </c>
      <c r="K123">
        <v>58.9</v>
      </c>
      <c r="L123">
        <f t="shared" si="6"/>
        <v>-70.4</v>
      </c>
      <c r="M123">
        <v>-73</v>
      </c>
      <c r="N123">
        <v>-67.8</v>
      </c>
      <c r="O123">
        <f t="shared" si="8"/>
        <v>-0.822088068181818</v>
      </c>
    </row>
    <row r="124" spans="1:15">
      <c r="A124" s="117" t="s">
        <v>1154</v>
      </c>
      <c r="B124" s="116"/>
      <c r="C124" s="114"/>
      <c r="D124" s="115"/>
      <c r="G124">
        <f t="shared" si="7"/>
        <v>55.425</v>
      </c>
      <c r="H124">
        <v>48.7</v>
      </c>
      <c r="I124">
        <v>57.8</v>
      </c>
      <c r="J124">
        <v>59.8</v>
      </c>
      <c r="K124">
        <v>55.4</v>
      </c>
      <c r="L124">
        <f t="shared" si="6"/>
        <v>-109.05</v>
      </c>
      <c r="M124">
        <v>-107.5</v>
      </c>
      <c r="N124">
        <v>-110.6</v>
      </c>
      <c r="O124">
        <f t="shared" si="8"/>
        <v>-0.508253094910592</v>
      </c>
    </row>
    <row r="125" spans="1:15">
      <c r="A125" s="117" t="s">
        <v>3112</v>
      </c>
      <c r="B125" s="116"/>
      <c r="C125" s="114"/>
      <c r="D125" s="115"/>
      <c r="G125">
        <f t="shared" si="7"/>
        <v>54.4</v>
      </c>
      <c r="H125">
        <v>58.2</v>
      </c>
      <c r="I125">
        <v>57.9</v>
      </c>
      <c r="J125">
        <v>56.5</v>
      </c>
      <c r="K125">
        <v>45</v>
      </c>
      <c r="L125">
        <f t="shared" si="6"/>
        <v>-93.7</v>
      </c>
      <c r="M125">
        <v>-107.9</v>
      </c>
      <c r="N125">
        <v>-79.5</v>
      </c>
      <c r="O125">
        <f t="shared" si="8"/>
        <v>-0.580576307363927</v>
      </c>
    </row>
    <row r="126" spans="1:15">
      <c r="A126" s="117" t="s">
        <v>3113</v>
      </c>
      <c r="B126" s="116"/>
      <c r="C126" s="114"/>
      <c r="D126" s="115"/>
      <c r="G126">
        <f t="shared" si="7"/>
        <v>60.9</v>
      </c>
      <c r="H126">
        <v>59.5</v>
      </c>
      <c r="I126">
        <v>65</v>
      </c>
      <c r="J126">
        <v>65.9</v>
      </c>
      <c r="K126">
        <v>53.2</v>
      </c>
      <c r="L126">
        <f t="shared" si="6"/>
        <v>-67.55</v>
      </c>
      <c r="M126">
        <v>-75.5</v>
      </c>
      <c r="N126">
        <v>-59.6</v>
      </c>
      <c r="O126">
        <f t="shared" si="8"/>
        <v>-0.901554404145078</v>
      </c>
    </row>
    <row r="127" spans="1:15">
      <c r="A127" s="117" t="s">
        <v>3114</v>
      </c>
      <c r="B127" s="118"/>
      <c r="C127" s="114"/>
      <c r="D127" s="115"/>
      <c r="G127">
        <f t="shared" si="7"/>
        <v>27.975</v>
      </c>
      <c r="H127">
        <v>29.2</v>
      </c>
      <c r="I127">
        <v>33.1</v>
      </c>
      <c r="J127">
        <v>19.7</v>
      </c>
      <c r="K127">
        <v>29.9</v>
      </c>
      <c r="L127">
        <f t="shared" si="6"/>
        <v>-112.95</v>
      </c>
      <c r="M127">
        <v>-121</v>
      </c>
      <c r="N127">
        <v>-104.9</v>
      </c>
      <c r="O127">
        <f t="shared" si="8"/>
        <v>-0.247675962815405</v>
      </c>
    </row>
    <row r="128" spans="1:15">
      <c r="A128" s="117" t="s">
        <v>775</v>
      </c>
      <c r="B128" s="118"/>
      <c r="C128" s="114"/>
      <c r="D128" s="115"/>
      <c r="G128">
        <f t="shared" si="7"/>
        <v>24.075</v>
      </c>
      <c r="H128">
        <v>34.9</v>
      </c>
      <c r="I128">
        <v>16.3</v>
      </c>
      <c r="J128">
        <v>19.8</v>
      </c>
      <c r="K128">
        <v>25.3</v>
      </c>
      <c r="L128">
        <f t="shared" si="6"/>
        <v>-96.25</v>
      </c>
      <c r="M128">
        <v>-94.5</v>
      </c>
      <c r="N128">
        <v>-98</v>
      </c>
      <c r="O128">
        <f t="shared" si="8"/>
        <v>-0.25012987012987</v>
      </c>
    </row>
    <row r="129" spans="1:15">
      <c r="A129" s="117" t="s">
        <v>1163</v>
      </c>
      <c r="B129" s="116"/>
      <c r="C129" s="114"/>
      <c r="D129" s="115"/>
      <c r="G129">
        <f t="shared" si="7"/>
        <v>58.5</v>
      </c>
      <c r="H129">
        <v>56.1</v>
      </c>
      <c r="I129">
        <v>62.2</v>
      </c>
      <c r="J129">
        <v>63.9</v>
      </c>
      <c r="K129">
        <v>51.8</v>
      </c>
      <c r="L129">
        <f t="shared" si="6"/>
        <v>-121.7</v>
      </c>
      <c r="M129">
        <v>-120.8</v>
      </c>
      <c r="N129">
        <v>-122.6</v>
      </c>
      <c r="O129">
        <f t="shared" si="8"/>
        <v>-0.480690221857026</v>
      </c>
    </row>
    <row r="130" spans="1:15">
      <c r="A130" s="117" t="s">
        <v>1166</v>
      </c>
      <c r="B130" s="116"/>
      <c r="C130" s="114"/>
      <c r="D130" s="115"/>
      <c r="G130">
        <f t="shared" si="7"/>
        <v>55.45</v>
      </c>
      <c r="H130">
        <v>55.9</v>
      </c>
      <c r="I130">
        <v>41</v>
      </c>
      <c r="J130">
        <v>61.7</v>
      </c>
      <c r="K130">
        <v>63.2</v>
      </c>
      <c r="L130">
        <f t="shared" si="6"/>
        <v>-113.15</v>
      </c>
      <c r="M130">
        <v>-121.1</v>
      </c>
      <c r="N130">
        <v>-105.2</v>
      </c>
      <c r="O130">
        <f t="shared" si="8"/>
        <v>-0.490057445868316</v>
      </c>
    </row>
    <row r="131" spans="1:15">
      <c r="A131" s="117" t="s">
        <v>3115</v>
      </c>
      <c r="B131" s="116"/>
      <c r="C131" s="114"/>
      <c r="D131" s="115"/>
      <c r="G131">
        <f t="shared" si="7"/>
        <v>27.475</v>
      </c>
      <c r="H131">
        <v>22.1</v>
      </c>
      <c r="I131">
        <v>31.2</v>
      </c>
      <c r="J131">
        <v>39</v>
      </c>
      <c r="K131">
        <v>17.6</v>
      </c>
      <c r="L131">
        <f t="shared" si="6"/>
        <v>-96.15</v>
      </c>
      <c r="M131">
        <v>-98.6</v>
      </c>
      <c r="N131">
        <v>-93.7</v>
      </c>
      <c r="O131">
        <f t="shared" si="8"/>
        <v>-0.285751430057202</v>
      </c>
    </row>
    <row r="132" spans="1:15">
      <c r="A132" s="117" t="s">
        <v>3116</v>
      </c>
      <c r="B132" s="116"/>
      <c r="C132" s="114"/>
      <c r="D132" s="115"/>
      <c r="G132">
        <f t="shared" si="7"/>
        <v>55.625</v>
      </c>
      <c r="H132">
        <v>50.8</v>
      </c>
      <c r="I132">
        <v>55.8</v>
      </c>
      <c r="J132">
        <v>59.1</v>
      </c>
      <c r="K132">
        <v>56.8</v>
      </c>
      <c r="L132">
        <f t="shared" si="6"/>
        <v>-99</v>
      </c>
      <c r="M132">
        <v>-100</v>
      </c>
      <c r="N132">
        <v>-98</v>
      </c>
      <c r="O132">
        <f t="shared" si="8"/>
        <v>-0.561868686868687</v>
      </c>
    </row>
    <row r="133" spans="1:15">
      <c r="A133" s="117" t="s">
        <v>1169</v>
      </c>
      <c r="B133" s="116"/>
      <c r="C133" s="114"/>
      <c r="D133" s="115"/>
      <c r="G133">
        <f t="shared" si="7"/>
        <v>64.575</v>
      </c>
      <c r="H133">
        <v>61.6</v>
      </c>
      <c r="I133">
        <v>62.2</v>
      </c>
      <c r="J133">
        <v>69.2</v>
      </c>
      <c r="K133">
        <v>65.3</v>
      </c>
      <c r="L133">
        <f t="shared" si="6"/>
        <v>-111.2</v>
      </c>
      <c r="M133">
        <v>-102.1</v>
      </c>
      <c r="N133">
        <v>-120.3</v>
      </c>
      <c r="O133">
        <f t="shared" si="8"/>
        <v>-0.580710431654676</v>
      </c>
    </row>
    <row r="134" spans="1:15">
      <c r="A134" s="117" t="s">
        <v>1172</v>
      </c>
      <c r="B134" s="116"/>
      <c r="C134" s="114"/>
      <c r="D134" s="115"/>
      <c r="G134">
        <f t="shared" si="7"/>
        <v>46.75</v>
      </c>
      <c r="H134">
        <v>40.5</v>
      </c>
      <c r="I134">
        <v>52.4</v>
      </c>
      <c r="J134">
        <v>44.1</v>
      </c>
      <c r="K134">
        <v>50</v>
      </c>
      <c r="L134">
        <f t="shared" si="6"/>
        <v>-73</v>
      </c>
      <c r="M134">
        <v>-64.2</v>
      </c>
      <c r="N134">
        <v>-81.8</v>
      </c>
      <c r="O134">
        <f t="shared" si="8"/>
        <v>-0.64041095890411</v>
      </c>
    </row>
    <row r="135" spans="1:15">
      <c r="A135" s="117" t="s">
        <v>3117</v>
      </c>
      <c r="B135" s="116"/>
      <c r="C135" s="114"/>
      <c r="D135" s="115"/>
      <c r="G135">
        <f t="shared" si="7"/>
        <v>53.15</v>
      </c>
      <c r="H135">
        <v>44.8</v>
      </c>
      <c r="I135">
        <v>50.3</v>
      </c>
      <c r="J135">
        <v>67.2</v>
      </c>
      <c r="K135">
        <v>50.3</v>
      </c>
      <c r="L135">
        <f t="shared" si="6"/>
        <v>-75.7</v>
      </c>
      <c r="M135">
        <v>-75</v>
      </c>
      <c r="N135">
        <v>-76.4</v>
      </c>
      <c r="O135">
        <f t="shared" si="8"/>
        <v>-0.702113606340819</v>
      </c>
    </row>
    <row r="136" spans="1:15">
      <c r="A136" s="117" t="s">
        <v>1154</v>
      </c>
      <c r="B136" s="116"/>
      <c r="C136" s="114"/>
      <c r="D136" s="115"/>
      <c r="G136">
        <f t="shared" si="7"/>
        <v>50.9</v>
      </c>
      <c r="H136">
        <v>49.9</v>
      </c>
      <c r="I136">
        <v>56.1</v>
      </c>
      <c r="J136">
        <v>54.8</v>
      </c>
      <c r="K136">
        <v>42.8</v>
      </c>
      <c r="L136">
        <f t="shared" si="6"/>
        <v>-107</v>
      </c>
      <c r="M136">
        <v>-103.2</v>
      </c>
      <c r="N136">
        <v>-110.8</v>
      </c>
      <c r="O136">
        <f t="shared" si="8"/>
        <v>-0.475700934579439</v>
      </c>
    </row>
    <row r="137" spans="1:15">
      <c r="A137" s="117" t="s">
        <v>848</v>
      </c>
      <c r="B137" s="116"/>
      <c r="C137" s="114"/>
      <c r="D137" s="115"/>
      <c r="G137">
        <f t="shared" si="7"/>
        <v>48.35</v>
      </c>
      <c r="H137">
        <v>46</v>
      </c>
      <c r="I137">
        <v>57.5</v>
      </c>
      <c r="J137">
        <v>51.4</v>
      </c>
      <c r="K137">
        <v>38.5</v>
      </c>
      <c r="L137">
        <f t="shared" si="6"/>
        <v>-81.35</v>
      </c>
      <c r="M137">
        <v>-87.9</v>
      </c>
      <c r="N137">
        <v>-74.8</v>
      </c>
      <c r="O137">
        <f t="shared" si="8"/>
        <v>-0.594345421020283</v>
      </c>
    </row>
    <row r="138" spans="1:15">
      <c r="A138" s="117" t="s">
        <v>1180</v>
      </c>
      <c r="B138" s="116"/>
      <c r="C138" s="114"/>
      <c r="D138" s="115"/>
      <c r="G138">
        <f t="shared" si="7"/>
        <v>44.725</v>
      </c>
      <c r="H138">
        <v>40.9</v>
      </c>
      <c r="I138">
        <v>37.2</v>
      </c>
      <c r="J138">
        <v>54.3</v>
      </c>
      <c r="K138">
        <v>46.5</v>
      </c>
      <c r="L138">
        <f t="shared" si="6"/>
        <v>-110.75</v>
      </c>
      <c r="M138">
        <v>-107.4</v>
      </c>
      <c r="N138">
        <v>-114.1</v>
      </c>
      <c r="O138">
        <f t="shared" si="8"/>
        <v>-0.403837471783296</v>
      </c>
    </row>
    <row r="139" spans="1:15">
      <c r="A139" s="117" t="s">
        <v>1183</v>
      </c>
      <c r="B139" s="116"/>
      <c r="C139" s="114"/>
      <c r="D139" s="115"/>
      <c r="G139">
        <f t="shared" si="7"/>
        <v>61.775</v>
      </c>
      <c r="H139">
        <v>58.5</v>
      </c>
      <c r="I139">
        <v>57.4</v>
      </c>
      <c r="J139">
        <v>66.8</v>
      </c>
      <c r="K139">
        <v>64.4</v>
      </c>
      <c r="L139">
        <f t="shared" si="6"/>
        <v>-76.7</v>
      </c>
      <c r="M139">
        <v>-84.2</v>
      </c>
      <c r="N139">
        <v>-69.2</v>
      </c>
      <c r="O139">
        <f t="shared" si="8"/>
        <v>-0.805410691003911</v>
      </c>
    </row>
    <row r="140" spans="1:15">
      <c r="A140" s="117" t="s">
        <v>1186</v>
      </c>
      <c r="B140" s="116"/>
      <c r="C140" s="114"/>
      <c r="D140" s="115"/>
      <c r="G140">
        <f t="shared" si="7"/>
        <v>51.15</v>
      </c>
      <c r="H140">
        <v>52.1</v>
      </c>
      <c r="I140">
        <v>52.5</v>
      </c>
      <c r="J140">
        <v>54.6</v>
      </c>
      <c r="K140">
        <v>45.4</v>
      </c>
      <c r="L140">
        <f t="shared" si="6"/>
        <v>-2.4</v>
      </c>
      <c r="M140">
        <v>-117.6</v>
      </c>
      <c r="N140">
        <v>112.8</v>
      </c>
      <c r="O140">
        <f t="shared" si="8"/>
        <v>-21.3125</v>
      </c>
    </row>
    <row r="141" spans="1:15">
      <c r="A141" s="117" t="s">
        <v>1189</v>
      </c>
      <c r="B141" s="116"/>
      <c r="C141" s="116"/>
      <c r="D141" s="115"/>
      <c r="G141">
        <f t="shared" si="7"/>
        <v>64</v>
      </c>
      <c r="H141">
        <v>57.3</v>
      </c>
      <c r="I141">
        <v>69.5</v>
      </c>
      <c r="J141">
        <v>63.6</v>
      </c>
      <c r="K141">
        <v>65.6</v>
      </c>
      <c r="L141">
        <f t="shared" si="6"/>
        <v>-95.05</v>
      </c>
      <c r="M141">
        <v>-103.2</v>
      </c>
      <c r="N141">
        <v>-86.9</v>
      </c>
      <c r="O141">
        <f t="shared" si="8"/>
        <v>-0.673329826407154</v>
      </c>
    </row>
    <row r="142" spans="1:15">
      <c r="A142" s="117" t="s">
        <v>732</v>
      </c>
      <c r="B142" s="116"/>
      <c r="C142" s="114"/>
      <c r="D142" s="115"/>
      <c r="G142">
        <f t="shared" si="7"/>
        <v>52.6</v>
      </c>
      <c r="H142">
        <v>50.2</v>
      </c>
      <c r="I142">
        <v>51.6</v>
      </c>
      <c r="J142">
        <v>53.2</v>
      </c>
      <c r="K142">
        <v>55.4</v>
      </c>
      <c r="L142">
        <f t="shared" si="6"/>
        <v>-111.4</v>
      </c>
      <c r="M142">
        <v>-121.2</v>
      </c>
      <c r="N142">
        <v>-101.6</v>
      </c>
      <c r="O142">
        <f t="shared" si="8"/>
        <v>-0.472172351885099</v>
      </c>
    </row>
    <row r="143" spans="1:15">
      <c r="A143" s="117" t="s">
        <v>100</v>
      </c>
      <c r="B143" s="116"/>
      <c r="C143" s="114"/>
      <c r="D143" s="115"/>
      <c r="G143">
        <f t="shared" si="7"/>
        <v>77.775</v>
      </c>
      <c r="H143">
        <v>83.7</v>
      </c>
      <c r="I143">
        <v>73.8</v>
      </c>
      <c r="J143">
        <v>73.4</v>
      </c>
      <c r="K143">
        <v>80.2</v>
      </c>
      <c r="L143">
        <f t="shared" si="6"/>
        <v>-108.05</v>
      </c>
      <c r="M143">
        <v>-106.8</v>
      </c>
      <c r="N143">
        <v>-109.3</v>
      </c>
      <c r="O143">
        <f t="shared" si="8"/>
        <v>-0.719805645534475</v>
      </c>
    </row>
    <row r="144" spans="1:15">
      <c r="A144" s="117" t="s">
        <v>3118</v>
      </c>
      <c r="B144" s="118"/>
      <c r="C144" s="114"/>
      <c r="D144" s="115"/>
      <c r="G144">
        <f t="shared" si="7"/>
        <v>51.875</v>
      </c>
      <c r="H144">
        <v>53.4</v>
      </c>
      <c r="I144">
        <v>51.8</v>
      </c>
      <c r="J144">
        <v>53.2</v>
      </c>
      <c r="K144">
        <v>49.1</v>
      </c>
      <c r="L144">
        <f t="shared" si="6"/>
        <v>-87.9</v>
      </c>
      <c r="M144">
        <v>-100</v>
      </c>
      <c r="N144">
        <v>-75.8</v>
      </c>
      <c r="O144">
        <f t="shared" si="8"/>
        <v>-0.590159271899886</v>
      </c>
    </row>
    <row r="145" spans="1:15">
      <c r="A145" s="117" t="s">
        <v>564</v>
      </c>
      <c r="B145" s="118"/>
      <c r="C145" s="114"/>
      <c r="D145" s="115"/>
      <c r="G145">
        <f t="shared" si="7"/>
        <v>59.725</v>
      </c>
      <c r="H145">
        <v>64.2</v>
      </c>
      <c r="I145">
        <v>36.2</v>
      </c>
      <c r="J145">
        <v>66.3</v>
      </c>
      <c r="K145">
        <v>72.2</v>
      </c>
      <c r="L145">
        <f t="shared" si="6"/>
        <v>-109.05</v>
      </c>
      <c r="M145">
        <v>-112.9</v>
      </c>
      <c r="N145">
        <v>-105.2</v>
      </c>
      <c r="O145">
        <f t="shared" si="8"/>
        <v>-0.547684548372306</v>
      </c>
    </row>
    <row r="146" spans="1:15">
      <c r="A146" s="117" t="s">
        <v>3119</v>
      </c>
      <c r="B146" s="118"/>
      <c r="C146" s="114"/>
      <c r="D146" s="115"/>
      <c r="G146">
        <f t="shared" si="7"/>
        <v>54.3</v>
      </c>
      <c r="H146">
        <v>58.9</v>
      </c>
      <c r="I146">
        <v>60.1</v>
      </c>
      <c r="J146">
        <v>58.2</v>
      </c>
      <c r="K146">
        <v>40</v>
      </c>
      <c r="L146">
        <f t="shared" si="6"/>
        <v>-126.35</v>
      </c>
      <c r="M146">
        <v>-126.9</v>
      </c>
      <c r="N146">
        <v>-125.8</v>
      </c>
      <c r="O146">
        <f t="shared" si="8"/>
        <v>-0.429758607043926</v>
      </c>
    </row>
    <row r="147" spans="1:15">
      <c r="A147" s="117" t="s">
        <v>3120</v>
      </c>
      <c r="B147" s="118"/>
      <c r="C147" s="114"/>
      <c r="D147" s="115"/>
      <c r="G147">
        <f t="shared" si="7"/>
        <v>49.575</v>
      </c>
      <c r="H147">
        <v>52.9</v>
      </c>
      <c r="I147">
        <v>50</v>
      </c>
      <c r="J147">
        <v>48.6</v>
      </c>
      <c r="K147">
        <v>46.8</v>
      </c>
      <c r="L147">
        <f t="shared" si="6"/>
        <v>-79.25</v>
      </c>
      <c r="M147">
        <v>-68</v>
      </c>
      <c r="N147">
        <v>-90.5</v>
      </c>
      <c r="O147">
        <f t="shared" si="8"/>
        <v>-0.625552050473186</v>
      </c>
    </row>
    <row r="148" spans="1:15">
      <c r="A148" s="117" t="s">
        <v>3121</v>
      </c>
      <c r="B148" s="118"/>
      <c r="C148" s="114"/>
      <c r="D148" s="115"/>
      <c r="G148">
        <f t="shared" si="7"/>
        <v>52.625</v>
      </c>
      <c r="H148">
        <v>53.5</v>
      </c>
      <c r="I148">
        <v>46.8</v>
      </c>
      <c r="J148">
        <v>53.2</v>
      </c>
      <c r="K148">
        <v>57</v>
      </c>
      <c r="L148">
        <f t="shared" si="6"/>
        <v>-111.1</v>
      </c>
      <c r="M148">
        <v>-114.6</v>
      </c>
      <c r="N148">
        <v>-107.6</v>
      </c>
      <c r="O148">
        <f t="shared" si="8"/>
        <v>-0.473672367236724</v>
      </c>
    </row>
    <row r="149" spans="1:15">
      <c r="A149" s="117" t="s">
        <v>1001</v>
      </c>
      <c r="B149" s="118"/>
      <c r="C149" s="114"/>
      <c r="D149" s="115"/>
      <c r="G149">
        <f t="shared" si="7"/>
        <v>52.25</v>
      </c>
      <c r="H149">
        <v>57.2</v>
      </c>
      <c r="I149">
        <v>45.8</v>
      </c>
      <c r="J149">
        <v>57.8</v>
      </c>
      <c r="K149">
        <v>48.2</v>
      </c>
      <c r="L149">
        <f t="shared" si="6"/>
        <v>-69.95</v>
      </c>
      <c r="M149">
        <v>-84.8</v>
      </c>
      <c r="N149">
        <v>-55.1</v>
      </c>
      <c r="O149">
        <f t="shared" si="8"/>
        <v>-0.746962115796998</v>
      </c>
    </row>
    <row r="150" spans="1:15">
      <c r="A150" s="117" t="s">
        <v>1199</v>
      </c>
      <c r="B150" s="118"/>
      <c r="C150" s="114"/>
      <c r="D150" s="115"/>
      <c r="G150">
        <f t="shared" si="7"/>
        <v>38.325</v>
      </c>
      <c r="H150">
        <v>33.4</v>
      </c>
      <c r="I150">
        <v>40.5</v>
      </c>
      <c r="J150">
        <v>37.2</v>
      </c>
      <c r="K150">
        <v>42.2</v>
      </c>
      <c r="L150">
        <f t="shared" ref="L150:L181" si="9">(M150+N150)/2</f>
        <v>-75</v>
      </c>
      <c r="M150">
        <v>-83.1</v>
      </c>
      <c r="N150">
        <v>-66.9</v>
      </c>
      <c r="O150">
        <f t="shared" si="8"/>
        <v>-0.511</v>
      </c>
    </row>
    <row r="151" spans="1:15">
      <c r="A151" s="117" t="s">
        <v>1202</v>
      </c>
      <c r="B151" s="118"/>
      <c r="C151" s="114"/>
      <c r="D151" s="115"/>
      <c r="G151">
        <f t="shared" ref="G151:G182" si="10">(H151+I151+J151+K151)/4</f>
        <v>54.025</v>
      </c>
      <c r="H151">
        <v>51.5</v>
      </c>
      <c r="I151">
        <v>47</v>
      </c>
      <c r="J151">
        <v>58.2</v>
      </c>
      <c r="K151">
        <v>59.4</v>
      </c>
      <c r="L151">
        <f t="shared" si="9"/>
        <v>-118.55</v>
      </c>
      <c r="M151">
        <v>-119.7</v>
      </c>
      <c r="N151">
        <v>-117.4</v>
      </c>
      <c r="O151">
        <f t="shared" ref="O151:O182" si="11">G151/L151</f>
        <v>-0.455714888232813</v>
      </c>
    </row>
    <row r="152" spans="1:15">
      <c r="A152" s="117" t="s">
        <v>1208</v>
      </c>
      <c r="B152" s="118"/>
      <c r="C152" s="114"/>
      <c r="D152" s="115"/>
      <c r="G152">
        <f t="shared" si="10"/>
        <v>27.4</v>
      </c>
      <c r="H152">
        <v>33.3</v>
      </c>
      <c r="I152">
        <v>30.2</v>
      </c>
      <c r="J152">
        <v>17.2</v>
      </c>
      <c r="K152">
        <v>28.9</v>
      </c>
      <c r="L152">
        <f t="shared" si="9"/>
        <v>-91.35</v>
      </c>
      <c r="M152">
        <v>-92.9</v>
      </c>
      <c r="N152">
        <v>-89.8</v>
      </c>
      <c r="O152">
        <f t="shared" si="11"/>
        <v>-0.299945265462507</v>
      </c>
    </row>
    <row r="153" spans="1:15">
      <c r="A153" s="117" t="s">
        <v>3122</v>
      </c>
      <c r="B153" s="118"/>
      <c r="C153" s="114"/>
      <c r="D153" s="115"/>
      <c r="G153">
        <f t="shared" si="10"/>
        <v>47.85</v>
      </c>
      <c r="H153">
        <v>40.1</v>
      </c>
      <c r="I153">
        <v>51.4</v>
      </c>
      <c r="J153">
        <v>56.8</v>
      </c>
      <c r="K153">
        <v>43.1</v>
      </c>
      <c r="L153">
        <f t="shared" si="9"/>
        <v>-101.85</v>
      </c>
      <c r="M153">
        <v>-92.8</v>
      </c>
      <c r="N153">
        <v>-110.9</v>
      </c>
      <c r="O153">
        <f t="shared" si="11"/>
        <v>-0.46980854197349</v>
      </c>
    </row>
    <row r="154" spans="1:15">
      <c r="A154" s="117" t="s">
        <v>1211</v>
      </c>
      <c r="B154" s="118"/>
      <c r="C154" s="114"/>
      <c r="D154" s="115"/>
      <c r="G154">
        <f t="shared" si="10"/>
        <v>48.25</v>
      </c>
      <c r="H154">
        <v>49</v>
      </c>
      <c r="I154">
        <v>40.2</v>
      </c>
      <c r="J154">
        <v>51.2</v>
      </c>
      <c r="K154">
        <v>52.6</v>
      </c>
      <c r="L154">
        <f t="shared" si="9"/>
        <v>-99.25</v>
      </c>
      <c r="M154">
        <v>-102.4</v>
      </c>
      <c r="N154">
        <v>-96.1</v>
      </c>
      <c r="O154">
        <f t="shared" si="11"/>
        <v>-0.486146095717884</v>
      </c>
    </row>
    <row r="155" spans="1:15">
      <c r="A155" s="117" t="s">
        <v>1219</v>
      </c>
      <c r="B155" s="118"/>
      <c r="C155" s="114"/>
      <c r="D155" s="115"/>
      <c r="G155">
        <f t="shared" si="10"/>
        <v>56.775</v>
      </c>
      <c r="H155">
        <v>58.5</v>
      </c>
      <c r="I155">
        <v>50.9</v>
      </c>
      <c r="J155">
        <v>63.4</v>
      </c>
      <c r="K155">
        <v>54.3</v>
      </c>
      <c r="L155">
        <f t="shared" si="9"/>
        <v>-110</v>
      </c>
      <c r="M155">
        <v>-102.8</v>
      </c>
      <c r="N155">
        <v>-117.2</v>
      </c>
      <c r="O155">
        <f t="shared" si="11"/>
        <v>-0.516136363636364</v>
      </c>
    </row>
    <row r="156" spans="1:15">
      <c r="A156" s="117" t="s">
        <v>3118</v>
      </c>
      <c r="B156" s="118"/>
      <c r="C156" s="114"/>
      <c r="D156" s="115"/>
      <c r="G156">
        <f t="shared" si="10"/>
        <v>56.025</v>
      </c>
      <c r="H156">
        <v>54</v>
      </c>
      <c r="I156">
        <v>55.4</v>
      </c>
      <c r="J156">
        <v>53.8</v>
      </c>
      <c r="K156">
        <v>60.9</v>
      </c>
      <c r="L156">
        <f t="shared" si="9"/>
        <v>-86.65</v>
      </c>
      <c r="M156">
        <v>-89.4</v>
      </c>
      <c r="N156">
        <v>-83.9</v>
      </c>
      <c r="O156">
        <f t="shared" si="11"/>
        <v>-0.646566647432198</v>
      </c>
    </row>
    <row r="157" spans="1:15">
      <c r="A157" s="117" t="s">
        <v>1020</v>
      </c>
      <c r="B157" s="118"/>
      <c r="C157" s="114"/>
      <c r="D157" s="115"/>
      <c r="G157">
        <f t="shared" si="10"/>
        <v>57.975</v>
      </c>
      <c r="H157">
        <v>60.8</v>
      </c>
      <c r="I157">
        <v>57.4</v>
      </c>
      <c r="J157">
        <v>52.4</v>
      </c>
      <c r="K157">
        <v>61.3</v>
      </c>
      <c r="L157">
        <f t="shared" si="9"/>
        <v>-101.75</v>
      </c>
      <c r="M157">
        <v>-105.5</v>
      </c>
      <c r="N157">
        <v>-98</v>
      </c>
      <c r="O157">
        <f t="shared" si="11"/>
        <v>-0.56977886977887</v>
      </c>
    </row>
    <row r="158" spans="1:15">
      <c r="A158" s="117" t="s">
        <v>1223</v>
      </c>
      <c r="B158" s="118"/>
      <c r="C158" s="114"/>
      <c r="D158" s="115"/>
      <c r="G158">
        <f t="shared" si="10"/>
        <v>20.3</v>
      </c>
      <c r="H158">
        <v>16.2</v>
      </c>
      <c r="I158">
        <v>22.8</v>
      </c>
      <c r="J158">
        <v>31.2</v>
      </c>
      <c r="K158">
        <v>11</v>
      </c>
      <c r="L158">
        <f t="shared" si="9"/>
        <v>-109.9</v>
      </c>
      <c r="M158">
        <v>-101.2</v>
      </c>
      <c r="N158">
        <v>-118.6</v>
      </c>
      <c r="O158">
        <f t="shared" si="11"/>
        <v>-0.184713375796178</v>
      </c>
    </row>
    <row r="159" spans="1:15">
      <c r="A159" s="117" t="s">
        <v>1226</v>
      </c>
      <c r="B159" s="118"/>
      <c r="C159" s="114"/>
      <c r="D159" s="115"/>
      <c r="G159">
        <f t="shared" si="10"/>
        <v>49.825</v>
      </c>
      <c r="H159">
        <v>41.8</v>
      </c>
      <c r="I159">
        <v>37.6</v>
      </c>
      <c r="J159">
        <v>60.8</v>
      </c>
      <c r="K159">
        <v>59.1</v>
      </c>
      <c r="L159">
        <f t="shared" si="9"/>
        <v>-100.9</v>
      </c>
      <c r="M159">
        <v>-108.3</v>
      </c>
      <c r="N159">
        <v>-93.5</v>
      </c>
      <c r="O159">
        <f t="shared" si="11"/>
        <v>-0.493805748265609</v>
      </c>
    </row>
    <row r="160" spans="1:15">
      <c r="A160" s="119" t="s">
        <v>3123</v>
      </c>
      <c r="B160" s="118"/>
      <c r="C160" s="114"/>
      <c r="D160" s="115"/>
      <c r="G160">
        <f t="shared" si="10"/>
        <v>59.425</v>
      </c>
      <c r="H160">
        <v>50</v>
      </c>
      <c r="I160">
        <v>71.8</v>
      </c>
      <c r="J160">
        <v>69.4</v>
      </c>
      <c r="K160">
        <v>46.5</v>
      </c>
      <c r="L160">
        <f t="shared" si="9"/>
        <v>-112.9</v>
      </c>
      <c r="M160">
        <v>-109.6</v>
      </c>
      <c r="N160">
        <v>-116.2</v>
      </c>
      <c r="O160">
        <f t="shared" si="11"/>
        <v>-0.526350752878654</v>
      </c>
    </row>
    <row r="161" spans="1:15">
      <c r="A161" s="117" t="s">
        <v>1234</v>
      </c>
      <c r="B161" s="118"/>
      <c r="C161" s="114"/>
      <c r="D161" s="115"/>
      <c r="G161">
        <f t="shared" si="10"/>
        <v>42.025</v>
      </c>
      <c r="H161">
        <v>38.8</v>
      </c>
      <c r="I161">
        <v>38.8</v>
      </c>
      <c r="J161">
        <v>40</v>
      </c>
      <c r="K161">
        <v>50.5</v>
      </c>
      <c r="L161">
        <f t="shared" si="9"/>
        <v>-101.3</v>
      </c>
      <c r="M161">
        <v>-105.5</v>
      </c>
      <c r="N161">
        <v>-97.1</v>
      </c>
      <c r="O161">
        <f t="shared" si="11"/>
        <v>-0.414856860809477</v>
      </c>
    </row>
    <row r="162" spans="1:15">
      <c r="A162" s="117" t="s">
        <v>1240</v>
      </c>
      <c r="B162" s="118"/>
      <c r="C162" s="114"/>
      <c r="D162" s="115"/>
      <c r="G162">
        <f t="shared" si="10"/>
        <v>52.575</v>
      </c>
      <c r="H162">
        <v>45.8</v>
      </c>
      <c r="I162">
        <v>58.2</v>
      </c>
      <c r="J162">
        <v>51.8</v>
      </c>
      <c r="K162">
        <v>54.5</v>
      </c>
      <c r="L162">
        <f t="shared" si="9"/>
        <v>-120.6</v>
      </c>
      <c r="M162">
        <v>-126.5</v>
      </c>
      <c r="N162">
        <v>-114.7</v>
      </c>
      <c r="O162">
        <f t="shared" si="11"/>
        <v>-0.435945273631841</v>
      </c>
    </row>
    <row r="163" spans="1:15">
      <c r="A163" s="117" t="s">
        <v>1243</v>
      </c>
      <c r="B163" s="118"/>
      <c r="C163" s="114"/>
      <c r="D163" s="115"/>
      <c r="G163">
        <f t="shared" si="10"/>
        <v>51.15</v>
      </c>
      <c r="H163">
        <v>64</v>
      </c>
      <c r="I163">
        <v>46.3</v>
      </c>
      <c r="J163">
        <v>48.2</v>
      </c>
      <c r="K163">
        <v>46.1</v>
      </c>
      <c r="L163">
        <f t="shared" si="9"/>
        <v>-94.5</v>
      </c>
      <c r="M163">
        <v>-91.4</v>
      </c>
      <c r="N163">
        <v>-97.6</v>
      </c>
      <c r="O163">
        <f t="shared" si="11"/>
        <v>-0.541269841269841</v>
      </c>
    </row>
    <row r="164" spans="1:15">
      <c r="A164" s="117" t="s">
        <v>726</v>
      </c>
      <c r="B164" s="118"/>
      <c r="C164" s="114"/>
      <c r="D164" s="115"/>
      <c r="G164">
        <f t="shared" si="10"/>
        <v>46.6</v>
      </c>
      <c r="H164">
        <v>44.1</v>
      </c>
      <c r="I164">
        <v>49.7</v>
      </c>
      <c r="J164">
        <v>48.4</v>
      </c>
      <c r="K164">
        <v>44.2</v>
      </c>
      <c r="L164">
        <f t="shared" si="9"/>
        <v>-95.55</v>
      </c>
      <c r="M164">
        <v>-88</v>
      </c>
      <c r="N164">
        <v>-103.1</v>
      </c>
      <c r="O164">
        <f t="shared" si="11"/>
        <v>-0.487702773417059</v>
      </c>
    </row>
    <row r="165" spans="1:15">
      <c r="A165" s="117" t="s">
        <v>1247</v>
      </c>
      <c r="B165" s="118"/>
      <c r="C165" s="114"/>
      <c r="D165" s="115"/>
      <c r="G165">
        <f t="shared" si="10"/>
        <v>59.2</v>
      </c>
      <c r="H165">
        <v>49.1</v>
      </c>
      <c r="I165">
        <v>63.2</v>
      </c>
      <c r="J165">
        <v>70.4</v>
      </c>
      <c r="K165">
        <v>54.1</v>
      </c>
      <c r="L165">
        <f t="shared" si="9"/>
        <v>-116.55</v>
      </c>
      <c r="M165">
        <v>-122.3</v>
      </c>
      <c r="N165">
        <v>-110.8</v>
      </c>
      <c r="O165">
        <f t="shared" si="11"/>
        <v>-0.507936507936508</v>
      </c>
    </row>
    <row r="166" spans="1:15">
      <c r="A166" s="119" t="s">
        <v>1250</v>
      </c>
      <c r="B166" s="118"/>
      <c r="C166" s="114"/>
      <c r="D166" s="115"/>
      <c r="G166">
        <f t="shared" si="10"/>
        <v>58.075</v>
      </c>
      <c r="H166">
        <v>59.6</v>
      </c>
      <c r="I166">
        <v>60.1</v>
      </c>
      <c r="J166">
        <v>59.1</v>
      </c>
      <c r="K166">
        <v>53.5</v>
      </c>
      <c r="L166">
        <f t="shared" si="9"/>
        <v>-94</v>
      </c>
      <c r="M166">
        <v>-94</v>
      </c>
      <c r="N166">
        <v>-94</v>
      </c>
      <c r="O166">
        <f t="shared" si="11"/>
        <v>-0.61781914893617</v>
      </c>
    </row>
    <row r="167" spans="1:15">
      <c r="A167" s="119" t="s">
        <v>1262</v>
      </c>
      <c r="B167" s="118"/>
      <c r="C167" s="114"/>
      <c r="D167" s="115"/>
      <c r="G167">
        <f t="shared" si="10"/>
        <v>45.5</v>
      </c>
      <c r="H167">
        <v>47.1</v>
      </c>
      <c r="I167">
        <v>46.5</v>
      </c>
      <c r="J167">
        <v>52.6</v>
      </c>
      <c r="K167">
        <v>35.8</v>
      </c>
      <c r="L167">
        <f t="shared" si="9"/>
        <v>-104.9</v>
      </c>
      <c r="M167">
        <v>-105.8</v>
      </c>
      <c r="N167">
        <v>-104</v>
      </c>
      <c r="O167">
        <f t="shared" si="11"/>
        <v>-0.433746425166826</v>
      </c>
    </row>
    <row r="168" spans="1:15">
      <c r="A168" s="119" t="s">
        <v>1265</v>
      </c>
      <c r="B168" s="118"/>
      <c r="C168" s="114"/>
      <c r="D168" s="115"/>
      <c r="G168">
        <f t="shared" si="10"/>
        <v>47.25</v>
      </c>
      <c r="H168">
        <v>44.8</v>
      </c>
      <c r="I168">
        <v>48</v>
      </c>
      <c r="J168">
        <v>47.8</v>
      </c>
      <c r="K168">
        <v>48.4</v>
      </c>
      <c r="L168">
        <f t="shared" si="9"/>
        <v>-83.3</v>
      </c>
      <c r="M168">
        <v>-74.1</v>
      </c>
      <c r="N168">
        <v>-92.5</v>
      </c>
      <c r="O168">
        <f t="shared" si="11"/>
        <v>-0.567226890756303</v>
      </c>
    </row>
    <row r="169" spans="1:15">
      <c r="A169" s="110" t="s">
        <v>910</v>
      </c>
      <c r="B169" s="118"/>
      <c r="C169" s="114"/>
      <c r="D169" s="115"/>
      <c r="G169">
        <f t="shared" si="10"/>
        <v>51.95</v>
      </c>
      <c r="H169">
        <v>52.9</v>
      </c>
      <c r="I169">
        <v>52.3</v>
      </c>
      <c r="J169">
        <v>51.4</v>
      </c>
      <c r="K169">
        <v>51.2</v>
      </c>
      <c r="L169">
        <f t="shared" si="9"/>
        <v>-119.6</v>
      </c>
      <c r="M169">
        <v>-119</v>
      </c>
      <c r="N169">
        <v>-120.2</v>
      </c>
      <c r="O169">
        <f t="shared" si="11"/>
        <v>-0.434364548494983</v>
      </c>
    </row>
    <row r="170" spans="1:15">
      <c r="A170" s="119" t="s">
        <v>3124</v>
      </c>
      <c r="B170" s="118"/>
      <c r="C170" s="114"/>
      <c r="D170" s="115"/>
      <c r="G170">
        <f t="shared" si="10"/>
        <v>62.925</v>
      </c>
      <c r="H170">
        <v>66</v>
      </c>
      <c r="I170">
        <v>61.8</v>
      </c>
      <c r="J170">
        <v>64.1</v>
      </c>
      <c r="K170">
        <v>59.8</v>
      </c>
      <c r="L170">
        <f t="shared" si="9"/>
        <v>-112.8</v>
      </c>
      <c r="M170">
        <v>-117.5</v>
      </c>
      <c r="N170">
        <v>-108.1</v>
      </c>
      <c r="O170">
        <f t="shared" si="11"/>
        <v>-0.557845744680851</v>
      </c>
    </row>
    <row r="171" spans="1:15">
      <c r="A171" s="119" t="s">
        <v>1273</v>
      </c>
      <c r="B171" s="118"/>
      <c r="C171" s="114"/>
      <c r="D171" s="115"/>
      <c r="G171">
        <f t="shared" si="10"/>
        <v>56.55</v>
      </c>
      <c r="H171">
        <v>60.2</v>
      </c>
      <c r="I171">
        <v>58.8</v>
      </c>
      <c r="J171">
        <v>56.6</v>
      </c>
      <c r="K171">
        <v>50.6</v>
      </c>
      <c r="L171">
        <f t="shared" si="9"/>
        <v>-98.15</v>
      </c>
      <c r="M171">
        <v>-97.5</v>
      </c>
      <c r="N171">
        <v>-98.8</v>
      </c>
      <c r="O171">
        <f t="shared" si="11"/>
        <v>-0.576158940397351</v>
      </c>
    </row>
    <row r="172" spans="1:15">
      <c r="A172" s="119" t="s">
        <v>3125</v>
      </c>
      <c r="B172" s="118"/>
      <c r="C172" s="114"/>
      <c r="D172" s="115"/>
      <c r="G172">
        <f t="shared" si="10"/>
        <v>37.6</v>
      </c>
      <c r="H172">
        <v>38</v>
      </c>
      <c r="I172">
        <v>41</v>
      </c>
      <c r="J172">
        <v>41.8</v>
      </c>
      <c r="K172">
        <v>29.6</v>
      </c>
      <c r="L172">
        <f t="shared" si="9"/>
        <v>-103.5</v>
      </c>
      <c r="M172">
        <v>-102</v>
      </c>
      <c r="N172">
        <v>-105</v>
      </c>
      <c r="O172">
        <f t="shared" si="11"/>
        <v>-0.363285024154589</v>
      </c>
    </row>
    <row r="173" spans="1:15">
      <c r="A173" s="119" t="s">
        <v>1276</v>
      </c>
      <c r="B173" s="118"/>
      <c r="C173" s="114"/>
      <c r="D173" s="115"/>
      <c r="G173">
        <f t="shared" si="10"/>
        <v>57.85</v>
      </c>
      <c r="H173">
        <v>56.8</v>
      </c>
      <c r="I173">
        <v>57.9</v>
      </c>
      <c r="J173">
        <v>61.1</v>
      </c>
      <c r="K173">
        <v>55.6</v>
      </c>
      <c r="L173">
        <f t="shared" si="9"/>
        <v>-46.9</v>
      </c>
      <c r="M173">
        <v>-35.3</v>
      </c>
      <c r="N173">
        <v>-58.5</v>
      </c>
      <c r="O173">
        <f t="shared" si="11"/>
        <v>-1.23347547974414</v>
      </c>
    </row>
    <row r="174" spans="1:15">
      <c r="A174" s="110" t="s">
        <v>1273</v>
      </c>
      <c r="B174" s="118"/>
      <c r="C174" s="114"/>
      <c r="D174" s="115"/>
      <c r="G174">
        <f t="shared" si="10"/>
        <v>52.15</v>
      </c>
      <c r="H174">
        <v>45</v>
      </c>
      <c r="I174">
        <v>45.3</v>
      </c>
      <c r="J174">
        <v>55.3</v>
      </c>
      <c r="K174">
        <v>63</v>
      </c>
      <c r="L174">
        <f t="shared" si="9"/>
        <v>-85.8</v>
      </c>
      <c r="M174">
        <v>-75.5</v>
      </c>
      <c r="N174">
        <v>-96.1</v>
      </c>
      <c r="O174">
        <f t="shared" si="11"/>
        <v>-0.607808857808858</v>
      </c>
    </row>
    <row r="175" spans="1:15">
      <c r="A175" s="119" t="s">
        <v>1281</v>
      </c>
      <c r="B175" s="118"/>
      <c r="C175" s="114"/>
      <c r="D175" s="115"/>
      <c r="G175">
        <f t="shared" si="10"/>
        <v>43.1</v>
      </c>
      <c r="H175">
        <v>49.4</v>
      </c>
      <c r="I175">
        <v>53.4</v>
      </c>
      <c r="J175">
        <v>25</v>
      </c>
      <c r="K175">
        <v>44.6</v>
      </c>
      <c r="L175">
        <f t="shared" si="9"/>
        <v>-109.55</v>
      </c>
      <c r="M175">
        <v>-107</v>
      </c>
      <c r="N175">
        <v>-112.1</v>
      </c>
      <c r="O175">
        <f t="shared" si="11"/>
        <v>-0.393427658603377</v>
      </c>
    </row>
    <row r="176" spans="1:15">
      <c r="A176" s="119" t="s">
        <v>3126</v>
      </c>
      <c r="B176" s="118"/>
      <c r="C176" s="114"/>
      <c r="D176" s="115"/>
      <c r="G176">
        <f t="shared" si="10"/>
        <v>54.775</v>
      </c>
      <c r="H176">
        <v>46.1</v>
      </c>
      <c r="I176">
        <v>57.2</v>
      </c>
      <c r="J176">
        <v>61.3</v>
      </c>
      <c r="K176">
        <v>54.5</v>
      </c>
      <c r="L176">
        <f t="shared" si="9"/>
        <v>-115.85</v>
      </c>
      <c r="M176">
        <v>-120.5</v>
      </c>
      <c r="N176">
        <v>-111.2</v>
      </c>
      <c r="O176">
        <f t="shared" si="11"/>
        <v>-0.472809667673716</v>
      </c>
    </row>
    <row r="177" spans="1:15">
      <c r="A177" s="119" t="s">
        <v>610</v>
      </c>
      <c r="B177" s="118"/>
      <c r="C177" s="114"/>
      <c r="D177" s="115"/>
      <c r="G177">
        <f t="shared" si="10"/>
        <v>41.475</v>
      </c>
      <c r="H177">
        <v>44.9</v>
      </c>
      <c r="I177">
        <v>38.2</v>
      </c>
      <c r="J177">
        <v>43.9</v>
      </c>
      <c r="K177">
        <v>38.9</v>
      </c>
      <c r="L177">
        <f t="shared" si="9"/>
        <v>-97.55</v>
      </c>
      <c r="M177">
        <v>-97.9</v>
      </c>
      <c r="N177">
        <v>-97.2</v>
      </c>
      <c r="O177">
        <f t="shared" si="11"/>
        <v>-0.42516658124039</v>
      </c>
    </row>
    <row r="178" spans="1:15">
      <c r="A178" s="110" t="s">
        <v>399</v>
      </c>
      <c r="B178" s="118"/>
      <c r="C178" s="114"/>
      <c r="D178" s="115"/>
      <c r="G178">
        <f t="shared" si="10"/>
        <v>59.3</v>
      </c>
      <c r="H178">
        <v>46.3</v>
      </c>
      <c r="I178">
        <v>69.7</v>
      </c>
      <c r="J178">
        <v>66.8</v>
      </c>
      <c r="K178">
        <v>54.4</v>
      </c>
      <c r="L178">
        <f t="shared" si="9"/>
        <v>-111.95</v>
      </c>
      <c r="M178">
        <v>-109.7</v>
      </c>
      <c r="N178">
        <v>-114.2</v>
      </c>
      <c r="O178">
        <f t="shared" si="11"/>
        <v>-0.52970075926753</v>
      </c>
    </row>
    <row r="179" spans="1:15">
      <c r="A179" s="110" t="s">
        <v>848</v>
      </c>
      <c r="B179" s="118"/>
      <c r="C179" s="114"/>
      <c r="D179" s="115"/>
      <c r="G179">
        <f t="shared" si="10"/>
        <v>45.95</v>
      </c>
      <c r="H179">
        <v>35.8</v>
      </c>
      <c r="I179">
        <v>49.4</v>
      </c>
      <c r="J179">
        <v>47.2</v>
      </c>
      <c r="K179">
        <v>51.4</v>
      </c>
      <c r="L179">
        <f t="shared" si="9"/>
        <v>-91.15</v>
      </c>
      <c r="M179">
        <v>-88.5</v>
      </c>
      <c r="N179">
        <v>-93.8</v>
      </c>
      <c r="O179">
        <f t="shared" si="11"/>
        <v>-0.504114097641251</v>
      </c>
    </row>
    <row r="180" spans="1:15">
      <c r="A180" s="119" t="s">
        <v>1294</v>
      </c>
      <c r="B180" s="118"/>
      <c r="C180" s="114"/>
      <c r="D180" s="115"/>
      <c r="G180">
        <f t="shared" si="10"/>
        <v>58.125</v>
      </c>
      <c r="H180">
        <v>49.8</v>
      </c>
      <c r="I180">
        <v>56.1</v>
      </c>
      <c r="J180">
        <v>62.9</v>
      </c>
      <c r="K180">
        <v>63.7</v>
      </c>
      <c r="L180">
        <f t="shared" si="9"/>
        <v>-118.4</v>
      </c>
      <c r="M180">
        <v>-125.8</v>
      </c>
      <c r="N180">
        <v>-111</v>
      </c>
      <c r="O180">
        <f t="shared" si="11"/>
        <v>-0.490920608108108</v>
      </c>
    </row>
    <row r="181" spans="1:15">
      <c r="A181" s="119" t="s">
        <v>1297</v>
      </c>
      <c r="B181" s="118"/>
      <c r="C181" s="114"/>
      <c r="D181" s="115"/>
      <c r="G181">
        <f t="shared" si="10"/>
        <v>56.55</v>
      </c>
      <c r="H181">
        <v>55.5</v>
      </c>
      <c r="I181">
        <v>51.1</v>
      </c>
      <c r="J181">
        <v>55.9</v>
      </c>
      <c r="K181">
        <v>63.7</v>
      </c>
      <c r="L181">
        <f t="shared" si="9"/>
        <v>-106</v>
      </c>
      <c r="M181">
        <v>-109.9</v>
      </c>
      <c r="N181">
        <v>-102.1</v>
      </c>
      <c r="O181">
        <f t="shared" si="11"/>
        <v>-0.533490566037736</v>
      </c>
    </row>
    <row r="182" spans="1:15">
      <c r="A182" s="119" t="s">
        <v>1300</v>
      </c>
      <c r="B182" s="118"/>
      <c r="C182" s="114"/>
      <c r="D182" s="115"/>
      <c r="G182">
        <f t="shared" si="10"/>
        <v>56.95</v>
      </c>
      <c r="H182">
        <v>59.9</v>
      </c>
      <c r="I182">
        <v>50.7</v>
      </c>
      <c r="J182">
        <v>62.7</v>
      </c>
      <c r="K182">
        <v>54.5</v>
      </c>
      <c r="L182">
        <f t="shared" ref="L182:L201" si="12">(M182+N182)/2</f>
        <v>-82.85</v>
      </c>
      <c r="M182">
        <v>-67.5</v>
      </c>
      <c r="N182">
        <v>-98.2</v>
      </c>
      <c r="O182">
        <f t="shared" si="11"/>
        <v>-0.687386843693422</v>
      </c>
    </row>
    <row r="183" spans="1:15">
      <c r="A183" s="119" t="s">
        <v>1303</v>
      </c>
      <c r="B183" s="118"/>
      <c r="C183" s="114"/>
      <c r="D183" s="115"/>
      <c r="G183">
        <f t="shared" ref="G183:G201" si="13">(H183+I183+J183+K183)/4</f>
        <v>60.225</v>
      </c>
      <c r="H183">
        <v>57.5</v>
      </c>
      <c r="I183">
        <v>61.6</v>
      </c>
      <c r="J183">
        <v>62</v>
      </c>
      <c r="K183">
        <v>59.8</v>
      </c>
      <c r="L183">
        <f t="shared" si="12"/>
        <v>-110.6</v>
      </c>
      <c r="M183">
        <v>-123.3</v>
      </c>
      <c r="N183">
        <v>-97.9</v>
      </c>
      <c r="O183">
        <f t="shared" ref="O183:O201" si="14">G183/L183</f>
        <v>-0.544529837251356</v>
      </c>
    </row>
    <row r="184" spans="1:15">
      <c r="A184" s="119" t="s">
        <v>1306</v>
      </c>
      <c r="B184" s="118"/>
      <c r="C184" s="114"/>
      <c r="D184" s="115"/>
      <c r="G184">
        <f t="shared" si="13"/>
        <v>38.475</v>
      </c>
      <c r="H184">
        <v>45.8</v>
      </c>
      <c r="I184">
        <v>42.2</v>
      </c>
      <c r="J184">
        <v>37.1</v>
      </c>
      <c r="K184">
        <v>28.8</v>
      </c>
      <c r="L184">
        <f t="shared" si="12"/>
        <v>-92.4</v>
      </c>
      <c r="M184">
        <v>-91.9</v>
      </c>
      <c r="N184">
        <v>-92.9</v>
      </c>
      <c r="O184">
        <f t="shared" si="14"/>
        <v>-0.416396103896104</v>
      </c>
    </row>
    <row r="185" spans="1:15">
      <c r="A185" s="119" t="s">
        <v>1309</v>
      </c>
      <c r="B185" s="118"/>
      <c r="C185" s="114"/>
      <c r="D185" s="115"/>
      <c r="G185">
        <f t="shared" si="13"/>
        <v>38.8</v>
      </c>
      <c r="H185">
        <v>41.1</v>
      </c>
      <c r="I185">
        <v>28.5</v>
      </c>
      <c r="J185">
        <v>33.1</v>
      </c>
      <c r="K185">
        <v>52.5</v>
      </c>
      <c r="L185">
        <f t="shared" si="12"/>
        <v>-89.9</v>
      </c>
      <c r="M185">
        <v>-88.9</v>
      </c>
      <c r="N185">
        <v>-90.9</v>
      </c>
      <c r="O185">
        <f t="shared" si="14"/>
        <v>-0.431590656284761</v>
      </c>
    </row>
    <row r="186" spans="1:15">
      <c r="A186" s="119" t="s">
        <v>1312</v>
      </c>
      <c r="B186" s="118"/>
      <c r="C186" s="114"/>
      <c r="D186" s="115"/>
      <c r="G186">
        <f t="shared" si="13"/>
        <v>28.8</v>
      </c>
      <c r="H186">
        <v>20.1</v>
      </c>
      <c r="I186">
        <v>27.2</v>
      </c>
      <c r="J186">
        <v>42.5</v>
      </c>
      <c r="K186">
        <v>25.4</v>
      </c>
      <c r="L186">
        <f t="shared" si="12"/>
        <v>-73.2</v>
      </c>
      <c r="M186">
        <v>-73.5</v>
      </c>
      <c r="N186">
        <v>-72.9</v>
      </c>
      <c r="O186">
        <f t="shared" si="14"/>
        <v>-0.39344262295082</v>
      </c>
    </row>
    <row r="187" spans="1:15">
      <c r="A187" s="119" t="s">
        <v>1315</v>
      </c>
      <c r="B187" s="118"/>
      <c r="C187" s="114"/>
      <c r="D187" s="115"/>
      <c r="G187">
        <f t="shared" si="13"/>
        <v>41.2</v>
      </c>
      <c r="H187">
        <v>46.5</v>
      </c>
      <c r="I187">
        <v>37.8</v>
      </c>
      <c r="J187">
        <v>41.7</v>
      </c>
      <c r="K187">
        <v>38.8</v>
      </c>
      <c r="L187">
        <f t="shared" si="12"/>
        <v>-88.2</v>
      </c>
      <c r="M187">
        <v>-87.3</v>
      </c>
      <c r="N187">
        <v>-89.1</v>
      </c>
      <c r="O187">
        <f t="shared" si="14"/>
        <v>-0.467120181405896</v>
      </c>
    </row>
    <row r="188" spans="1:15">
      <c r="A188" s="119" t="s">
        <v>1318</v>
      </c>
      <c r="B188" s="118"/>
      <c r="C188" s="114"/>
      <c r="D188" s="115"/>
      <c r="G188">
        <f t="shared" si="13"/>
        <v>42.25</v>
      </c>
      <c r="H188">
        <v>32.6</v>
      </c>
      <c r="I188">
        <v>50.8</v>
      </c>
      <c r="J188">
        <v>49.5</v>
      </c>
      <c r="K188">
        <v>36.1</v>
      </c>
      <c r="L188">
        <f t="shared" si="12"/>
        <v>-120.6</v>
      </c>
      <c r="M188">
        <v>-116</v>
      </c>
      <c r="N188">
        <v>-125.2</v>
      </c>
      <c r="O188">
        <f t="shared" si="14"/>
        <v>-0.350331674958541</v>
      </c>
    </row>
    <row r="189" spans="1:15">
      <c r="A189" s="119" t="s">
        <v>3127</v>
      </c>
      <c r="B189" s="118"/>
      <c r="C189" s="114"/>
      <c r="D189" s="115"/>
      <c r="G189">
        <f t="shared" si="13"/>
        <v>56.25</v>
      </c>
      <c r="H189">
        <v>61</v>
      </c>
      <c r="I189">
        <v>58</v>
      </c>
      <c r="J189">
        <v>54.8</v>
      </c>
      <c r="K189">
        <v>51.2</v>
      </c>
      <c r="L189">
        <f t="shared" si="12"/>
        <v>-122.7</v>
      </c>
      <c r="M189">
        <v>-121</v>
      </c>
      <c r="N189">
        <v>-124.4</v>
      </c>
      <c r="O189">
        <f t="shared" si="14"/>
        <v>-0.458435207823961</v>
      </c>
    </row>
    <row r="190" spans="1:15">
      <c r="A190" s="119" t="s">
        <v>1324</v>
      </c>
      <c r="B190" s="118"/>
      <c r="C190" s="116"/>
      <c r="D190" s="115"/>
      <c r="G190">
        <f t="shared" si="13"/>
        <v>43.45</v>
      </c>
      <c r="H190">
        <v>34.3</v>
      </c>
      <c r="I190">
        <v>37.5</v>
      </c>
      <c r="J190">
        <v>56.6</v>
      </c>
      <c r="K190">
        <v>45.4</v>
      </c>
      <c r="L190">
        <f t="shared" si="12"/>
        <v>-99.25</v>
      </c>
      <c r="M190">
        <v>-101.9</v>
      </c>
      <c r="N190">
        <v>-96.6</v>
      </c>
      <c r="O190">
        <f t="shared" si="14"/>
        <v>-0.437783375314862</v>
      </c>
    </row>
    <row r="191" spans="1:15">
      <c r="A191" s="119" t="s">
        <v>1329</v>
      </c>
      <c r="B191" s="118"/>
      <c r="C191" s="114"/>
      <c r="D191" s="115"/>
      <c r="G191">
        <f t="shared" si="13"/>
        <v>59.825</v>
      </c>
      <c r="H191">
        <v>60.4</v>
      </c>
      <c r="I191">
        <v>58.8</v>
      </c>
      <c r="J191">
        <v>53.8</v>
      </c>
      <c r="K191">
        <v>66.3</v>
      </c>
      <c r="L191">
        <f t="shared" si="12"/>
        <v>-120.75</v>
      </c>
      <c r="M191">
        <v>-113</v>
      </c>
      <c r="N191">
        <v>-128.5</v>
      </c>
      <c r="O191">
        <f t="shared" si="14"/>
        <v>-0.495445134575569</v>
      </c>
    </row>
    <row r="192" spans="1:15">
      <c r="A192" s="119" t="s">
        <v>3128</v>
      </c>
      <c r="B192" s="118"/>
      <c r="C192" s="114"/>
      <c r="D192" s="115"/>
      <c r="G192">
        <f t="shared" si="13"/>
        <v>51.7</v>
      </c>
      <c r="H192">
        <v>39.6</v>
      </c>
      <c r="I192">
        <v>55</v>
      </c>
      <c r="J192">
        <v>56</v>
      </c>
      <c r="K192">
        <v>56.2</v>
      </c>
      <c r="L192">
        <f t="shared" si="12"/>
        <v>-112.3</v>
      </c>
      <c r="M192">
        <v>-118.3</v>
      </c>
      <c r="N192">
        <v>-106.3</v>
      </c>
      <c r="O192">
        <f t="shared" si="14"/>
        <v>-0.460373998219056</v>
      </c>
    </row>
    <row r="193" spans="1:15">
      <c r="A193" s="119" t="s">
        <v>1335</v>
      </c>
      <c r="B193" s="118"/>
      <c r="C193" s="114"/>
      <c r="D193" s="115"/>
      <c r="G193">
        <f t="shared" si="13"/>
        <v>58.55</v>
      </c>
      <c r="H193">
        <v>50.3</v>
      </c>
      <c r="I193">
        <v>58.4</v>
      </c>
      <c r="J193">
        <v>64.2</v>
      </c>
      <c r="K193">
        <v>61.3</v>
      </c>
      <c r="L193">
        <f t="shared" si="12"/>
        <v>-78.95</v>
      </c>
      <c r="M193">
        <v>-83</v>
      </c>
      <c r="N193">
        <v>-74.9</v>
      </c>
      <c r="O193">
        <f t="shared" si="14"/>
        <v>-0.741608613046232</v>
      </c>
    </row>
    <row r="194" spans="1:15">
      <c r="A194" s="119" t="s">
        <v>1341</v>
      </c>
      <c r="B194" s="118"/>
      <c r="C194" s="114"/>
      <c r="D194" s="115"/>
      <c r="G194">
        <f t="shared" si="13"/>
        <v>45.95</v>
      </c>
      <c r="H194">
        <v>39.8</v>
      </c>
      <c r="I194">
        <v>49.6</v>
      </c>
      <c r="J194">
        <v>50.5</v>
      </c>
      <c r="K194">
        <v>43.9</v>
      </c>
      <c r="L194">
        <f t="shared" si="12"/>
        <v>-92.75</v>
      </c>
      <c r="M194">
        <v>-97</v>
      </c>
      <c r="N194">
        <v>-88.5</v>
      </c>
      <c r="O194">
        <f t="shared" si="14"/>
        <v>-0.495417789757412</v>
      </c>
    </row>
    <row r="195" spans="1:15">
      <c r="A195" s="119" t="s">
        <v>1350</v>
      </c>
      <c r="B195" s="118"/>
      <c r="C195" s="114"/>
      <c r="D195" s="115"/>
      <c r="G195">
        <f t="shared" si="13"/>
        <v>59.725</v>
      </c>
      <c r="H195">
        <v>53.2</v>
      </c>
      <c r="I195">
        <v>63.2</v>
      </c>
      <c r="J195">
        <v>68</v>
      </c>
      <c r="K195">
        <v>54.5</v>
      </c>
      <c r="L195">
        <f t="shared" si="12"/>
        <v>-113.95</v>
      </c>
      <c r="M195">
        <v>-112.9</v>
      </c>
      <c r="N195">
        <v>-115</v>
      </c>
      <c r="O195">
        <f t="shared" si="14"/>
        <v>-0.524133391838526</v>
      </c>
    </row>
    <row r="196" spans="1:15">
      <c r="A196" s="119" t="s">
        <v>1353</v>
      </c>
      <c r="B196" s="118"/>
      <c r="C196" s="114"/>
      <c r="D196" s="115"/>
      <c r="G196">
        <f t="shared" si="13"/>
        <v>45.85</v>
      </c>
      <c r="H196">
        <v>43.1</v>
      </c>
      <c r="I196">
        <v>34</v>
      </c>
      <c r="J196">
        <v>51.1</v>
      </c>
      <c r="K196">
        <v>55.2</v>
      </c>
      <c r="L196">
        <f t="shared" si="12"/>
        <v>-109.4</v>
      </c>
      <c r="M196">
        <v>-105</v>
      </c>
      <c r="N196">
        <v>-113.8</v>
      </c>
      <c r="O196">
        <f t="shared" si="14"/>
        <v>-0.419104204753199</v>
      </c>
    </row>
    <row r="197" spans="1:15">
      <c r="A197" s="119" t="s">
        <v>3129</v>
      </c>
      <c r="B197" s="118"/>
      <c r="C197" s="114"/>
      <c r="D197" s="115"/>
      <c r="G197">
        <f t="shared" si="13"/>
        <v>60.05</v>
      </c>
      <c r="H197">
        <v>55.9</v>
      </c>
      <c r="I197">
        <v>59.6</v>
      </c>
      <c r="J197">
        <v>66.8</v>
      </c>
      <c r="K197">
        <v>57.9</v>
      </c>
      <c r="L197">
        <f t="shared" si="12"/>
        <v>-118.75</v>
      </c>
      <c r="M197">
        <v>-119.4</v>
      </c>
      <c r="N197">
        <v>-118.1</v>
      </c>
      <c r="O197">
        <f t="shared" si="14"/>
        <v>-0.505684210526316</v>
      </c>
    </row>
    <row r="198" spans="1:15">
      <c r="A198" s="119" t="s">
        <v>1360</v>
      </c>
      <c r="B198" s="118"/>
      <c r="C198" s="116"/>
      <c r="D198" s="115"/>
      <c r="G198">
        <f t="shared" si="13"/>
        <v>36</v>
      </c>
      <c r="H198">
        <v>25.5</v>
      </c>
      <c r="I198">
        <v>51.2</v>
      </c>
      <c r="J198">
        <v>48.1</v>
      </c>
      <c r="K198">
        <v>19.2</v>
      </c>
      <c r="L198">
        <f t="shared" si="12"/>
        <v>-114.8</v>
      </c>
      <c r="M198">
        <v>-109.6</v>
      </c>
      <c r="N198">
        <v>-120</v>
      </c>
      <c r="O198">
        <f t="shared" si="14"/>
        <v>-0.313588850174216</v>
      </c>
    </row>
    <row r="199" spans="1:15">
      <c r="A199" s="119" t="s">
        <v>2837</v>
      </c>
      <c r="B199" s="118"/>
      <c r="C199" s="116"/>
      <c r="D199" s="115"/>
      <c r="G199">
        <f t="shared" si="13"/>
        <v>58.2</v>
      </c>
      <c r="H199">
        <v>59.4</v>
      </c>
      <c r="I199">
        <v>55.8</v>
      </c>
      <c r="J199">
        <v>59.7</v>
      </c>
      <c r="K199">
        <v>57.9</v>
      </c>
      <c r="L199">
        <f t="shared" si="12"/>
        <v>-118.1</v>
      </c>
      <c r="M199">
        <v>-110.4</v>
      </c>
      <c r="N199">
        <v>-125.8</v>
      </c>
      <c r="O199">
        <f t="shared" si="14"/>
        <v>-0.492802709568163</v>
      </c>
    </row>
    <row r="200" spans="1:15">
      <c r="A200" s="119" t="s">
        <v>1363</v>
      </c>
      <c r="B200" s="118"/>
      <c r="C200" s="118"/>
      <c r="D200" s="115"/>
      <c r="G200">
        <f t="shared" si="13"/>
        <v>35.125</v>
      </c>
      <c r="H200">
        <v>21.4</v>
      </c>
      <c r="I200">
        <v>41.8</v>
      </c>
      <c r="J200">
        <v>41.9</v>
      </c>
      <c r="K200">
        <v>35.4</v>
      </c>
      <c r="L200">
        <f t="shared" si="12"/>
        <v>-121</v>
      </c>
      <c r="M200">
        <v>-113.6</v>
      </c>
      <c r="N200">
        <v>-128.4</v>
      </c>
      <c r="O200">
        <f t="shared" si="14"/>
        <v>-0.290289256198347</v>
      </c>
    </row>
    <row r="201" spans="1:15">
      <c r="A201" s="119" t="s">
        <v>1115</v>
      </c>
      <c r="B201" s="118"/>
      <c r="C201" s="118"/>
      <c r="D201" s="115"/>
      <c r="G201">
        <f t="shared" si="13"/>
        <v>46.425</v>
      </c>
      <c r="H201">
        <v>44.3</v>
      </c>
      <c r="I201">
        <v>26</v>
      </c>
      <c r="J201">
        <v>58.4</v>
      </c>
      <c r="K201">
        <v>57</v>
      </c>
      <c r="L201">
        <f t="shared" si="12"/>
        <v>-105.4</v>
      </c>
      <c r="M201">
        <v>-104.6</v>
      </c>
      <c r="N201">
        <v>-106.2</v>
      </c>
      <c r="O201">
        <f t="shared" si="14"/>
        <v>-0.440464895635674</v>
      </c>
    </row>
    <row r="202" spans="1:15">
      <c r="B202" s="118"/>
      <c r="C202" s="116"/>
      <c r="D202" s="115"/>
    </row>
    <row r="203" spans="1:15">
      <c r="B203" s="118"/>
      <c r="C203" s="116"/>
      <c r="D203" s="115"/>
    </row>
    <row r="204" spans="1:15">
      <c r="B204" s="118"/>
      <c r="C204" s="116"/>
      <c r="D204" s="115"/>
    </row>
    <row r="205" spans="1:15">
      <c r="B205" s="118"/>
      <c r="C205" s="116"/>
      <c r="D205" s="115"/>
    </row>
    <row r="206" spans="1:15">
      <c r="B206" s="118"/>
      <c r="C206" s="118"/>
      <c r="D206" s="115"/>
    </row>
    <row r="207" spans="1:15">
      <c r="B207" s="118"/>
      <c r="C207" s="118"/>
      <c r="D207" s="115"/>
    </row>
    <row r="208" spans="1:15">
      <c r="B208" s="118"/>
      <c r="C208" s="116"/>
      <c r="D208" s="115"/>
    </row>
    <row r="209" spans="2:4">
      <c r="B209" s="118"/>
      <c r="C209" s="116"/>
      <c r="D209" s="115"/>
    </row>
    <row r="210" spans="2:4">
      <c r="B210" s="118"/>
      <c r="C210" s="116"/>
      <c r="D210" s="115"/>
    </row>
    <row r="211" spans="2:4">
      <c r="B211" s="118"/>
      <c r="C211" s="116"/>
      <c r="D211" s="115"/>
    </row>
    <row r="212" spans="2:4">
      <c r="B212" s="118"/>
      <c r="C212" s="116"/>
      <c r="D212" s="115"/>
    </row>
    <row r="213" spans="2:4">
      <c r="B213" s="118"/>
      <c r="C213" s="118"/>
      <c r="D213" s="115"/>
    </row>
    <row r="214" spans="2:4">
      <c r="B214" s="118"/>
      <c r="C214" s="116"/>
      <c r="D214" s="115"/>
    </row>
    <row r="215" spans="2:4">
      <c r="B215" s="118"/>
      <c r="C215" s="116"/>
      <c r="D215" s="115"/>
    </row>
    <row r="216" spans="2:4">
      <c r="B216" s="118"/>
      <c r="C216" s="116"/>
      <c r="D216" s="115"/>
    </row>
    <row r="217" spans="2:4">
      <c r="B217" s="118"/>
      <c r="C217" s="116"/>
      <c r="D217" s="115"/>
    </row>
    <row r="218" spans="2:4">
      <c r="B218" s="118"/>
      <c r="C218" s="116"/>
      <c r="D218" s="115"/>
    </row>
    <row r="219" spans="2:4">
      <c r="B219" s="118"/>
      <c r="C219" s="116"/>
      <c r="D219" s="115"/>
    </row>
    <row r="220" spans="2:4">
      <c r="B220" s="118"/>
      <c r="C220" s="118"/>
      <c r="D220" s="115"/>
    </row>
    <row r="221" spans="2:4">
      <c r="B221" s="118"/>
      <c r="C221" s="118"/>
      <c r="D221" s="115"/>
    </row>
    <row r="222" spans="2:4">
      <c r="B222" s="118"/>
      <c r="C222" s="118"/>
      <c r="D222" s="115"/>
    </row>
    <row r="223" spans="2:4">
      <c r="B223" s="118"/>
      <c r="C223" s="118"/>
      <c r="D223" s="115"/>
    </row>
    <row r="224" spans="2:4">
      <c r="B224" s="118"/>
      <c r="C224" s="116"/>
      <c r="D224" s="115"/>
    </row>
    <row r="225" spans="2:4">
      <c r="B225" s="118"/>
      <c r="C225" s="116"/>
      <c r="D225" s="115"/>
    </row>
    <row r="226" spans="2:4">
      <c r="B226" s="118"/>
      <c r="C226" s="116"/>
      <c r="D226" s="115"/>
    </row>
    <row r="227" spans="2:4">
      <c r="B227" s="118"/>
      <c r="C227" s="116"/>
      <c r="D227" s="115"/>
    </row>
    <row r="228" spans="2:4">
      <c r="B228" s="118"/>
      <c r="C228" s="116"/>
      <c r="D228" s="115"/>
    </row>
    <row r="229" spans="2:4">
      <c r="B229" s="118"/>
      <c r="C229" s="116"/>
      <c r="D229" s="115"/>
    </row>
    <row r="230" spans="2:4">
      <c r="B230" s="118"/>
      <c r="C230" s="116"/>
      <c r="D230" s="115"/>
    </row>
    <row r="231" spans="2:4">
      <c r="B231" s="118"/>
      <c r="C231" s="116"/>
      <c r="D231" s="115"/>
    </row>
    <row r="232" spans="2:4">
      <c r="B232" s="118"/>
      <c r="C232" s="116"/>
      <c r="D232" s="115"/>
    </row>
    <row r="233" spans="2:4">
      <c r="B233" s="118"/>
      <c r="C233" s="116"/>
      <c r="D233" s="115"/>
    </row>
    <row r="234" spans="2:4">
      <c r="B234" s="118"/>
      <c r="C234" s="116"/>
      <c r="D234" s="115"/>
    </row>
    <row r="235" spans="2:4">
      <c r="B235" s="118"/>
      <c r="C235" s="116"/>
      <c r="D235" s="115"/>
    </row>
    <row r="236" spans="2:4">
      <c r="B236" s="118"/>
      <c r="C236" s="116"/>
      <c r="D236" s="115"/>
    </row>
    <row r="237" spans="2:4">
      <c r="B237" s="118"/>
      <c r="C237" s="116"/>
      <c r="D237" s="115"/>
    </row>
    <row r="238" spans="2:4">
      <c r="B238" s="118"/>
      <c r="C238" s="116"/>
      <c r="D238" s="115"/>
    </row>
    <row r="239" spans="2:4">
      <c r="B239" s="118"/>
      <c r="C239" s="116"/>
      <c r="D239" s="115"/>
    </row>
    <row r="240" spans="2:4">
      <c r="B240" s="118"/>
      <c r="C240" s="116"/>
      <c r="D240" s="115"/>
    </row>
    <row r="241" spans="2:4">
      <c r="B241" s="118"/>
      <c r="C241" s="116"/>
      <c r="D241" s="115"/>
    </row>
    <row r="242" spans="2:4">
      <c r="B242" s="118"/>
      <c r="C242" s="116"/>
      <c r="D242" s="115"/>
    </row>
    <row r="243" spans="2:4">
      <c r="B243" s="118"/>
      <c r="C243" s="116"/>
      <c r="D243" s="115"/>
    </row>
    <row r="244" spans="2:4">
      <c r="B244" s="118"/>
      <c r="C244" s="116"/>
      <c r="D244" s="115"/>
    </row>
    <row r="245" spans="2:4">
      <c r="B245" s="118"/>
      <c r="C245" s="116"/>
      <c r="D245" s="115"/>
    </row>
    <row r="246" spans="2:4">
      <c r="B246" s="118"/>
      <c r="C246" s="116"/>
      <c r="D246" s="115"/>
    </row>
    <row r="247" spans="2:4">
      <c r="B247" s="118"/>
      <c r="C247" s="116"/>
      <c r="D247" s="115"/>
    </row>
    <row r="248" spans="2:4">
      <c r="B248" s="118"/>
      <c r="C248" s="116"/>
      <c r="D248" s="115"/>
    </row>
    <row r="249" spans="2:4">
      <c r="B249" s="118"/>
      <c r="C249" s="116"/>
      <c r="D249" s="115"/>
    </row>
    <row r="250" spans="2:4">
      <c r="B250" s="118"/>
      <c r="C250" s="116"/>
      <c r="D250" s="115"/>
    </row>
    <row r="251" spans="2:4">
      <c r="B251" s="118"/>
      <c r="C251" s="116"/>
      <c r="D251" s="115"/>
    </row>
    <row r="252" spans="2:4">
      <c r="B252" s="118"/>
      <c r="C252" s="116"/>
      <c r="D252" s="115"/>
    </row>
    <row r="253" spans="2:4">
      <c r="B253" s="118"/>
      <c r="C253" s="116"/>
      <c r="D253" s="115"/>
    </row>
    <row r="254" spans="2:4">
      <c r="B254" s="118"/>
      <c r="C254" s="116"/>
      <c r="D254" s="115"/>
    </row>
    <row r="255" spans="2:4">
      <c r="B255" s="118"/>
      <c r="C255" s="116"/>
      <c r="D255" s="115"/>
    </row>
    <row r="256" spans="2:4">
      <c r="B256" s="118"/>
      <c r="C256" s="116"/>
      <c r="D256" s="115"/>
    </row>
    <row r="257" spans="2:4">
      <c r="B257" s="118"/>
      <c r="C257" s="116"/>
      <c r="D257" s="115"/>
    </row>
    <row r="258" spans="2:4">
      <c r="B258" s="118"/>
      <c r="C258" s="116"/>
      <c r="D258" s="115"/>
    </row>
    <row r="259" spans="2:4">
      <c r="B259" s="118"/>
      <c r="C259" s="116"/>
      <c r="D259" s="115"/>
    </row>
    <row r="260" spans="2:4">
      <c r="B260" s="118"/>
      <c r="C260" s="116"/>
      <c r="D260" s="115"/>
    </row>
    <row r="261" spans="2:4">
      <c r="B261" s="118"/>
      <c r="C261" s="94"/>
      <c r="D261" s="94"/>
    </row>
    <row r="262" spans="2:4">
      <c r="B262" s="118"/>
      <c r="C262" s="94"/>
      <c r="D262" s="94"/>
    </row>
    <row r="263" spans="2:4">
      <c r="B263" s="118"/>
      <c r="C263" s="94"/>
      <c r="D263" s="94"/>
    </row>
    <row r="264" spans="2:4">
      <c r="B264" s="118"/>
      <c r="C264" s="94"/>
      <c r="D264" s="94"/>
    </row>
    <row r="265" spans="2:4">
      <c r="B265" s="118"/>
      <c r="C265" s="94"/>
      <c r="D265" s="94"/>
    </row>
    <row r="266" spans="2:4">
      <c r="B266" s="118"/>
      <c r="C266" s="94"/>
      <c r="D266" s="94"/>
    </row>
    <row r="267" spans="2:4">
      <c r="B267" s="118"/>
      <c r="C267" s="94"/>
      <c r="D267" s="94"/>
    </row>
  </sheetData>
  <sheetProtection formatCells="0" insertHyperlinks="0" autoFilter="0"/>
  <conditionalFormatting sqref="C86:C261">
    <cfRule type="expression" dxfId="1" priority="2">
      <formula>AND(SUMPRODUCT(IFERROR(1*(($C$86:$C$261&amp;"x")=(C86&amp;"x")),0))&gt;1,NOT(ISBLANK(C86)))</formula>
    </cfRule>
  </conditionalFormatting>
  <pageMargins left="0.699305555555556" right="0.699305555555556" top="0.75" bottom="0.75" header="0.3" footer="0.3"/>
  <pageSetup paperSize="1" fitToWidth="0"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0"/>
  <sheetViews>
    <sheetView zoomScale="30" zoomScaleNormal="30" topLeftCell="M7" workbookViewId="0">
      <selection activeCell="M7" sqref="M7"/>
    </sheetView>
  </sheetViews>
  <sheetFormatPr defaultColWidth="9" defaultRowHeight="14.25"/>
  <cols>
    <col min="1" max="1" width="24.6333333333333" customWidth="1"/>
    <col min="2" max="2" width="14" customWidth="1"/>
    <col min="3" max="3" width="13.1333333333333" customWidth="1"/>
    <col min="4" max="4" width="18.5" customWidth="1"/>
    <col min="5" max="6" width="11.75" customWidth="1"/>
    <col min="7" max="7" width="9" style="85"/>
  </cols>
  <sheetData>
    <row r="1" spans="1:10">
      <c r="A1" s="95" t="s">
        <v>3130</v>
      </c>
      <c r="B1" s="44" t="s">
        <v>32</v>
      </c>
      <c r="C1" s="96" t="s">
        <v>27</v>
      </c>
      <c r="D1" s="97" t="s">
        <v>4</v>
      </c>
      <c r="E1" s="97"/>
      <c r="F1" s="97"/>
      <c r="G1" s="98" t="s">
        <v>3</v>
      </c>
      <c r="H1" s="98"/>
      <c r="I1" t="s">
        <v>3131</v>
      </c>
    </row>
    <row r="2" spans="1:10">
      <c r="A2" s="64" t="s">
        <v>3132</v>
      </c>
      <c r="B2" s="1" t="s">
        <v>3133</v>
      </c>
      <c r="C2" t="s">
        <v>3134</v>
      </c>
      <c r="D2" t="s">
        <v>3135</v>
      </c>
      <c r="E2" t="s">
        <v>42</v>
      </c>
      <c r="F2" t="s">
        <v>3136</v>
      </c>
      <c r="G2" s="85" t="s">
        <v>3137</v>
      </c>
      <c r="H2" t="s">
        <v>3138</v>
      </c>
      <c r="I2" s="99" t="s">
        <v>3139</v>
      </c>
      <c r="J2" t="s">
        <v>3140</v>
      </c>
    </row>
    <row r="3" spans="1:10">
      <c r="A3" s="65" t="s">
        <v>3141</v>
      </c>
      <c r="B3" s="1" t="s">
        <v>3142</v>
      </c>
      <c r="C3" t="s">
        <v>3143</v>
      </c>
      <c r="D3" t="s">
        <v>3144</v>
      </c>
      <c r="E3" t="s">
        <v>3145</v>
      </c>
      <c r="F3" t="s">
        <v>3146</v>
      </c>
      <c r="G3" s="85" t="s">
        <v>3147</v>
      </c>
      <c r="H3" t="s">
        <v>3148</v>
      </c>
      <c r="I3" s="100" t="s">
        <v>3149</v>
      </c>
      <c r="J3" t="s">
        <v>3150</v>
      </c>
    </row>
    <row r="4" spans="1:10">
      <c r="A4" s="59" t="s">
        <v>3151</v>
      </c>
      <c r="B4" t="s">
        <v>3152</v>
      </c>
      <c r="C4" t="s">
        <v>3153</v>
      </c>
      <c r="D4" t="s">
        <v>3154</v>
      </c>
      <c r="E4" t="s">
        <v>3155</v>
      </c>
      <c r="F4" t="s">
        <v>3156</v>
      </c>
      <c r="G4" s="101" t="s">
        <v>3157</v>
      </c>
      <c r="H4" t="s">
        <v>3158</v>
      </c>
      <c r="I4" s="92" t="s">
        <v>3159</v>
      </c>
      <c r="J4" t="s">
        <v>3160</v>
      </c>
    </row>
    <row r="5" spans="1:10">
      <c r="E5" s="71"/>
      <c r="I5" s="102" t="s">
        <v>3161</v>
      </c>
      <c r="J5" t="s">
        <v>3162</v>
      </c>
    </row>
    <row r="6" spans="1:10">
      <c r="E6" s="71" t="s">
        <v>3163</v>
      </c>
      <c r="I6" s="102"/>
    </row>
    <row r="7" spans="1:10">
      <c r="A7" s="103" t="s">
        <v>3164</v>
      </c>
      <c r="B7" s="103"/>
      <c r="C7" s="65" t="s">
        <v>3165</v>
      </c>
      <c r="D7" s="95" t="s">
        <v>3166</v>
      </c>
      <c r="E7" s="96" t="s">
        <v>3167</v>
      </c>
      <c r="F7" s="96"/>
    </row>
    <row r="8" spans="1:10">
      <c r="A8" t="s">
        <v>3168</v>
      </c>
      <c r="C8" t="s">
        <v>3169</v>
      </c>
      <c r="D8" t="s">
        <v>3170</v>
      </c>
      <c r="E8" t="s">
        <v>3171</v>
      </c>
    </row>
    <row r="9" spans="1:10">
      <c r="A9" t="s">
        <v>3172</v>
      </c>
      <c r="C9" t="s">
        <v>3173</v>
      </c>
      <c r="D9" t="s">
        <v>3174</v>
      </c>
      <c r="E9" t="s">
        <v>3175</v>
      </c>
    </row>
    <row r="10" spans="1:10">
      <c r="A10" t="s">
        <v>3176</v>
      </c>
      <c r="C10" s="104" t="s">
        <v>10</v>
      </c>
      <c r="D10" t="s">
        <v>3177</v>
      </c>
      <c r="E10" t="s">
        <v>3178</v>
      </c>
    </row>
    <row r="11" spans="1:10">
      <c r="A11" t="s">
        <v>3179</v>
      </c>
      <c r="C11" t="s">
        <v>3180</v>
      </c>
    </row>
    <row r="12" spans="1:10">
      <c r="A12" t="s">
        <v>3181</v>
      </c>
      <c r="C12" t="s">
        <v>3182</v>
      </c>
    </row>
    <row r="13" spans="1:10">
      <c r="A13" s="105" t="s">
        <v>3183</v>
      </c>
      <c r="B13" s="106" t="s">
        <v>3184</v>
      </c>
      <c r="C13" s="107" t="s">
        <v>3185</v>
      </c>
      <c r="D13" s="44" t="s">
        <v>3186</v>
      </c>
    </row>
    <row r="14" spans="1:10">
      <c r="A14" t="s">
        <v>3187</v>
      </c>
      <c r="B14" t="s">
        <v>3188</v>
      </c>
      <c r="C14" t="s">
        <v>3189</v>
      </c>
      <c r="D14" s="71" t="s">
        <v>3190</v>
      </c>
    </row>
    <row r="15" spans="1:10">
      <c r="A15" t="s">
        <v>3191</v>
      </c>
      <c r="B15" t="s">
        <v>3192</v>
      </c>
      <c r="C15" t="s">
        <v>3193</v>
      </c>
      <c r="D15" s="71" t="s">
        <v>3194</v>
      </c>
    </row>
    <row r="16" spans="1:10">
      <c r="A16" t="s">
        <v>3195</v>
      </c>
      <c r="B16" t="s">
        <v>3196</v>
      </c>
      <c r="C16" t="s">
        <v>3197</v>
      </c>
      <c r="D16" s="71" t="s">
        <v>3198</v>
      </c>
    </row>
    <row r="17" spans="1:8">
      <c r="D17" s="71" t="s">
        <v>3199</v>
      </c>
    </row>
    <row r="18" spans="1:8">
      <c r="D18" s="71" t="s">
        <v>3200</v>
      </c>
    </row>
    <row r="20" spans="1:8">
      <c r="A20" s="92" t="s">
        <v>2</v>
      </c>
    </row>
    <row r="21" spans="1:8">
      <c r="A21" t="s">
        <v>3201</v>
      </c>
    </row>
    <row r="22" spans="1:8">
      <c r="A22" t="s">
        <v>3202</v>
      </c>
    </row>
    <row r="23" s="94" customFormat="1" spans="1:8">
      <c r="A23" s="108" t="s">
        <v>3203</v>
      </c>
      <c r="G23" s="109"/>
    </row>
    <row r="24" spans="1:8">
      <c r="A24" s="71" t="s">
        <v>3204</v>
      </c>
      <c r="B24" s="71" t="s">
        <v>3205</v>
      </c>
      <c r="C24" s="71" t="s">
        <v>3206</v>
      </c>
      <c r="D24" s="71" t="s">
        <v>3207</v>
      </c>
      <c r="E24" s="71" t="s">
        <v>3208</v>
      </c>
      <c r="F24" s="71" t="s">
        <v>3209</v>
      </c>
    </row>
    <row r="25" spans="1:8">
      <c r="A25" s="71" t="s">
        <v>3210</v>
      </c>
      <c r="B25" s="71" t="s">
        <v>3211</v>
      </c>
      <c r="C25" s="71" t="s">
        <v>3212</v>
      </c>
      <c r="D25" s="71" t="s">
        <v>3213</v>
      </c>
      <c r="E25" s="71" t="s">
        <v>3214</v>
      </c>
      <c r="F25" s="71" t="s">
        <v>3215</v>
      </c>
    </row>
    <row r="26" spans="1:8">
      <c r="A26" s="71" t="s">
        <v>3216</v>
      </c>
      <c r="B26" s="71" t="s">
        <v>3217</v>
      </c>
      <c r="C26" s="71" t="s">
        <v>3218</v>
      </c>
      <c r="D26" s="71" t="s">
        <v>3219</v>
      </c>
      <c r="E26" s="71" t="s">
        <v>3220</v>
      </c>
      <c r="F26" s="71" t="s">
        <v>3221</v>
      </c>
    </row>
    <row r="27" spans="1:8">
      <c r="A27" s="71" t="s">
        <v>3222</v>
      </c>
      <c r="B27" s="71" t="s">
        <v>3223</v>
      </c>
      <c r="C27" s="71" t="s">
        <v>3224</v>
      </c>
    </row>
    <row r="28" spans="1:8">
      <c r="A28" s="71" t="s">
        <v>3225</v>
      </c>
      <c r="B28" s="71" t="s">
        <v>3226</v>
      </c>
      <c r="C28" s="71" t="s">
        <v>3227</v>
      </c>
      <c r="D28" s="71" t="s">
        <v>3228</v>
      </c>
      <c r="E28" s="71" t="s">
        <v>3229</v>
      </c>
      <c r="F28" s="71" t="s">
        <v>3230</v>
      </c>
      <c r="G28" s="85" t="s">
        <v>3231</v>
      </c>
      <c r="H28" s="71" t="s">
        <v>3232</v>
      </c>
    </row>
    <row r="29" spans="1:8">
      <c r="A29" s="71" t="s">
        <v>3233</v>
      </c>
    </row>
    <row r="30" spans="1:8">
      <c r="A30" s="71" t="s">
        <v>3234</v>
      </c>
      <c r="B30" s="71" t="s">
        <v>3223</v>
      </c>
      <c r="C30" s="71" t="s">
        <v>3224</v>
      </c>
    </row>
    <row r="31" spans="1:8">
      <c r="A31" s="71" t="s">
        <v>3235</v>
      </c>
      <c r="B31" s="71" t="s">
        <v>3223</v>
      </c>
      <c r="C31" s="71" t="s">
        <v>3224</v>
      </c>
    </row>
    <row r="100" spans="46:46">
      <c r="AT100">
        <v>1</v>
      </c>
    </row>
  </sheetData>
  <sheetProtection formatCells="0" insertHyperlinks="0" autoFilter="0"/>
  <mergeCells count="3">
    <mergeCell ref="D1:F1"/>
    <mergeCell ref="G1:H1"/>
    <mergeCell ref="A7:B7"/>
  </mergeCells>
  <pageMargins left="0.699305555555556" right="0.699305555555556" top="0.75" bottom="0.75" header="0.3" footer="0.3"/>
  <pageSetup paperSize="1" fitToWidth="0"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46"/>
  <sheetViews>
    <sheetView topLeftCell="A4" workbookViewId="0">
      <selection activeCell="V2" sqref="V2"/>
    </sheetView>
  </sheetViews>
  <sheetFormatPr defaultColWidth="10" defaultRowHeight="14.25"/>
  <cols>
    <col min="2" max="2" width="8.63333333333333" style="82"/>
    <col min="3" max="3" width="9.5" customWidth="1"/>
    <col min="4" max="4" width="12.5" customWidth="1"/>
    <col min="17" max="17" width="15.75" customWidth="1"/>
    <col min="22" max="22" width="21.5" customWidth="1"/>
    <col min="24" max="24" width="8.63333333333333" style="60"/>
  </cols>
  <sheetData>
    <row r="1" spans="1:51">
      <c r="M1" t="s">
        <v>3236</v>
      </c>
      <c r="Q1" t="s">
        <v>3237</v>
      </c>
      <c r="AA1" t="s">
        <v>0</v>
      </c>
      <c r="AC1" t="s">
        <v>3238</v>
      </c>
      <c r="AD1" t="s">
        <v>3239</v>
      </c>
      <c r="AE1" t="s">
        <v>3240</v>
      </c>
      <c r="AF1" t="s">
        <v>3241</v>
      </c>
      <c r="AG1" t="s">
        <v>3242</v>
      </c>
      <c r="AH1" t="s">
        <v>3243</v>
      </c>
      <c r="AI1" t="s">
        <v>3244</v>
      </c>
      <c r="AJ1" t="s">
        <v>3245</v>
      </c>
      <c r="AK1" t="s">
        <v>3246</v>
      </c>
      <c r="AL1" t="s">
        <v>3247</v>
      </c>
      <c r="AM1" t="s">
        <v>3248</v>
      </c>
      <c r="AN1" t="s">
        <v>3249</v>
      </c>
      <c r="AO1" t="s">
        <v>3250</v>
      </c>
      <c r="AP1" t="s">
        <v>3251</v>
      </c>
      <c r="AQ1" s="64" t="s">
        <v>3252</v>
      </c>
      <c r="AR1" t="s">
        <v>3253</v>
      </c>
      <c r="AS1" t="s">
        <v>3254</v>
      </c>
      <c r="AT1" t="s">
        <v>3255</v>
      </c>
      <c r="AU1" t="s">
        <v>3256</v>
      </c>
      <c r="AV1" t="s">
        <v>3257</v>
      </c>
      <c r="AW1" t="s">
        <v>3258</v>
      </c>
      <c r="AX1" t="s">
        <v>3259</v>
      </c>
      <c r="AY1" t="s">
        <v>3260</v>
      </c>
    </row>
    <row r="2" spans="1:51">
      <c r="A2" t="s">
        <v>9</v>
      </c>
      <c r="B2" s="82" t="s">
        <v>1</v>
      </c>
      <c r="C2" s="44" t="s">
        <v>21</v>
      </c>
      <c r="D2" s="44" t="s">
        <v>42</v>
      </c>
      <c r="E2" s="71" t="s">
        <v>3261</v>
      </c>
      <c r="F2" t="s">
        <v>10</v>
      </c>
      <c r="G2" t="s">
        <v>11</v>
      </c>
      <c r="H2" t="s">
        <v>3262</v>
      </c>
      <c r="I2" t="s">
        <v>13</v>
      </c>
      <c r="J2" s="71" t="s">
        <v>3263</v>
      </c>
      <c r="K2" t="s">
        <v>14</v>
      </c>
      <c r="L2" t="s">
        <v>3264</v>
      </c>
      <c r="M2" t="s">
        <v>3265</v>
      </c>
      <c r="N2" t="s">
        <v>3266</v>
      </c>
      <c r="O2" t="s">
        <v>3053</v>
      </c>
      <c r="P2" t="s">
        <v>3267</v>
      </c>
      <c r="Q2" t="s">
        <v>3268</v>
      </c>
      <c r="R2" t="s">
        <v>3269</v>
      </c>
      <c r="S2" t="s">
        <v>3270</v>
      </c>
      <c r="T2" t="s">
        <v>3271</v>
      </c>
      <c r="U2" t="s">
        <v>3272</v>
      </c>
      <c r="V2" t="s">
        <v>3058</v>
      </c>
      <c r="W2" t="s">
        <v>3273</v>
      </c>
      <c r="X2" s="60" t="s">
        <v>3274</v>
      </c>
      <c r="Y2" t="s">
        <v>3275</v>
      </c>
      <c r="Z2" t="s">
        <v>3276</v>
      </c>
      <c r="AA2" t="s">
        <v>0</v>
      </c>
      <c r="AB2" t="s">
        <v>36</v>
      </c>
      <c r="AC2" s="88"/>
      <c r="AD2" s="88"/>
      <c r="AE2" s="88" t="s">
        <v>3277</v>
      </c>
      <c r="AF2" s="88"/>
      <c r="AG2" s="88"/>
      <c r="AH2" s="88"/>
      <c r="AI2" s="88"/>
      <c r="AJ2" s="89"/>
      <c r="AK2" s="89"/>
      <c r="AL2" s="89"/>
      <c r="AM2" s="89"/>
      <c r="AN2" s="89"/>
    </row>
    <row r="3" spans="1:51">
      <c r="A3" t="s">
        <v>47</v>
      </c>
      <c r="B3" s="82">
        <v>1</v>
      </c>
      <c r="C3" s="71" t="s">
        <v>49</v>
      </c>
      <c r="D3">
        <v>1</v>
      </c>
      <c r="E3">
        <v>1058452</v>
      </c>
      <c r="F3">
        <v>1</v>
      </c>
      <c r="G3">
        <v>60</v>
      </c>
      <c r="H3">
        <v>1.77</v>
      </c>
      <c r="I3">
        <v>70</v>
      </c>
      <c r="K3">
        <v>22.343515592582</v>
      </c>
      <c r="L3">
        <v>86</v>
      </c>
      <c r="M3">
        <v>96.542</v>
      </c>
      <c r="N3">
        <v>129.2422</v>
      </c>
      <c r="O3">
        <v>130.5495</v>
      </c>
      <c r="P3">
        <v>135.4419</v>
      </c>
      <c r="Q3">
        <v>1.03747544035021</v>
      </c>
      <c r="R3">
        <v>41.2532158702799</v>
      </c>
      <c r="S3">
        <v>41.6704969836254</v>
      </c>
      <c r="T3">
        <v>43.2321172076989</v>
      </c>
      <c r="U3">
        <v>84.9026141913243</v>
      </c>
      <c r="V3">
        <v>-0.612875288683603</v>
      </c>
      <c r="X3" s="60">
        <v>0.0555555555555556</v>
      </c>
      <c r="Y3">
        <v>2</v>
      </c>
      <c r="Z3">
        <v>10.5</v>
      </c>
      <c r="AA3">
        <v>4</v>
      </c>
      <c r="AB3">
        <v>3</v>
      </c>
      <c r="AC3">
        <v>0</v>
      </c>
      <c r="AD3">
        <v>0</v>
      </c>
      <c r="AE3">
        <v>0</v>
      </c>
      <c r="AF3">
        <v>0</v>
      </c>
      <c r="AG3">
        <v>0</v>
      </c>
      <c r="AH3">
        <v>0</v>
      </c>
      <c r="AI3">
        <v>0</v>
      </c>
      <c r="AJ3">
        <v>0</v>
      </c>
      <c r="AK3">
        <v>0</v>
      </c>
      <c r="AL3">
        <v>0</v>
      </c>
      <c r="AM3">
        <v>0</v>
      </c>
      <c r="AN3">
        <v>1</v>
      </c>
      <c r="AO3">
        <v>0</v>
      </c>
      <c r="AP3">
        <v>0</v>
      </c>
      <c r="AQ3">
        <v>0</v>
      </c>
      <c r="AR3">
        <v>0</v>
      </c>
      <c r="AS3">
        <v>0</v>
      </c>
      <c r="AT3">
        <v>0</v>
      </c>
      <c r="AU3">
        <v>0</v>
      </c>
      <c r="AV3">
        <v>1</v>
      </c>
      <c r="AW3">
        <v>0</v>
      </c>
      <c r="AX3">
        <v>0</v>
      </c>
      <c r="AY3">
        <v>0</v>
      </c>
    </row>
    <row r="4" spans="1:51">
      <c r="A4" t="s">
        <v>52</v>
      </c>
      <c r="B4" s="82">
        <v>3</v>
      </c>
      <c r="C4" t="s">
        <v>3278</v>
      </c>
      <c r="D4">
        <v>1</v>
      </c>
      <c r="E4">
        <v>832230</v>
      </c>
      <c r="F4">
        <v>2</v>
      </c>
      <c r="G4">
        <v>68</v>
      </c>
      <c r="H4">
        <v>1.6</v>
      </c>
      <c r="I4">
        <v>75</v>
      </c>
      <c r="K4">
        <v>29.296875</v>
      </c>
      <c r="L4">
        <v>118</v>
      </c>
      <c r="M4">
        <v>112.81</v>
      </c>
      <c r="N4">
        <v>128.7106</v>
      </c>
      <c r="O4">
        <v>219.8496</v>
      </c>
      <c r="P4">
        <v>190.0883</v>
      </c>
      <c r="Q4">
        <v>0.864628818974426</v>
      </c>
      <c r="R4">
        <v>50.277578125</v>
      </c>
      <c r="S4">
        <v>85.87875</v>
      </c>
      <c r="T4">
        <v>74.2532421875</v>
      </c>
      <c r="U4">
        <v>160.1319921875</v>
      </c>
      <c r="V4">
        <v>-0.261221294363257</v>
      </c>
      <c r="X4" s="60">
        <v>0.111111111111111</v>
      </c>
      <c r="Y4">
        <v>4</v>
      </c>
      <c r="Z4">
        <v>9.95</v>
      </c>
      <c r="AA4">
        <v>4</v>
      </c>
      <c r="AB4">
        <v>3</v>
      </c>
      <c r="AC4">
        <v>0</v>
      </c>
      <c r="AD4">
        <v>0</v>
      </c>
      <c r="AE4">
        <v>0</v>
      </c>
      <c r="AF4">
        <v>0</v>
      </c>
      <c r="AG4">
        <v>0</v>
      </c>
      <c r="AH4">
        <v>0</v>
      </c>
      <c r="AI4">
        <v>0</v>
      </c>
      <c r="AJ4">
        <v>0</v>
      </c>
      <c r="AK4">
        <v>0</v>
      </c>
      <c r="AL4">
        <v>0</v>
      </c>
      <c r="AM4">
        <v>0</v>
      </c>
      <c r="AN4">
        <v>1</v>
      </c>
      <c r="AO4">
        <v>0</v>
      </c>
      <c r="AP4">
        <v>0</v>
      </c>
      <c r="AQ4">
        <v>1</v>
      </c>
      <c r="AR4">
        <v>0</v>
      </c>
      <c r="AS4">
        <v>2</v>
      </c>
      <c r="AT4">
        <v>0</v>
      </c>
      <c r="AU4">
        <v>0</v>
      </c>
      <c r="AV4">
        <v>0</v>
      </c>
      <c r="AW4">
        <v>0</v>
      </c>
      <c r="AX4">
        <v>0</v>
      </c>
      <c r="AY4">
        <v>0</v>
      </c>
    </row>
    <row r="5" spans="1:51">
      <c r="A5" t="s">
        <v>56</v>
      </c>
      <c r="B5" s="82">
        <v>3</v>
      </c>
      <c r="C5" t="s">
        <v>57</v>
      </c>
      <c r="D5">
        <v>0</v>
      </c>
      <c r="E5">
        <v>914864</v>
      </c>
      <c r="F5">
        <v>2</v>
      </c>
      <c r="G5">
        <v>70</v>
      </c>
      <c r="H5">
        <v>1.65</v>
      </c>
      <c r="I5">
        <v>70</v>
      </c>
      <c r="K5">
        <v>25.7116620752984</v>
      </c>
      <c r="L5">
        <v>88</v>
      </c>
      <c r="M5">
        <v>99.951</v>
      </c>
      <c r="N5">
        <v>122.2786</v>
      </c>
      <c r="O5">
        <v>196.4826</v>
      </c>
      <c r="P5">
        <v>197.7437</v>
      </c>
      <c r="Q5">
        <v>1.00641838004994</v>
      </c>
      <c r="R5">
        <v>44.9140863177227</v>
      </c>
      <c r="S5">
        <v>72.1699173553719</v>
      </c>
      <c r="T5">
        <v>72.6331313131313</v>
      </c>
      <c r="U5">
        <v>144.803048668503</v>
      </c>
      <c r="V5">
        <v>-0.259150474469047</v>
      </c>
      <c r="X5" s="60">
        <v>0.125</v>
      </c>
      <c r="Y5">
        <v>4.5</v>
      </c>
      <c r="Z5">
        <v>6.91</v>
      </c>
      <c r="AA5">
        <v>0</v>
      </c>
      <c r="AB5">
        <v>1</v>
      </c>
      <c r="AC5">
        <v>0</v>
      </c>
      <c r="AD5">
        <v>0</v>
      </c>
      <c r="AE5">
        <v>0</v>
      </c>
      <c r="AF5">
        <v>1</v>
      </c>
      <c r="AG5">
        <v>0</v>
      </c>
      <c r="AH5">
        <v>0</v>
      </c>
      <c r="AI5">
        <v>0</v>
      </c>
      <c r="AJ5">
        <v>0</v>
      </c>
      <c r="AK5">
        <v>0</v>
      </c>
      <c r="AL5">
        <v>0</v>
      </c>
      <c r="AM5">
        <v>0</v>
      </c>
      <c r="AN5">
        <v>0</v>
      </c>
      <c r="AO5">
        <v>0</v>
      </c>
      <c r="AP5">
        <v>0.5</v>
      </c>
      <c r="AQ5">
        <v>0</v>
      </c>
      <c r="AR5">
        <v>0</v>
      </c>
      <c r="AS5">
        <v>1</v>
      </c>
      <c r="AT5">
        <v>0</v>
      </c>
      <c r="AU5">
        <v>0</v>
      </c>
      <c r="AV5">
        <v>1</v>
      </c>
      <c r="AW5">
        <v>1</v>
      </c>
      <c r="AX5">
        <v>0</v>
      </c>
      <c r="AY5">
        <v>0</v>
      </c>
    </row>
    <row r="6" spans="1:51">
      <c r="A6" t="s">
        <v>61</v>
      </c>
      <c r="B6" s="82">
        <v>3</v>
      </c>
      <c r="C6" t="s">
        <v>62</v>
      </c>
      <c r="D6">
        <v>1</v>
      </c>
      <c r="E6">
        <v>1059177</v>
      </c>
      <c r="F6">
        <v>2</v>
      </c>
      <c r="G6">
        <v>67</v>
      </c>
      <c r="H6">
        <v>1.65</v>
      </c>
      <c r="I6">
        <v>93</v>
      </c>
      <c r="K6">
        <v>34.1597796143251</v>
      </c>
      <c r="L6">
        <v>128</v>
      </c>
      <c r="M6">
        <v>120.28</v>
      </c>
      <c r="N6">
        <v>157.7974</v>
      </c>
      <c r="O6">
        <v>372.4456</v>
      </c>
      <c r="P6">
        <v>315.6242</v>
      </c>
      <c r="Q6">
        <v>0.84743704852467</v>
      </c>
      <c r="R6">
        <v>57.9604775022957</v>
      </c>
      <c r="S6">
        <v>136.802791551882</v>
      </c>
      <c r="T6">
        <v>115.931753902663</v>
      </c>
      <c r="U6">
        <v>252.734545454545</v>
      </c>
      <c r="V6">
        <v>-0.352068126520681</v>
      </c>
      <c r="X6" s="60">
        <v>0.180555555555556</v>
      </c>
      <c r="Y6">
        <v>6.5</v>
      </c>
      <c r="Z6">
        <v>10.65</v>
      </c>
      <c r="AA6">
        <v>5</v>
      </c>
      <c r="AB6">
        <v>3</v>
      </c>
      <c r="AC6">
        <v>0</v>
      </c>
      <c r="AD6">
        <v>0</v>
      </c>
      <c r="AE6">
        <v>0</v>
      </c>
      <c r="AF6">
        <v>0</v>
      </c>
      <c r="AG6">
        <v>0</v>
      </c>
      <c r="AH6">
        <v>0</v>
      </c>
      <c r="AI6">
        <v>0</v>
      </c>
      <c r="AJ6">
        <v>0</v>
      </c>
      <c r="AK6">
        <v>0</v>
      </c>
      <c r="AL6">
        <v>0</v>
      </c>
      <c r="AM6">
        <v>0</v>
      </c>
      <c r="AN6">
        <v>1</v>
      </c>
      <c r="AO6">
        <v>0</v>
      </c>
      <c r="AP6">
        <v>0.5</v>
      </c>
      <c r="AQ6">
        <v>1</v>
      </c>
      <c r="AR6">
        <v>0</v>
      </c>
      <c r="AS6">
        <v>2</v>
      </c>
      <c r="AT6">
        <v>0</v>
      </c>
      <c r="AU6">
        <v>0</v>
      </c>
      <c r="AV6">
        <v>1</v>
      </c>
      <c r="AW6">
        <v>1</v>
      </c>
      <c r="AX6">
        <v>0</v>
      </c>
      <c r="AY6">
        <v>0</v>
      </c>
    </row>
    <row r="7" spans="1:51">
      <c r="A7" t="s">
        <v>65</v>
      </c>
      <c r="B7" s="82">
        <v>2</v>
      </c>
      <c r="C7" t="s">
        <v>66</v>
      </c>
      <c r="D7">
        <v>0</v>
      </c>
      <c r="E7">
        <v>809933</v>
      </c>
      <c r="F7">
        <v>1</v>
      </c>
      <c r="G7">
        <v>55</v>
      </c>
      <c r="H7">
        <v>1.75</v>
      </c>
      <c r="I7">
        <v>93</v>
      </c>
      <c r="K7">
        <v>30.3673469387755</v>
      </c>
      <c r="L7">
        <v>107</v>
      </c>
      <c r="M7">
        <v>143.9</v>
      </c>
      <c r="N7">
        <v>200.6079</v>
      </c>
      <c r="O7">
        <v>200.3445</v>
      </c>
      <c r="P7">
        <v>338.6666</v>
      </c>
      <c r="Q7">
        <v>1.69042124939791</v>
      </c>
      <c r="R7">
        <v>65.5046204081633</v>
      </c>
      <c r="S7">
        <v>65.418612244898</v>
      </c>
      <c r="T7">
        <v>110.585012244898</v>
      </c>
      <c r="U7">
        <v>176.003624489796</v>
      </c>
      <c r="V7">
        <v>-0.503660322108345</v>
      </c>
      <c r="X7" s="60">
        <v>0.0416666666666667</v>
      </c>
      <c r="Y7">
        <v>1.5</v>
      </c>
      <c r="Z7">
        <v>5.705</v>
      </c>
      <c r="AA7">
        <v>6</v>
      </c>
      <c r="AB7">
        <v>3</v>
      </c>
      <c r="AC7">
        <v>0</v>
      </c>
      <c r="AD7">
        <v>0</v>
      </c>
      <c r="AE7">
        <v>0</v>
      </c>
      <c r="AF7">
        <v>0</v>
      </c>
      <c r="AG7">
        <v>0</v>
      </c>
      <c r="AH7">
        <v>0</v>
      </c>
      <c r="AI7">
        <v>0</v>
      </c>
      <c r="AJ7">
        <v>0</v>
      </c>
      <c r="AK7">
        <v>0</v>
      </c>
      <c r="AL7">
        <v>0</v>
      </c>
      <c r="AM7">
        <v>0</v>
      </c>
      <c r="AN7">
        <v>0</v>
      </c>
      <c r="AO7">
        <v>0</v>
      </c>
      <c r="AP7">
        <v>0</v>
      </c>
      <c r="AQ7">
        <v>0</v>
      </c>
      <c r="AR7">
        <v>0</v>
      </c>
      <c r="AS7">
        <v>1</v>
      </c>
      <c r="AT7">
        <v>0</v>
      </c>
      <c r="AU7">
        <v>0.5</v>
      </c>
      <c r="AV7">
        <v>0</v>
      </c>
      <c r="AW7">
        <v>0</v>
      </c>
      <c r="AX7">
        <v>0</v>
      </c>
      <c r="AY7">
        <v>0</v>
      </c>
    </row>
    <row r="8" spans="1:51">
      <c r="A8" t="s">
        <v>67</v>
      </c>
      <c r="B8" s="82">
        <v>5</v>
      </c>
      <c r="C8" t="s">
        <v>68</v>
      </c>
      <c r="D8">
        <v>1</v>
      </c>
      <c r="E8">
        <v>988973</v>
      </c>
      <c r="F8">
        <v>2</v>
      </c>
      <c r="G8">
        <v>66</v>
      </c>
      <c r="H8">
        <v>1.57</v>
      </c>
      <c r="I8">
        <v>84.5</v>
      </c>
      <c r="K8">
        <v>34.2813095865958</v>
      </c>
      <c r="L8">
        <v>121</v>
      </c>
      <c r="M8">
        <v>118.09</v>
      </c>
      <c r="N8">
        <v>127.8687</v>
      </c>
      <c r="O8">
        <v>427.1603</v>
      </c>
      <c r="P8">
        <v>203.7525</v>
      </c>
      <c r="Q8">
        <v>0.476993063259858</v>
      </c>
      <c r="R8">
        <v>51.8758164631425</v>
      </c>
      <c r="S8">
        <v>173.297212868676</v>
      </c>
      <c r="T8">
        <v>82.6615684206256</v>
      </c>
      <c r="U8">
        <v>255.958781289302</v>
      </c>
      <c r="V8">
        <v>-0.107125545322346</v>
      </c>
      <c r="X8" s="60">
        <v>0.0555555555555556</v>
      </c>
      <c r="Y8">
        <v>2</v>
      </c>
      <c r="Z8">
        <v>7.08</v>
      </c>
      <c r="AA8">
        <v>1</v>
      </c>
      <c r="AB8">
        <v>2</v>
      </c>
      <c r="AC8">
        <v>0</v>
      </c>
      <c r="AD8">
        <v>0</v>
      </c>
      <c r="AE8">
        <v>0</v>
      </c>
      <c r="AF8">
        <v>0</v>
      </c>
      <c r="AG8">
        <v>0</v>
      </c>
      <c r="AH8">
        <v>0</v>
      </c>
      <c r="AI8">
        <v>0</v>
      </c>
      <c r="AJ8">
        <v>0</v>
      </c>
      <c r="AK8">
        <v>1</v>
      </c>
      <c r="AL8">
        <v>0</v>
      </c>
      <c r="AM8">
        <v>0</v>
      </c>
      <c r="AN8">
        <v>1</v>
      </c>
      <c r="AO8">
        <v>0</v>
      </c>
      <c r="AP8">
        <v>0</v>
      </c>
      <c r="AQ8">
        <v>0</v>
      </c>
      <c r="AR8">
        <v>0</v>
      </c>
      <c r="AS8">
        <v>0</v>
      </c>
      <c r="AT8">
        <v>0</v>
      </c>
      <c r="AU8">
        <v>0</v>
      </c>
      <c r="AV8">
        <v>0</v>
      </c>
      <c r="AW8">
        <v>0</v>
      </c>
      <c r="AX8">
        <v>0</v>
      </c>
      <c r="AY8">
        <v>0</v>
      </c>
    </row>
    <row r="9" spans="1:51">
      <c r="A9" t="s">
        <v>70</v>
      </c>
      <c r="B9" s="82">
        <v>5</v>
      </c>
      <c r="C9" t="s">
        <v>71</v>
      </c>
      <c r="D9">
        <v>1</v>
      </c>
      <c r="E9">
        <v>1060123</v>
      </c>
      <c r="F9">
        <v>2</v>
      </c>
      <c r="G9">
        <v>75</v>
      </c>
      <c r="H9">
        <v>1.6</v>
      </c>
      <c r="L9">
        <v>108</v>
      </c>
      <c r="M9">
        <v>91.768</v>
      </c>
      <c r="N9">
        <v>95.5307</v>
      </c>
      <c r="O9">
        <v>72.5567</v>
      </c>
      <c r="P9">
        <v>119.5265</v>
      </c>
      <c r="Q9">
        <v>1.64735303562593</v>
      </c>
      <c r="R9">
        <v>37.3166796875</v>
      </c>
      <c r="S9">
        <v>28.3424609375</v>
      </c>
      <c r="T9">
        <v>46.6900390625</v>
      </c>
      <c r="U9">
        <v>75.0325</v>
      </c>
      <c r="V9">
        <v>-0.350923482849604</v>
      </c>
      <c r="X9" s="60">
        <v>0.138888888888889</v>
      </c>
      <c r="Y9">
        <v>5</v>
      </c>
      <c r="Z9">
        <v>10.8</v>
      </c>
      <c r="AA9">
        <v>2</v>
      </c>
      <c r="AB9">
        <v>3</v>
      </c>
      <c r="AC9">
        <v>0</v>
      </c>
      <c r="AD9">
        <v>0</v>
      </c>
      <c r="AE9">
        <v>0</v>
      </c>
      <c r="AF9">
        <v>0</v>
      </c>
      <c r="AG9">
        <v>0</v>
      </c>
      <c r="AH9">
        <v>0</v>
      </c>
      <c r="AI9">
        <v>0</v>
      </c>
      <c r="AJ9">
        <v>0</v>
      </c>
      <c r="AK9">
        <v>1</v>
      </c>
      <c r="AL9">
        <v>0</v>
      </c>
      <c r="AM9">
        <v>0</v>
      </c>
      <c r="AN9">
        <v>0</v>
      </c>
      <c r="AO9">
        <v>1</v>
      </c>
      <c r="AP9">
        <v>0</v>
      </c>
      <c r="AQ9">
        <v>0</v>
      </c>
      <c r="AR9">
        <v>0</v>
      </c>
      <c r="AS9">
        <v>1</v>
      </c>
      <c r="AT9">
        <v>0</v>
      </c>
      <c r="AU9">
        <v>0</v>
      </c>
      <c r="AV9">
        <v>1</v>
      </c>
      <c r="AW9">
        <v>1</v>
      </c>
      <c r="AX9">
        <v>0</v>
      </c>
      <c r="AY9">
        <v>0</v>
      </c>
    </row>
    <row r="10" spans="1:51">
      <c r="A10" t="s">
        <v>3080</v>
      </c>
      <c r="B10" s="82">
        <v>5</v>
      </c>
      <c r="C10" t="s">
        <v>3279</v>
      </c>
      <c r="D10">
        <v>1</v>
      </c>
      <c r="E10">
        <v>1060335</v>
      </c>
      <c r="F10">
        <v>2</v>
      </c>
      <c r="G10">
        <v>63</v>
      </c>
      <c r="H10">
        <v>1.63</v>
      </c>
      <c r="I10">
        <v>66</v>
      </c>
      <c r="K10">
        <v>24.8409800895781</v>
      </c>
      <c r="L10">
        <v>97</v>
      </c>
      <c r="M10">
        <v>99.512</v>
      </c>
      <c r="N10">
        <v>110.8985</v>
      </c>
      <c r="O10">
        <v>154.5893</v>
      </c>
      <c r="P10">
        <v>198.0336</v>
      </c>
      <c r="Q10">
        <v>1.2810304464798</v>
      </c>
      <c r="R10">
        <v>41.739809552486</v>
      </c>
      <c r="S10">
        <v>58.1840867176032</v>
      </c>
      <c r="T10">
        <v>74.5355865858708</v>
      </c>
      <c r="U10">
        <v>132.719673303474</v>
      </c>
      <c r="V10">
        <v>-0.485272091862207</v>
      </c>
      <c r="X10" s="60">
        <v>0.0833333333333333</v>
      </c>
      <c r="Y10">
        <v>3</v>
      </c>
      <c r="Z10">
        <v>6.61</v>
      </c>
      <c r="AA10">
        <v>0</v>
      </c>
      <c r="AB10">
        <v>1</v>
      </c>
      <c r="AC10">
        <v>0</v>
      </c>
      <c r="AD10">
        <v>0</v>
      </c>
      <c r="AE10">
        <v>0</v>
      </c>
      <c r="AF10">
        <v>0</v>
      </c>
      <c r="AG10">
        <v>0</v>
      </c>
      <c r="AH10">
        <v>0</v>
      </c>
      <c r="AI10">
        <v>0</v>
      </c>
      <c r="AJ10">
        <v>0</v>
      </c>
      <c r="AK10">
        <v>0</v>
      </c>
      <c r="AL10">
        <v>0</v>
      </c>
      <c r="AM10">
        <v>0</v>
      </c>
      <c r="AN10">
        <v>0</v>
      </c>
      <c r="AO10">
        <v>0</v>
      </c>
      <c r="AP10">
        <v>0</v>
      </c>
      <c r="AQ10">
        <v>0</v>
      </c>
      <c r="AR10">
        <v>0</v>
      </c>
      <c r="AS10">
        <v>2</v>
      </c>
      <c r="AT10">
        <v>0</v>
      </c>
      <c r="AU10">
        <v>0</v>
      </c>
      <c r="AV10">
        <v>0</v>
      </c>
      <c r="AW10">
        <v>1</v>
      </c>
      <c r="AX10">
        <v>0</v>
      </c>
      <c r="AY10">
        <v>0</v>
      </c>
    </row>
    <row r="11" s="87" customFormat="1" spans="1:51">
      <c r="A11" s="87" t="s">
        <v>3082</v>
      </c>
      <c r="B11" s="90"/>
      <c r="C11" s="87" t="s">
        <v>3280</v>
      </c>
      <c r="D11" s="87">
        <v>1</v>
      </c>
      <c r="E11" s="87">
        <v>1013429</v>
      </c>
      <c r="F11" s="87">
        <v>1</v>
      </c>
      <c r="G11" s="87">
        <v>47</v>
      </c>
      <c r="H11" s="87">
        <v>1.75</v>
      </c>
      <c r="I11" s="87">
        <v>75</v>
      </c>
      <c r="K11" s="87">
        <v>24.4897959183673</v>
      </c>
      <c r="L11" s="87">
        <v>92</v>
      </c>
      <c r="M11" s="87">
        <v>93.82</v>
      </c>
      <c r="N11" s="87">
        <v>177.4765</v>
      </c>
      <c r="O11" s="87">
        <v>123.8028</v>
      </c>
      <c r="P11" s="87">
        <v>89.441</v>
      </c>
      <c r="Q11" s="87">
        <v>0.722447311369371</v>
      </c>
      <c r="R11" s="87">
        <v>57.9515102040816</v>
      </c>
      <c r="S11" s="87">
        <v>40.4254040816327</v>
      </c>
      <c r="T11" s="87">
        <v>29.2052244897959</v>
      </c>
      <c r="U11" s="87">
        <v>69.6306285714286</v>
      </c>
      <c r="V11" s="87">
        <v>-0.522824919441461</v>
      </c>
      <c r="X11" s="91">
        <v>0</v>
      </c>
      <c r="Y11" s="87">
        <v>0</v>
      </c>
      <c r="Z11" s="87">
        <v>7.15</v>
      </c>
      <c r="AA11" s="87">
        <v>1</v>
      </c>
      <c r="AB11" s="87">
        <v>2</v>
      </c>
      <c r="AC11" s="87">
        <v>0</v>
      </c>
      <c r="AD11" s="87">
        <v>0</v>
      </c>
      <c r="AE11" s="87">
        <v>0</v>
      </c>
      <c r="AF11" s="87">
        <v>0</v>
      </c>
      <c r="AG11" s="87">
        <v>0</v>
      </c>
      <c r="AH11" s="87">
        <v>0</v>
      </c>
      <c r="AI11" s="87">
        <v>0</v>
      </c>
      <c r="AJ11" s="87">
        <v>0</v>
      </c>
      <c r="AK11" s="87">
        <v>0</v>
      </c>
      <c r="AL11" s="87">
        <v>0</v>
      </c>
      <c r="AM11" s="87">
        <v>0</v>
      </c>
      <c r="AN11" s="87">
        <v>0</v>
      </c>
      <c r="AO11" s="87">
        <v>0</v>
      </c>
      <c r="AP11" s="87">
        <v>0</v>
      </c>
      <c r="AQ11" s="87">
        <v>0</v>
      </c>
      <c r="AR11" s="87">
        <v>0</v>
      </c>
      <c r="AS11" s="87">
        <v>0</v>
      </c>
      <c r="AT11" s="87">
        <v>0</v>
      </c>
      <c r="AU11" s="87">
        <v>0</v>
      </c>
      <c r="AV11" s="87">
        <v>0</v>
      </c>
      <c r="AW11" s="87">
        <v>0</v>
      </c>
      <c r="AX11" s="87">
        <v>0</v>
      </c>
      <c r="AY11" s="87">
        <v>0</v>
      </c>
    </row>
    <row r="12" spans="1:51">
      <c r="A12" t="s">
        <v>3091</v>
      </c>
      <c r="B12" s="82">
        <v>2</v>
      </c>
      <c r="C12" t="s">
        <v>3281</v>
      </c>
      <c r="D12">
        <v>0</v>
      </c>
      <c r="E12">
        <v>1060772</v>
      </c>
      <c r="F12">
        <v>1</v>
      </c>
      <c r="G12">
        <v>63</v>
      </c>
      <c r="H12">
        <v>1.68</v>
      </c>
      <c r="L12">
        <v>168</v>
      </c>
      <c r="M12">
        <v>100.95</v>
      </c>
      <c r="N12">
        <v>109.8797</v>
      </c>
      <c r="O12">
        <v>63.1081</v>
      </c>
      <c r="P12">
        <v>166.1881</v>
      </c>
      <c r="Q12">
        <v>2.63338779015689</v>
      </c>
      <c r="R12">
        <v>38.9312996031746</v>
      </c>
      <c r="S12">
        <v>22.35972930839</v>
      </c>
      <c r="T12">
        <v>58.8818381519274</v>
      </c>
      <c r="U12">
        <v>81.2415674603175</v>
      </c>
      <c r="V12">
        <v>-0.186379928315412</v>
      </c>
      <c r="X12" s="60">
        <v>0.472222222222222</v>
      </c>
      <c r="Y12">
        <v>17</v>
      </c>
      <c r="Z12">
        <v>0.01</v>
      </c>
      <c r="AA12">
        <v>6</v>
      </c>
      <c r="AB12">
        <v>3</v>
      </c>
      <c r="AC12">
        <v>0</v>
      </c>
      <c r="AD12">
        <v>1</v>
      </c>
      <c r="AE12">
        <v>1</v>
      </c>
      <c r="AF12">
        <v>1</v>
      </c>
      <c r="AG12">
        <v>1</v>
      </c>
      <c r="AH12">
        <v>1</v>
      </c>
      <c r="AI12">
        <v>1</v>
      </c>
      <c r="AJ12">
        <v>1</v>
      </c>
      <c r="AK12">
        <v>1</v>
      </c>
      <c r="AL12">
        <v>1</v>
      </c>
      <c r="AM12">
        <v>1</v>
      </c>
      <c r="AN12">
        <v>1</v>
      </c>
      <c r="AO12">
        <v>0</v>
      </c>
      <c r="AP12">
        <v>1</v>
      </c>
      <c r="AQ12">
        <v>1</v>
      </c>
      <c r="AR12">
        <v>0</v>
      </c>
      <c r="AS12">
        <v>0</v>
      </c>
      <c r="AT12">
        <v>0.5</v>
      </c>
      <c r="AU12">
        <v>0.5</v>
      </c>
      <c r="AV12">
        <v>1</v>
      </c>
      <c r="AW12">
        <v>1</v>
      </c>
      <c r="AX12">
        <v>0</v>
      </c>
      <c r="AY12">
        <v>1</v>
      </c>
    </row>
    <row r="13" spans="1:51">
      <c r="A13" t="s">
        <v>73</v>
      </c>
      <c r="B13" s="82">
        <v>2</v>
      </c>
      <c r="C13" t="s">
        <v>74</v>
      </c>
      <c r="D13">
        <v>0</v>
      </c>
      <c r="E13">
        <v>1061816</v>
      </c>
      <c r="F13">
        <v>1</v>
      </c>
      <c r="G13">
        <v>68</v>
      </c>
      <c r="H13">
        <v>1.76</v>
      </c>
      <c r="I13">
        <v>60</v>
      </c>
      <c r="K13">
        <v>19.3698347107438</v>
      </c>
      <c r="L13">
        <v>79</v>
      </c>
      <c r="X13" s="60">
        <v>0.347222222222222</v>
      </c>
      <c r="Y13">
        <v>12.5</v>
      </c>
      <c r="Z13">
        <v>0.01</v>
      </c>
      <c r="AA13">
        <v>6</v>
      </c>
      <c r="AB13">
        <v>3</v>
      </c>
      <c r="AC13">
        <v>0</v>
      </c>
      <c r="AD13">
        <v>1</v>
      </c>
      <c r="AE13">
        <v>1</v>
      </c>
      <c r="AF13">
        <v>1</v>
      </c>
      <c r="AG13">
        <v>1</v>
      </c>
      <c r="AH13">
        <v>0</v>
      </c>
      <c r="AI13">
        <v>1</v>
      </c>
      <c r="AJ13">
        <v>0</v>
      </c>
      <c r="AK13">
        <v>1</v>
      </c>
      <c r="AL13">
        <v>1</v>
      </c>
      <c r="AM13">
        <v>0</v>
      </c>
      <c r="AN13">
        <v>1</v>
      </c>
      <c r="AO13">
        <v>0</v>
      </c>
      <c r="AP13">
        <v>0</v>
      </c>
      <c r="AQ13">
        <v>0</v>
      </c>
      <c r="AR13">
        <v>1</v>
      </c>
      <c r="AS13">
        <v>2</v>
      </c>
      <c r="AT13">
        <v>0</v>
      </c>
      <c r="AU13">
        <v>0</v>
      </c>
      <c r="AV13">
        <v>0</v>
      </c>
      <c r="AW13">
        <v>1</v>
      </c>
      <c r="AX13">
        <v>0</v>
      </c>
      <c r="AY13">
        <v>0.5</v>
      </c>
    </row>
    <row r="14" spans="1:51">
      <c r="A14" t="s">
        <v>76</v>
      </c>
      <c r="B14" s="82">
        <v>1</v>
      </c>
      <c r="C14" t="s">
        <v>77</v>
      </c>
      <c r="D14">
        <v>1</v>
      </c>
      <c r="E14">
        <v>1061391</v>
      </c>
      <c r="F14">
        <v>1</v>
      </c>
      <c r="G14">
        <v>58</v>
      </c>
      <c r="H14">
        <v>1.69</v>
      </c>
      <c r="I14">
        <v>76</v>
      </c>
      <c r="K14">
        <v>26.609712545079</v>
      </c>
      <c r="L14">
        <v>99</v>
      </c>
      <c r="M14">
        <v>97.809</v>
      </c>
      <c r="N14">
        <v>147.5899</v>
      </c>
      <c r="O14">
        <v>144.0007</v>
      </c>
      <c r="P14">
        <v>185.1693</v>
      </c>
      <c r="Q14">
        <v>1.2858916658044</v>
      </c>
      <c r="R14">
        <v>51.6753264941704</v>
      </c>
      <c r="S14">
        <v>50.4186478064494</v>
      </c>
      <c r="T14">
        <v>64.8329190154406</v>
      </c>
      <c r="U14">
        <v>115.25156682189</v>
      </c>
      <c r="V14">
        <v>-0.470467032967033</v>
      </c>
      <c r="X14" s="60">
        <v>0.0138888888888889</v>
      </c>
      <c r="Y14">
        <v>0.5</v>
      </c>
      <c r="Z14">
        <v>4.28</v>
      </c>
      <c r="AA14">
        <v>0</v>
      </c>
      <c r="AB14">
        <v>1</v>
      </c>
      <c r="AC14">
        <v>0</v>
      </c>
      <c r="AD14">
        <v>0</v>
      </c>
      <c r="AE14">
        <v>0</v>
      </c>
      <c r="AF14">
        <v>0</v>
      </c>
      <c r="AG14">
        <v>0</v>
      </c>
      <c r="AH14">
        <v>0</v>
      </c>
      <c r="AI14">
        <v>0</v>
      </c>
      <c r="AJ14">
        <v>0</v>
      </c>
      <c r="AK14">
        <v>0</v>
      </c>
      <c r="AL14">
        <v>0</v>
      </c>
      <c r="AM14">
        <v>0</v>
      </c>
      <c r="AN14">
        <v>0</v>
      </c>
      <c r="AO14">
        <v>0</v>
      </c>
      <c r="AP14">
        <v>0.5</v>
      </c>
      <c r="AQ14">
        <v>0</v>
      </c>
      <c r="AR14">
        <v>0</v>
      </c>
      <c r="AS14">
        <v>0</v>
      </c>
      <c r="AT14">
        <v>0</v>
      </c>
      <c r="AU14">
        <v>0</v>
      </c>
      <c r="AV14">
        <v>0</v>
      </c>
      <c r="AW14">
        <v>0</v>
      </c>
      <c r="AX14">
        <v>0</v>
      </c>
      <c r="AY14">
        <v>0</v>
      </c>
    </row>
    <row r="15" spans="1:51">
      <c r="A15" t="s">
        <v>79</v>
      </c>
      <c r="B15" s="82">
        <v>1</v>
      </c>
      <c r="C15" t="s">
        <v>80</v>
      </c>
      <c r="D15">
        <v>1</v>
      </c>
      <c r="E15">
        <v>1061567</v>
      </c>
      <c r="F15">
        <v>1</v>
      </c>
      <c r="G15">
        <v>45</v>
      </c>
      <c r="H15">
        <v>1.7</v>
      </c>
      <c r="I15">
        <v>65</v>
      </c>
      <c r="K15">
        <v>22.4913494809689</v>
      </c>
      <c r="L15">
        <v>91</v>
      </c>
      <c r="M15">
        <v>94.086</v>
      </c>
      <c r="N15">
        <v>161.3214</v>
      </c>
      <c r="O15">
        <v>100.1098</v>
      </c>
      <c r="P15">
        <v>177.8919</v>
      </c>
      <c r="Q15">
        <v>1.7769678892576</v>
      </c>
      <c r="R15">
        <v>55.820553633218</v>
      </c>
      <c r="S15">
        <v>34.6400692041523</v>
      </c>
      <c r="T15">
        <v>61.5542906574395</v>
      </c>
      <c r="U15">
        <v>96.1943598615917</v>
      </c>
      <c r="V15">
        <v>-0.598241985522234</v>
      </c>
      <c r="X15" s="60">
        <v>0.0833333333333333</v>
      </c>
      <c r="Y15">
        <v>3</v>
      </c>
      <c r="Z15">
        <v>7.1</v>
      </c>
      <c r="AA15">
        <v>1</v>
      </c>
      <c r="AB15">
        <v>2</v>
      </c>
      <c r="AC15">
        <v>0</v>
      </c>
      <c r="AD15">
        <v>0</v>
      </c>
      <c r="AE15">
        <v>0</v>
      </c>
      <c r="AF15">
        <v>0</v>
      </c>
      <c r="AG15">
        <v>0</v>
      </c>
      <c r="AH15">
        <v>0</v>
      </c>
      <c r="AI15">
        <v>0</v>
      </c>
      <c r="AJ15">
        <v>0</v>
      </c>
      <c r="AK15">
        <v>0</v>
      </c>
      <c r="AL15">
        <v>0</v>
      </c>
      <c r="AM15">
        <v>0</v>
      </c>
      <c r="AN15">
        <v>0</v>
      </c>
      <c r="AO15">
        <v>0</v>
      </c>
      <c r="AP15">
        <v>0.5</v>
      </c>
      <c r="AQ15">
        <v>1</v>
      </c>
      <c r="AR15">
        <v>0</v>
      </c>
      <c r="AS15">
        <v>0</v>
      </c>
      <c r="AT15">
        <v>0.5</v>
      </c>
      <c r="AU15">
        <v>0.5</v>
      </c>
      <c r="AV15">
        <v>0</v>
      </c>
      <c r="AW15">
        <v>0</v>
      </c>
      <c r="AX15">
        <v>0</v>
      </c>
      <c r="AY15">
        <v>0.5</v>
      </c>
    </row>
    <row r="16" spans="1:51">
      <c r="A16" t="s">
        <v>82</v>
      </c>
      <c r="B16" s="82">
        <v>3</v>
      </c>
      <c r="C16" t="s">
        <v>83</v>
      </c>
      <c r="D16">
        <v>0</v>
      </c>
      <c r="E16">
        <v>1061874</v>
      </c>
      <c r="F16">
        <v>2</v>
      </c>
      <c r="G16">
        <v>69</v>
      </c>
      <c r="H16">
        <v>1.6</v>
      </c>
      <c r="I16">
        <v>60</v>
      </c>
      <c r="K16">
        <v>23.4375</v>
      </c>
      <c r="L16">
        <v>94</v>
      </c>
      <c r="X16" s="60">
        <v>0.375</v>
      </c>
      <c r="Y16">
        <v>13.5</v>
      </c>
      <c r="Z16">
        <v>0.01</v>
      </c>
      <c r="AA16">
        <v>0</v>
      </c>
      <c r="AB16">
        <v>1</v>
      </c>
      <c r="AC16">
        <v>0</v>
      </c>
      <c r="AD16">
        <v>1</v>
      </c>
      <c r="AE16">
        <v>1</v>
      </c>
      <c r="AF16">
        <v>1</v>
      </c>
      <c r="AG16">
        <v>1</v>
      </c>
      <c r="AH16">
        <v>0</v>
      </c>
      <c r="AI16">
        <v>1</v>
      </c>
      <c r="AJ16">
        <v>1</v>
      </c>
      <c r="AK16">
        <v>1</v>
      </c>
      <c r="AL16">
        <v>1</v>
      </c>
      <c r="AM16">
        <v>0</v>
      </c>
      <c r="AN16">
        <v>1</v>
      </c>
      <c r="AO16">
        <v>1</v>
      </c>
      <c r="AP16">
        <v>0.5</v>
      </c>
      <c r="AQ16">
        <v>0</v>
      </c>
      <c r="AR16">
        <v>0</v>
      </c>
      <c r="AS16">
        <v>2</v>
      </c>
      <c r="AT16">
        <v>0</v>
      </c>
      <c r="AU16">
        <v>0</v>
      </c>
      <c r="AV16">
        <v>0</v>
      </c>
      <c r="AW16">
        <v>0</v>
      </c>
      <c r="AX16">
        <v>0</v>
      </c>
      <c r="AY16">
        <v>1</v>
      </c>
    </row>
    <row r="17" spans="1:51">
      <c r="A17" t="s">
        <v>85</v>
      </c>
      <c r="B17" s="82">
        <v>5</v>
      </c>
      <c r="C17" t="s">
        <v>86</v>
      </c>
      <c r="D17">
        <v>1</v>
      </c>
      <c r="E17">
        <v>1060027</v>
      </c>
      <c r="F17">
        <v>2</v>
      </c>
      <c r="G17">
        <v>38</v>
      </c>
      <c r="H17">
        <v>1.62</v>
      </c>
      <c r="I17">
        <v>55</v>
      </c>
      <c r="K17">
        <v>20.9571711629325</v>
      </c>
      <c r="L17">
        <v>80</v>
      </c>
      <c r="M17">
        <v>84.967</v>
      </c>
      <c r="N17">
        <v>124.3465</v>
      </c>
      <c r="O17">
        <v>59.8405</v>
      </c>
      <c r="P17">
        <v>11.9284</v>
      </c>
      <c r="Q17">
        <v>0.199336569714491</v>
      </c>
      <c r="R17">
        <v>47.380925163847</v>
      </c>
      <c r="S17">
        <v>22.8015927450084</v>
      </c>
      <c r="T17">
        <v>4.5451912818168</v>
      </c>
      <c r="U17">
        <v>27.3467840268252</v>
      </c>
      <c r="V17">
        <v>-1.04100652376514</v>
      </c>
      <c r="X17" s="60">
        <v>0.0138888888888889</v>
      </c>
      <c r="Y17">
        <v>0.5</v>
      </c>
      <c r="Z17">
        <v>5.19</v>
      </c>
      <c r="AA17">
        <v>0</v>
      </c>
      <c r="AB17">
        <v>1</v>
      </c>
      <c r="AC17">
        <v>0</v>
      </c>
      <c r="AD17">
        <v>0</v>
      </c>
      <c r="AE17">
        <v>0</v>
      </c>
      <c r="AF17">
        <v>0</v>
      </c>
      <c r="AG17">
        <v>0</v>
      </c>
      <c r="AH17">
        <v>0</v>
      </c>
      <c r="AI17">
        <v>0</v>
      </c>
      <c r="AJ17">
        <v>0</v>
      </c>
      <c r="AK17">
        <v>0</v>
      </c>
      <c r="AL17">
        <v>0</v>
      </c>
      <c r="AM17">
        <v>0</v>
      </c>
      <c r="AN17">
        <v>0</v>
      </c>
      <c r="AO17">
        <v>0</v>
      </c>
      <c r="AP17">
        <v>0.5</v>
      </c>
      <c r="AQ17">
        <v>0</v>
      </c>
      <c r="AR17">
        <v>0</v>
      </c>
      <c r="AS17">
        <v>0</v>
      </c>
      <c r="AT17">
        <v>0</v>
      </c>
      <c r="AU17">
        <v>0</v>
      </c>
      <c r="AV17">
        <v>0</v>
      </c>
      <c r="AW17">
        <v>0</v>
      </c>
      <c r="AX17">
        <v>0</v>
      </c>
      <c r="AY17">
        <v>0</v>
      </c>
    </row>
    <row r="18" spans="1:51">
      <c r="A18" t="s">
        <v>3073</v>
      </c>
      <c r="B18" s="82">
        <v>1</v>
      </c>
      <c r="C18" t="s">
        <v>3282</v>
      </c>
      <c r="D18">
        <v>1</v>
      </c>
      <c r="E18">
        <v>1061248</v>
      </c>
      <c r="F18">
        <v>1</v>
      </c>
      <c r="G18">
        <v>66</v>
      </c>
      <c r="H18">
        <v>1.73</v>
      </c>
      <c r="I18">
        <v>68</v>
      </c>
      <c r="K18">
        <v>22.7204383708109</v>
      </c>
      <c r="L18">
        <v>79.5</v>
      </c>
      <c r="M18">
        <v>76.454</v>
      </c>
      <c r="N18">
        <v>122.7769</v>
      </c>
      <c r="O18">
        <v>57.6731</v>
      </c>
      <c r="P18">
        <v>52.5375</v>
      </c>
      <c r="Q18">
        <v>0.910953286714257</v>
      </c>
      <c r="R18">
        <v>41.0227204383708</v>
      </c>
      <c r="S18">
        <v>19.2699722677002</v>
      </c>
      <c r="T18">
        <v>17.5540445721541</v>
      </c>
      <c r="U18">
        <v>36.8240168398543</v>
      </c>
      <c r="V18">
        <v>-0.680088776157261</v>
      </c>
      <c r="X18" s="60">
        <v>0.0416666666666667</v>
      </c>
      <c r="Y18">
        <v>1.5</v>
      </c>
      <c r="Z18">
        <v>7.63</v>
      </c>
      <c r="AA18">
        <v>1</v>
      </c>
      <c r="AB18">
        <v>2</v>
      </c>
      <c r="AC18">
        <v>0</v>
      </c>
      <c r="AD18">
        <v>0</v>
      </c>
      <c r="AE18">
        <v>0</v>
      </c>
      <c r="AF18">
        <v>0</v>
      </c>
      <c r="AG18">
        <v>0</v>
      </c>
      <c r="AH18">
        <v>0</v>
      </c>
      <c r="AI18">
        <v>0</v>
      </c>
      <c r="AJ18">
        <v>0</v>
      </c>
      <c r="AK18">
        <v>0</v>
      </c>
      <c r="AL18">
        <v>0</v>
      </c>
      <c r="AM18">
        <v>0</v>
      </c>
      <c r="AN18">
        <v>0</v>
      </c>
      <c r="AO18">
        <v>0</v>
      </c>
      <c r="AP18">
        <v>0.5</v>
      </c>
      <c r="AQ18">
        <v>0</v>
      </c>
      <c r="AR18">
        <v>0</v>
      </c>
      <c r="AS18">
        <v>1</v>
      </c>
      <c r="AT18">
        <v>0</v>
      </c>
      <c r="AU18">
        <v>0</v>
      </c>
      <c r="AV18">
        <v>0</v>
      </c>
      <c r="AW18">
        <v>0</v>
      </c>
      <c r="AX18">
        <v>0</v>
      </c>
      <c r="AY18">
        <v>0</v>
      </c>
    </row>
    <row r="19" spans="1:51">
      <c r="A19" t="s">
        <v>3283</v>
      </c>
      <c r="B19" s="82">
        <v>1</v>
      </c>
      <c r="C19" t="s">
        <v>3284</v>
      </c>
      <c r="D19">
        <v>1</v>
      </c>
      <c r="E19">
        <v>838350</v>
      </c>
      <c r="F19">
        <v>1</v>
      </c>
      <c r="G19">
        <v>57</v>
      </c>
      <c r="H19">
        <v>1.7</v>
      </c>
      <c r="I19">
        <v>75</v>
      </c>
      <c r="K19">
        <v>25.9515570934256</v>
      </c>
      <c r="L19">
        <v>105</v>
      </c>
      <c r="X19" s="60">
        <v>0.0277777777777778</v>
      </c>
      <c r="Y19">
        <v>1</v>
      </c>
      <c r="Z19">
        <v>7.57</v>
      </c>
      <c r="AA19">
        <v>0</v>
      </c>
      <c r="AB19">
        <v>1</v>
      </c>
      <c r="AC19">
        <v>0</v>
      </c>
      <c r="AD19">
        <v>0</v>
      </c>
      <c r="AE19">
        <v>0</v>
      </c>
      <c r="AF19">
        <v>0</v>
      </c>
      <c r="AG19">
        <v>0</v>
      </c>
      <c r="AH19">
        <v>0</v>
      </c>
      <c r="AI19">
        <v>0</v>
      </c>
      <c r="AJ19">
        <v>0</v>
      </c>
      <c r="AK19">
        <v>0</v>
      </c>
      <c r="AL19">
        <v>0</v>
      </c>
      <c r="AM19">
        <v>0</v>
      </c>
      <c r="AN19">
        <v>0</v>
      </c>
      <c r="AO19">
        <v>0</v>
      </c>
      <c r="AP19">
        <v>0</v>
      </c>
      <c r="AQ19">
        <v>0</v>
      </c>
      <c r="AR19">
        <v>0</v>
      </c>
      <c r="AS19">
        <v>1</v>
      </c>
      <c r="AT19">
        <v>0</v>
      </c>
      <c r="AU19">
        <v>0</v>
      </c>
      <c r="AV19">
        <v>0</v>
      </c>
      <c r="AW19">
        <v>0</v>
      </c>
      <c r="AX19">
        <v>0</v>
      </c>
      <c r="AY19">
        <v>0</v>
      </c>
    </row>
    <row r="20" spans="1:51">
      <c r="A20" t="s">
        <v>88</v>
      </c>
      <c r="B20" s="82">
        <v>5</v>
      </c>
      <c r="C20" t="s">
        <v>89</v>
      </c>
      <c r="D20">
        <v>1</v>
      </c>
      <c r="E20">
        <v>872347</v>
      </c>
      <c r="F20">
        <v>2</v>
      </c>
      <c r="G20">
        <v>74</v>
      </c>
      <c r="H20">
        <v>1.58</v>
      </c>
      <c r="I20">
        <v>75</v>
      </c>
      <c r="K20">
        <v>30.0432622977087</v>
      </c>
      <c r="L20">
        <v>101</v>
      </c>
      <c r="M20">
        <v>98.423</v>
      </c>
      <c r="N20">
        <v>124.2652</v>
      </c>
      <c r="O20">
        <v>186.6401</v>
      </c>
      <c r="P20">
        <v>209.4557</v>
      </c>
      <c r="Q20">
        <v>1.12224382648745</v>
      </c>
      <c r="R20">
        <v>49.7777599743631</v>
      </c>
      <c r="S20">
        <v>74.7636997276077</v>
      </c>
      <c r="T20">
        <v>83.9031004646691</v>
      </c>
      <c r="U20">
        <v>158.666800192277</v>
      </c>
      <c r="V20">
        <v>-0.0565664556962025</v>
      </c>
      <c r="X20" s="60">
        <v>0.277777777777778</v>
      </c>
      <c r="Y20">
        <v>10</v>
      </c>
      <c r="Z20">
        <v>7.29</v>
      </c>
      <c r="AA20">
        <v>0</v>
      </c>
      <c r="AB20">
        <v>1</v>
      </c>
      <c r="AC20">
        <v>0</v>
      </c>
      <c r="AD20">
        <v>1</v>
      </c>
      <c r="AE20">
        <v>1</v>
      </c>
      <c r="AF20">
        <v>0</v>
      </c>
      <c r="AG20">
        <v>0</v>
      </c>
      <c r="AH20">
        <v>0</v>
      </c>
      <c r="AI20">
        <v>0</v>
      </c>
      <c r="AJ20">
        <v>0</v>
      </c>
      <c r="AK20">
        <v>1</v>
      </c>
      <c r="AL20">
        <v>1</v>
      </c>
      <c r="AM20">
        <v>0</v>
      </c>
      <c r="AN20">
        <v>1</v>
      </c>
      <c r="AO20">
        <v>1</v>
      </c>
      <c r="AP20">
        <v>0.5</v>
      </c>
      <c r="AQ20">
        <v>0</v>
      </c>
      <c r="AR20">
        <v>0</v>
      </c>
      <c r="AS20">
        <v>1</v>
      </c>
      <c r="AT20">
        <v>1</v>
      </c>
      <c r="AU20">
        <v>1</v>
      </c>
      <c r="AV20">
        <v>0</v>
      </c>
      <c r="AW20">
        <v>0</v>
      </c>
      <c r="AX20">
        <v>0</v>
      </c>
      <c r="AY20">
        <v>0.5</v>
      </c>
    </row>
    <row r="21" spans="1:51">
      <c r="A21" t="s">
        <v>91</v>
      </c>
      <c r="B21" s="82">
        <v>2</v>
      </c>
      <c r="C21" t="s">
        <v>92</v>
      </c>
      <c r="D21">
        <v>0</v>
      </c>
      <c r="E21">
        <v>1011685</v>
      </c>
      <c r="F21">
        <v>1</v>
      </c>
      <c r="G21">
        <v>55</v>
      </c>
      <c r="H21">
        <v>1.65</v>
      </c>
      <c r="I21">
        <v>63</v>
      </c>
      <c r="K21">
        <v>23.1404958677686</v>
      </c>
      <c r="L21">
        <v>93</v>
      </c>
      <c r="M21">
        <v>89.539</v>
      </c>
      <c r="N21">
        <v>164.5282</v>
      </c>
      <c r="O21">
        <v>118.9677</v>
      </c>
      <c r="P21">
        <v>86.6139</v>
      </c>
      <c r="Q21">
        <v>0.728045511512789</v>
      </c>
      <c r="R21">
        <v>60.4327640036731</v>
      </c>
      <c r="S21">
        <v>43.6979614325069</v>
      </c>
      <c r="T21">
        <v>31.8141046831956</v>
      </c>
      <c r="U21">
        <v>75.5120661157025</v>
      </c>
      <c r="V21">
        <v>-0.59494725152693</v>
      </c>
      <c r="X21" s="60">
        <v>0.111111111111111</v>
      </c>
      <c r="Y21">
        <v>4</v>
      </c>
      <c r="Z21">
        <v>7.502</v>
      </c>
      <c r="AA21">
        <v>6</v>
      </c>
      <c r="AB21">
        <v>3</v>
      </c>
      <c r="AC21">
        <v>0</v>
      </c>
      <c r="AD21">
        <v>0</v>
      </c>
      <c r="AE21">
        <v>0</v>
      </c>
      <c r="AF21">
        <v>0</v>
      </c>
      <c r="AG21">
        <v>0</v>
      </c>
      <c r="AH21">
        <v>0</v>
      </c>
      <c r="AI21">
        <v>0</v>
      </c>
      <c r="AJ21">
        <v>0</v>
      </c>
      <c r="AK21">
        <v>1</v>
      </c>
      <c r="AL21">
        <v>0</v>
      </c>
      <c r="AM21">
        <v>0</v>
      </c>
      <c r="AN21">
        <v>0</v>
      </c>
      <c r="AO21">
        <v>0</v>
      </c>
      <c r="AP21">
        <v>0.5</v>
      </c>
      <c r="AQ21">
        <v>0</v>
      </c>
      <c r="AR21">
        <v>0</v>
      </c>
      <c r="AS21">
        <v>2</v>
      </c>
      <c r="AT21">
        <v>0</v>
      </c>
      <c r="AU21">
        <v>0</v>
      </c>
      <c r="AV21">
        <v>0</v>
      </c>
      <c r="AW21">
        <v>0</v>
      </c>
      <c r="AX21">
        <v>0</v>
      </c>
      <c r="AY21">
        <v>0.5</v>
      </c>
    </row>
    <row r="22" spans="1:51">
      <c r="A22" t="s">
        <v>94</v>
      </c>
      <c r="B22" s="82">
        <v>3</v>
      </c>
      <c r="C22" t="s">
        <v>95</v>
      </c>
      <c r="D22">
        <v>1</v>
      </c>
      <c r="E22">
        <v>991522</v>
      </c>
      <c r="F22">
        <v>1</v>
      </c>
      <c r="G22">
        <v>72</v>
      </c>
      <c r="H22">
        <v>1.6</v>
      </c>
      <c r="I22">
        <v>52</v>
      </c>
      <c r="K22">
        <v>20.3125</v>
      </c>
      <c r="L22">
        <v>74</v>
      </c>
      <c r="W22">
        <v>13.9</v>
      </c>
      <c r="X22" s="60">
        <v>0.305555555555556</v>
      </c>
      <c r="Y22">
        <v>11</v>
      </c>
      <c r="Z22">
        <v>15.445</v>
      </c>
      <c r="AA22">
        <v>1</v>
      </c>
      <c r="AB22">
        <v>2</v>
      </c>
      <c r="AC22">
        <v>0</v>
      </c>
      <c r="AD22">
        <v>1</v>
      </c>
      <c r="AE22">
        <v>1</v>
      </c>
      <c r="AF22">
        <v>1</v>
      </c>
      <c r="AG22">
        <v>0</v>
      </c>
      <c r="AH22">
        <v>0</v>
      </c>
      <c r="AI22">
        <v>0</v>
      </c>
      <c r="AJ22">
        <v>0</v>
      </c>
      <c r="AK22">
        <v>0</v>
      </c>
      <c r="AL22">
        <v>0</v>
      </c>
      <c r="AM22">
        <v>1</v>
      </c>
      <c r="AN22">
        <v>1</v>
      </c>
      <c r="AO22">
        <v>1</v>
      </c>
      <c r="AP22">
        <v>1</v>
      </c>
      <c r="AQ22">
        <v>1</v>
      </c>
      <c r="AR22">
        <v>0</v>
      </c>
      <c r="AS22">
        <v>1</v>
      </c>
      <c r="AT22">
        <v>0</v>
      </c>
      <c r="AU22">
        <v>0</v>
      </c>
      <c r="AV22">
        <v>1</v>
      </c>
      <c r="AW22">
        <v>0</v>
      </c>
      <c r="AX22">
        <v>0</v>
      </c>
      <c r="AY22">
        <v>1</v>
      </c>
    </row>
    <row r="23" spans="1:51">
      <c r="A23" t="s">
        <v>97</v>
      </c>
      <c r="B23" s="82">
        <v>5</v>
      </c>
      <c r="C23" t="s">
        <v>98</v>
      </c>
      <c r="D23">
        <v>1</v>
      </c>
      <c r="E23">
        <v>1062704</v>
      </c>
      <c r="F23">
        <v>1</v>
      </c>
      <c r="G23">
        <v>59</v>
      </c>
      <c r="H23">
        <v>1.87</v>
      </c>
      <c r="I23">
        <v>93.5</v>
      </c>
      <c r="K23">
        <v>26.7379679144385</v>
      </c>
      <c r="L23">
        <v>100</v>
      </c>
      <c r="M23">
        <v>110.39</v>
      </c>
      <c r="N23">
        <v>179.3507</v>
      </c>
      <c r="O23">
        <v>95.5389</v>
      </c>
      <c r="P23">
        <v>294.2904</v>
      </c>
      <c r="Q23">
        <v>3.08032016278186</v>
      </c>
      <c r="R23">
        <v>51.2884840859046</v>
      </c>
      <c r="S23">
        <v>27.321027195516</v>
      </c>
      <c r="T23">
        <v>84.1575109382596</v>
      </c>
      <c r="U23">
        <v>111.478538133776</v>
      </c>
      <c r="V23">
        <v>-0.635578583765112</v>
      </c>
      <c r="X23" s="60">
        <v>0.0694444444444444</v>
      </c>
      <c r="Y23">
        <v>2.5</v>
      </c>
      <c r="Z23">
        <v>5.4</v>
      </c>
      <c r="AA23">
        <v>0</v>
      </c>
      <c r="AB23">
        <v>1</v>
      </c>
      <c r="AC23">
        <v>0</v>
      </c>
      <c r="AD23">
        <v>0</v>
      </c>
      <c r="AE23">
        <v>0</v>
      </c>
      <c r="AF23">
        <v>0</v>
      </c>
      <c r="AG23">
        <v>0</v>
      </c>
      <c r="AH23">
        <v>0</v>
      </c>
      <c r="AI23">
        <v>0</v>
      </c>
      <c r="AJ23">
        <v>0</v>
      </c>
      <c r="AK23">
        <v>0</v>
      </c>
      <c r="AL23">
        <v>0</v>
      </c>
      <c r="AM23">
        <v>0</v>
      </c>
      <c r="AN23">
        <v>1</v>
      </c>
      <c r="AO23">
        <v>0</v>
      </c>
      <c r="AP23">
        <v>0.5</v>
      </c>
      <c r="AQ23">
        <v>0</v>
      </c>
      <c r="AR23">
        <v>0</v>
      </c>
      <c r="AS23">
        <v>0</v>
      </c>
      <c r="AT23">
        <v>0</v>
      </c>
      <c r="AU23">
        <v>0</v>
      </c>
      <c r="AV23">
        <v>1</v>
      </c>
      <c r="AW23">
        <v>0</v>
      </c>
      <c r="AX23">
        <v>0</v>
      </c>
      <c r="AY23">
        <v>0</v>
      </c>
    </row>
    <row r="24" spans="1:51">
      <c r="A24" t="s">
        <v>100</v>
      </c>
      <c r="B24" s="82">
        <v>4</v>
      </c>
      <c r="C24" t="s">
        <v>101</v>
      </c>
      <c r="D24">
        <v>0</v>
      </c>
      <c r="E24">
        <v>1042410</v>
      </c>
      <c r="F24">
        <v>2</v>
      </c>
      <c r="G24">
        <v>57</v>
      </c>
      <c r="H24">
        <v>1.62</v>
      </c>
      <c r="I24">
        <v>48</v>
      </c>
      <c r="K24">
        <v>18.2898948331047</v>
      </c>
      <c r="W24">
        <v>13.3</v>
      </c>
      <c r="X24" s="60">
        <v>0.0972222222222222</v>
      </c>
      <c r="Y24">
        <v>3.5</v>
      </c>
      <c r="Z24">
        <v>7.16</v>
      </c>
      <c r="AA24">
        <v>2</v>
      </c>
      <c r="AB24">
        <v>3</v>
      </c>
      <c r="AC24">
        <v>0</v>
      </c>
      <c r="AD24">
        <v>0</v>
      </c>
      <c r="AE24">
        <v>0</v>
      </c>
      <c r="AF24">
        <v>0</v>
      </c>
      <c r="AG24">
        <v>0</v>
      </c>
      <c r="AH24">
        <v>0</v>
      </c>
      <c r="AI24">
        <v>0</v>
      </c>
      <c r="AJ24">
        <v>0</v>
      </c>
      <c r="AK24">
        <v>0</v>
      </c>
      <c r="AL24">
        <v>0</v>
      </c>
      <c r="AM24">
        <v>0</v>
      </c>
      <c r="AN24">
        <v>0</v>
      </c>
      <c r="AO24">
        <v>0</v>
      </c>
      <c r="AP24">
        <v>0.5</v>
      </c>
      <c r="AQ24">
        <v>1</v>
      </c>
      <c r="AR24">
        <v>0</v>
      </c>
      <c r="AS24">
        <v>0</v>
      </c>
      <c r="AT24">
        <v>0</v>
      </c>
      <c r="AU24">
        <v>0</v>
      </c>
      <c r="AV24">
        <v>1</v>
      </c>
      <c r="AW24">
        <v>1</v>
      </c>
      <c r="AX24">
        <v>0</v>
      </c>
      <c r="AY24">
        <v>0</v>
      </c>
    </row>
    <row r="25" spans="1:51">
      <c r="A25" t="s">
        <v>3111</v>
      </c>
      <c r="B25" s="82">
        <v>2</v>
      </c>
      <c r="C25" t="s">
        <v>3285</v>
      </c>
      <c r="D25">
        <v>0</v>
      </c>
      <c r="E25">
        <v>1017870</v>
      </c>
      <c r="F25">
        <v>1</v>
      </c>
      <c r="G25">
        <v>64</v>
      </c>
      <c r="H25">
        <v>1.7</v>
      </c>
      <c r="I25">
        <v>51</v>
      </c>
      <c r="K25">
        <v>17.6470588235294</v>
      </c>
      <c r="L25">
        <v>87</v>
      </c>
      <c r="M25">
        <v>89.148</v>
      </c>
      <c r="N25">
        <v>94.8246</v>
      </c>
      <c r="O25">
        <v>29.9119</v>
      </c>
      <c r="P25">
        <v>131.6011</v>
      </c>
      <c r="Q25">
        <v>4.39962356119137</v>
      </c>
      <c r="R25">
        <v>32.8112802768166</v>
      </c>
      <c r="S25">
        <v>10.3501384083045</v>
      </c>
      <c r="T25">
        <v>45.5367128027682</v>
      </c>
      <c r="U25">
        <v>55.8868512110727</v>
      </c>
      <c r="V25">
        <v>-0.446502057613169</v>
      </c>
      <c r="X25" s="60">
        <v>0.333333333333333</v>
      </c>
      <c r="Y25">
        <v>12</v>
      </c>
      <c r="Z25">
        <v>8.9</v>
      </c>
      <c r="AA25">
        <v>6</v>
      </c>
      <c r="AB25">
        <v>3</v>
      </c>
      <c r="AC25">
        <v>0</v>
      </c>
      <c r="AD25">
        <v>1</v>
      </c>
      <c r="AE25">
        <v>1</v>
      </c>
      <c r="AF25">
        <v>1</v>
      </c>
      <c r="AG25">
        <v>1</v>
      </c>
      <c r="AH25">
        <v>0</v>
      </c>
      <c r="AI25">
        <v>1</v>
      </c>
      <c r="AJ25">
        <v>1</v>
      </c>
      <c r="AK25">
        <v>1</v>
      </c>
      <c r="AL25">
        <v>1</v>
      </c>
      <c r="AM25">
        <v>0</v>
      </c>
      <c r="AN25">
        <v>1</v>
      </c>
      <c r="AO25">
        <v>0</v>
      </c>
      <c r="AP25">
        <v>0.5</v>
      </c>
      <c r="AQ25">
        <v>0</v>
      </c>
      <c r="AR25">
        <v>0</v>
      </c>
      <c r="AS25">
        <v>0</v>
      </c>
      <c r="AT25">
        <v>0</v>
      </c>
      <c r="AU25">
        <v>0</v>
      </c>
      <c r="AV25">
        <v>1</v>
      </c>
      <c r="AW25">
        <v>1</v>
      </c>
      <c r="AX25">
        <v>0</v>
      </c>
      <c r="AY25">
        <v>0.5</v>
      </c>
    </row>
    <row r="26" spans="1:51">
      <c r="A26" t="s">
        <v>103</v>
      </c>
      <c r="B26" s="82">
        <v>1</v>
      </c>
      <c r="C26" t="s">
        <v>104</v>
      </c>
      <c r="D26">
        <v>0</v>
      </c>
      <c r="E26">
        <v>1056855</v>
      </c>
      <c r="F26">
        <v>1</v>
      </c>
      <c r="G26">
        <v>68</v>
      </c>
      <c r="H26">
        <v>1.7</v>
      </c>
      <c r="I26">
        <v>80</v>
      </c>
      <c r="K26">
        <v>27.681660899654</v>
      </c>
      <c r="L26">
        <v>88</v>
      </c>
      <c r="M26">
        <v>91.167</v>
      </c>
      <c r="N26">
        <v>182.1942</v>
      </c>
      <c r="O26">
        <v>125.3191</v>
      </c>
      <c r="P26">
        <v>122.9084</v>
      </c>
      <c r="Q26">
        <v>0.980763506919536</v>
      </c>
      <c r="R26">
        <v>63.0429757785467</v>
      </c>
      <c r="S26">
        <v>43.3630103806228</v>
      </c>
      <c r="T26">
        <v>42.5288581314879</v>
      </c>
      <c r="U26">
        <v>85.8918685121107</v>
      </c>
      <c r="V26">
        <v>-0.419952494061758</v>
      </c>
      <c r="X26" s="60">
        <v>0.208333333333333</v>
      </c>
      <c r="Y26">
        <v>7.5</v>
      </c>
      <c r="Z26">
        <v>8.1</v>
      </c>
      <c r="AA26">
        <v>2</v>
      </c>
      <c r="AB26">
        <v>3</v>
      </c>
      <c r="AC26">
        <v>0</v>
      </c>
      <c r="AD26">
        <v>0</v>
      </c>
      <c r="AE26">
        <v>0</v>
      </c>
      <c r="AF26">
        <v>0</v>
      </c>
      <c r="AG26">
        <v>0</v>
      </c>
      <c r="AH26">
        <v>0</v>
      </c>
      <c r="AI26">
        <v>0</v>
      </c>
      <c r="AJ26">
        <v>0</v>
      </c>
      <c r="AK26">
        <v>0</v>
      </c>
      <c r="AL26">
        <v>0</v>
      </c>
      <c r="AM26">
        <v>1</v>
      </c>
      <c r="AN26">
        <v>1</v>
      </c>
      <c r="AO26">
        <v>1</v>
      </c>
      <c r="AP26">
        <v>0</v>
      </c>
      <c r="AQ26">
        <v>0</v>
      </c>
      <c r="AR26">
        <v>0</v>
      </c>
      <c r="AS26">
        <v>2</v>
      </c>
      <c r="AT26">
        <v>0</v>
      </c>
      <c r="AU26">
        <v>0</v>
      </c>
      <c r="AV26">
        <v>1</v>
      </c>
      <c r="AW26">
        <v>1</v>
      </c>
      <c r="AX26">
        <v>0</v>
      </c>
      <c r="AY26">
        <v>0.5</v>
      </c>
    </row>
    <row r="27" spans="1:51">
      <c r="A27" t="s">
        <v>106</v>
      </c>
      <c r="B27" s="82">
        <v>2</v>
      </c>
      <c r="C27" t="s">
        <v>107</v>
      </c>
      <c r="D27">
        <v>0</v>
      </c>
      <c r="E27">
        <v>1021784</v>
      </c>
      <c r="F27">
        <v>1</v>
      </c>
      <c r="G27">
        <v>57</v>
      </c>
      <c r="H27">
        <v>1.65</v>
      </c>
      <c r="I27">
        <v>56</v>
      </c>
      <c r="K27">
        <v>20.5693296602388</v>
      </c>
      <c r="L27">
        <v>82</v>
      </c>
      <c r="M27">
        <v>80.149</v>
      </c>
      <c r="N27">
        <v>138.5144</v>
      </c>
      <c r="O27">
        <v>83.5394</v>
      </c>
      <c r="P27">
        <v>81.4573</v>
      </c>
      <c r="Q27">
        <v>0.97507643100142</v>
      </c>
      <c r="R27">
        <v>50.8776492194674</v>
      </c>
      <c r="S27">
        <v>30.6848117539027</v>
      </c>
      <c r="T27">
        <v>29.9200367309458</v>
      </c>
      <c r="U27">
        <v>60.6048484848485</v>
      </c>
      <c r="V27">
        <v>-0.507840161861406</v>
      </c>
      <c r="X27" s="60">
        <v>0.333333333333333</v>
      </c>
      <c r="Y27">
        <v>12</v>
      </c>
      <c r="Z27">
        <v>7.65</v>
      </c>
      <c r="AA27">
        <v>2</v>
      </c>
      <c r="AB27">
        <v>3</v>
      </c>
      <c r="AC27">
        <v>0</v>
      </c>
      <c r="AD27">
        <v>1</v>
      </c>
      <c r="AE27">
        <v>1</v>
      </c>
      <c r="AF27">
        <v>1</v>
      </c>
      <c r="AG27">
        <v>1</v>
      </c>
      <c r="AH27">
        <v>0</v>
      </c>
      <c r="AI27">
        <v>1</v>
      </c>
      <c r="AJ27">
        <v>0</v>
      </c>
      <c r="AK27">
        <v>1</v>
      </c>
      <c r="AL27">
        <v>1</v>
      </c>
      <c r="AM27">
        <v>0</v>
      </c>
      <c r="AN27">
        <v>0</v>
      </c>
      <c r="AO27">
        <v>0</v>
      </c>
      <c r="AP27">
        <v>0.5</v>
      </c>
      <c r="AQ27">
        <v>1</v>
      </c>
      <c r="AR27">
        <v>0</v>
      </c>
      <c r="AS27">
        <v>3</v>
      </c>
      <c r="AT27">
        <v>0</v>
      </c>
      <c r="AU27">
        <v>0</v>
      </c>
      <c r="AV27">
        <v>0</v>
      </c>
      <c r="AW27">
        <v>0</v>
      </c>
      <c r="AX27">
        <v>0</v>
      </c>
      <c r="AY27">
        <v>0.5</v>
      </c>
    </row>
    <row r="28" spans="1:51">
      <c r="A28" t="s">
        <v>3286</v>
      </c>
      <c r="B28" s="82">
        <v>2</v>
      </c>
      <c r="C28" t="s">
        <v>3287</v>
      </c>
      <c r="D28">
        <v>0</v>
      </c>
      <c r="E28">
        <v>785491</v>
      </c>
      <c r="F28">
        <v>1</v>
      </c>
      <c r="G28">
        <v>59</v>
      </c>
      <c r="H28">
        <v>1.8</v>
      </c>
      <c r="I28">
        <v>95</v>
      </c>
      <c r="K28">
        <v>29.320987654321</v>
      </c>
      <c r="L28">
        <v>115</v>
      </c>
      <c r="M28">
        <v>119.73</v>
      </c>
      <c r="N28">
        <v>174.3473</v>
      </c>
      <c r="O28">
        <v>193.4205</v>
      </c>
      <c r="P28">
        <v>269.6945</v>
      </c>
      <c r="Q28">
        <v>1.39434289540147</v>
      </c>
      <c r="R28">
        <v>53.8108950617284</v>
      </c>
      <c r="S28">
        <v>59.6976851851852</v>
      </c>
      <c r="T28">
        <v>83.2390432098765</v>
      </c>
      <c r="U28">
        <v>142.936728395062</v>
      </c>
      <c r="V28">
        <v>-0.437762605042017</v>
      </c>
      <c r="W28">
        <v>33.5</v>
      </c>
      <c r="X28" s="60">
        <v>0.361111111111111</v>
      </c>
      <c r="Y28">
        <v>13</v>
      </c>
      <c r="Z28">
        <v>8.84</v>
      </c>
      <c r="AA28">
        <v>6</v>
      </c>
      <c r="AB28">
        <v>3</v>
      </c>
      <c r="AC28">
        <v>0</v>
      </c>
      <c r="AD28">
        <v>0</v>
      </c>
      <c r="AE28">
        <v>0</v>
      </c>
      <c r="AF28">
        <v>1</v>
      </c>
      <c r="AG28">
        <v>1</v>
      </c>
      <c r="AH28">
        <v>0</v>
      </c>
      <c r="AI28">
        <v>0</v>
      </c>
      <c r="AJ28">
        <v>0</v>
      </c>
      <c r="AK28">
        <v>1</v>
      </c>
      <c r="AL28">
        <v>1</v>
      </c>
      <c r="AM28">
        <v>1</v>
      </c>
      <c r="AN28">
        <v>1</v>
      </c>
      <c r="AO28">
        <v>1</v>
      </c>
      <c r="AP28">
        <v>0.5</v>
      </c>
      <c r="AQ28">
        <v>1</v>
      </c>
      <c r="AR28">
        <v>0</v>
      </c>
      <c r="AS28">
        <v>1</v>
      </c>
      <c r="AT28">
        <v>0.5</v>
      </c>
      <c r="AU28">
        <v>0.5</v>
      </c>
      <c r="AV28">
        <v>1</v>
      </c>
      <c r="AW28">
        <v>1</v>
      </c>
      <c r="AX28">
        <v>0</v>
      </c>
      <c r="AY28">
        <v>0.5</v>
      </c>
    </row>
    <row r="29" spans="1:51">
      <c r="A29" t="s">
        <v>109</v>
      </c>
      <c r="B29" s="82">
        <v>3</v>
      </c>
      <c r="C29" t="s">
        <v>110</v>
      </c>
      <c r="D29">
        <v>1</v>
      </c>
      <c r="E29">
        <v>1064435</v>
      </c>
      <c r="F29">
        <v>2</v>
      </c>
      <c r="G29">
        <v>56</v>
      </c>
      <c r="H29">
        <v>1.6</v>
      </c>
      <c r="I29">
        <v>65</v>
      </c>
      <c r="K29">
        <v>25.390625</v>
      </c>
      <c r="L29">
        <v>90</v>
      </c>
      <c r="M29">
        <v>90.548</v>
      </c>
      <c r="N29">
        <v>99.8314</v>
      </c>
      <c r="O29">
        <v>171.7081</v>
      </c>
      <c r="P29">
        <v>124.0831</v>
      </c>
      <c r="Q29">
        <v>0.722639758986326</v>
      </c>
      <c r="R29">
        <v>38.996640625</v>
      </c>
      <c r="S29">
        <v>67.0734765625</v>
      </c>
      <c r="T29">
        <v>48.4699609375</v>
      </c>
      <c r="U29">
        <v>115.5434375</v>
      </c>
      <c r="V29">
        <v>-0.503807710613993</v>
      </c>
      <c r="X29" s="60">
        <v>0.0416666666666667</v>
      </c>
      <c r="Y29">
        <v>1.5</v>
      </c>
      <c r="Z29">
        <v>5.87</v>
      </c>
      <c r="AA29">
        <v>0</v>
      </c>
      <c r="AB29">
        <v>1</v>
      </c>
      <c r="AC29">
        <v>0</v>
      </c>
      <c r="AD29">
        <v>0</v>
      </c>
      <c r="AE29">
        <v>0</v>
      </c>
      <c r="AF29">
        <v>0</v>
      </c>
      <c r="AG29">
        <v>0</v>
      </c>
      <c r="AH29">
        <v>0</v>
      </c>
      <c r="AI29">
        <v>0</v>
      </c>
      <c r="AJ29">
        <v>0</v>
      </c>
      <c r="AK29">
        <v>0</v>
      </c>
      <c r="AL29">
        <v>0</v>
      </c>
      <c r="AM29">
        <v>0</v>
      </c>
      <c r="AN29">
        <v>0</v>
      </c>
      <c r="AO29">
        <v>0</v>
      </c>
      <c r="AP29">
        <v>0.5</v>
      </c>
      <c r="AQ29">
        <v>0</v>
      </c>
      <c r="AR29">
        <v>0</v>
      </c>
      <c r="AS29">
        <v>0</v>
      </c>
      <c r="AT29">
        <v>0.5</v>
      </c>
      <c r="AU29">
        <v>0.5</v>
      </c>
      <c r="AV29">
        <v>0</v>
      </c>
      <c r="AW29">
        <v>0</v>
      </c>
      <c r="AX29">
        <v>0</v>
      </c>
      <c r="AY29">
        <v>0</v>
      </c>
    </row>
    <row r="30" spans="1:51">
      <c r="A30" t="s">
        <v>112</v>
      </c>
      <c r="B30" s="82">
        <v>5</v>
      </c>
      <c r="C30" t="s">
        <v>113</v>
      </c>
      <c r="D30">
        <v>1</v>
      </c>
      <c r="E30">
        <v>1064939</v>
      </c>
      <c r="F30">
        <v>2</v>
      </c>
      <c r="G30">
        <v>58</v>
      </c>
      <c r="H30">
        <v>1.68</v>
      </c>
      <c r="I30">
        <v>80</v>
      </c>
      <c r="K30">
        <v>28.3446712018141</v>
      </c>
      <c r="L30">
        <v>96</v>
      </c>
      <c r="M30">
        <v>97.553</v>
      </c>
      <c r="N30">
        <v>163.0464</v>
      </c>
      <c r="O30">
        <v>150.848</v>
      </c>
      <c r="P30">
        <v>174.3421</v>
      </c>
      <c r="Q30">
        <v>1.15574684450573</v>
      </c>
      <c r="R30">
        <v>57.7687074829932</v>
      </c>
      <c r="S30">
        <v>53.4467120181406</v>
      </c>
      <c r="T30">
        <v>61.7708687641723</v>
      </c>
      <c r="U30">
        <v>115.217580782313</v>
      </c>
      <c r="V30">
        <v>-0.377846299810247</v>
      </c>
      <c r="X30" s="60">
        <v>0.0972222222222222</v>
      </c>
      <c r="Y30">
        <v>3.5</v>
      </c>
      <c r="Z30">
        <v>7.06</v>
      </c>
      <c r="AA30">
        <v>1</v>
      </c>
      <c r="AB30">
        <v>2</v>
      </c>
      <c r="AC30">
        <v>0</v>
      </c>
      <c r="AD30">
        <v>0</v>
      </c>
      <c r="AE30">
        <v>0</v>
      </c>
      <c r="AF30">
        <v>0</v>
      </c>
      <c r="AG30">
        <v>0</v>
      </c>
      <c r="AH30">
        <v>0</v>
      </c>
      <c r="AI30">
        <v>0</v>
      </c>
      <c r="AJ30">
        <v>0</v>
      </c>
      <c r="AK30">
        <v>1</v>
      </c>
      <c r="AL30">
        <v>1</v>
      </c>
      <c r="AM30">
        <v>0</v>
      </c>
      <c r="AN30">
        <v>0</v>
      </c>
      <c r="AO30">
        <v>0</v>
      </c>
      <c r="AP30">
        <v>0</v>
      </c>
      <c r="AQ30">
        <v>0</v>
      </c>
      <c r="AR30">
        <v>0</v>
      </c>
      <c r="AS30">
        <v>0</v>
      </c>
      <c r="AT30">
        <v>0</v>
      </c>
      <c r="AU30">
        <v>0</v>
      </c>
      <c r="AV30">
        <v>0</v>
      </c>
      <c r="AW30">
        <v>0</v>
      </c>
      <c r="AX30">
        <v>1</v>
      </c>
      <c r="AY30">
        <v>0.5</v>
      </c>
    </row>
    <row r="31" spans="1:51">
      <c r="A31" t="s">
        <v>115</v>
      </c>
      <c r="B31" s="82">
        <v>2</v>
      </c>
      <c r="C31" t="s">
        <v>3288</v>
      </c>
      <c r="D31">
        <v>0</v>
      </c>
      <c r="E31">
        <v>1032681</v>
      </c>
      <c r="F31">
        <v>1</v>
      </c>
      <c r="G31">
        <v>62</v>
      </c>
      <c r="H31">
        <v>1.73</v>
      </c>
      <c r="I31">
        <v>62</v>
      </c>
      <c r="K31">
        <v>20.7156938086805</v>
      </c>
      <c r="L31">
        <v>119</v>
      </c>
      <c r="W31">
        <v>26.4</v>
      </c>
      <c r="X31" s="60">
        <v>0.0833333333333333</v>
      </c>
      <c r="Y31">
        <v>3</v>
      </c>
      <c r="Z31">
        <v>0.01</v>
      </c>
      <c r="AA31">
        <v>6</v>
      </c>
      <c r="AB31">
        <v>3</v>
      </c>
      <c r="AC31">
        <v>0</v>
      </c>
      <c r="AD31">
        <v>0</v>
      </c>
      <c r="AE31">
        <v>0</v>
      </c>
      <c r="AF31">
        <v>0</v>
      </c>
      <c r="AG31">
        <v>0</v>
      </c>
      <c r="AH31">
        <v>0</v>
      </c>
      <c r="AI31">
        <v>0</v>
      </c>
      <c r="AJ31">
        <v>0</v>
      </c>
      <c r="AK31">
        <v>0</v>
      </c>
      <c r="AL31">
        <v>0</v>
      </c>
      <c r="AM31">
        <v>0</v>
      </c>
      <c r="AN31">
        <v>1</v>
      </c>
      <c r="AO31">
        <v>0</v>
      </c>
      <c r="AP31">
        <v>0.5</v>
      </c>
      <c r="AQ31">
        <v>0</v>
      </c>
      <c r="AR31">
        <v>0</v>
      </c>
      <c r="AS31">
        <v>1</v>
      </c>
      <c r="AT31">
        <v>0</v>
      </c>
      <c r="AU31">
        <v>0</v>
      </c>
      <c r="AV31">
        <v>0</v>
      </c>
      <c r="AW31">
        <v>0</v>
      </c>
      <c r="AX31">
        <v>0</v>
      </c>
      <c r="AY31">
        <v>0.5</v>
      </c>
    </row>
    <row r="32" spans="1:51">
      <c r="A32" t="s">
        <v>118</v>
      </c>
      <c r="B32" s="82">
        <v>1</v>
      </c>
      <c r="C32" t="s">
        <v>119</v>
      </c>
      <c r="D32">
        <v>1</v>
      </c>
      <c r="E32">
        <v>1065146</v>
      </c>
      <c r="F32">
        <v>2</v>
      </c>
      <c r="G32">
        <v>50</v>
      </c>
      <c r="H32">
        <v>1.5</v>
      </c>
      <c r="I32">
        <v>57</v>
      </c>
      <c r="K32">
        <v>25.3333333333333</v>
      </c>
      <c r="L32">
        <v>84</v>
      </c>
      <c r="M32">
        <v>83.655</v>
      </c>
      <c r="N32">
        <v>103.2367</v>
      </c>
      <c r="O32">
        <v>162.9656</v>
      </c>
      <c r="P32">
        <v>90.22</v>
      </c>
      <c r="Q32">
        <v>0.553613768795378</v>
      </c>
      <c r="R32">
        <v>45.8829777777778</v>
      </c>
      <c r="S32">
        <v>72.4291555555556</v>
      </c>
      <c r="T32">
        <v>40.0977777777778</v>
      </c>
      <c r="U32">
        <v>112.526933333333</v>
      </c>
      <c r="V32">
        <v>-0.501681075888569</v>
      </c>
      <c r="W32">
        <v>19</v>
      </c>
      <c r="X32" s="60">
        <v>0</v>
      </c>
      <c r="Y32">
        <v>0</v>
      </c>
      <c r="Z32">
        <v>7.37</v>
      </c>
      <c r="AA32">
        <v>0</v>
      </c>
      <c r="AB32">
        <v>1</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row>
    <row r="33" s="87" customFormat="1" spans="1:51">
      <c r="A33" s="87" t="s">
        <v>3289</v>
      </c>
      <c r="B33" s="90"/>
      <c r="C33" s="87" t="s">
        <v>3290</v>
      </c>
      <c r="D33" s="87">
        <v>1</v>
      </c>
      <c r="E33" s="87">
        <v>1066179</v>
      </c>
      <c r="F33" s="87">
        <v>1</v>
      </c>
      <c r="G33" s="87">
        <v>70</v>
      </c>
      <c r="H33" s="87">
        <v>1.83</v>
      </c>
      <c r="I33" s="87">
        <v>82</v>
      </c>
      <c r="K33" s="87">
        <v>24.485652005136</v>
      </c>
      <c r="L33" s="87">
        <v>104</v>
      </c>
      <c r="W33" s="87">
        <v>34.2</v>
      </c>
      <c r="X33" s="91">
        <v>0.0277777777777778</v>
      </c>
      <c r="Y33" s="87">
        <v>1</v>
      </c>
      <c r="Z33" s="87">
        <v>6.05</v>
      </c>
      <c r="AA33" s="87">
        <v>0</v>
      </c>
      <c r="AB33" s="87">
        <v>1</v>
      </c>
      <c r="AC33" s="87">
        <v>0</v>
      </c>
      <c r="AD33" s="87">
        <v>0</v>
      </c>
      <c r="AE33" s="87">
        <v>0</v>
      </c>
      <c r="AF33" s="87">
        <v>0</v>
      </c>
      <c r="AG33" s="87">
        <v>0</v>
      </c>
      <c r="AH33" s="87">
        <v>0</v>
      </c>
      <c r="AI33" s="87">
        <v>0</v>
      </c>
      <c r="AJ33" s="87">
        <v>0</v>
      </c>
      <c r="AK33" s="87">
        <v>0</v>
      </c>
      <c r="AL33" s="87">
        <v>0</v>
      </c>
      <c r="AM33" s="87">
        <v>0</v>
      </c>
      <c r="AN33" s="87">
        <v>0</v>
      </c>
      <c r="AO33" s="87">
        <v>0</v>
      </c>
      <c r="AP33" s="87">
        <v>0</v>
      </c>
      <c r="AQ33" s="87">
        <v>0</v>
      </c>
      <c r="AR33" s="87">
        <v>0</v>
      </c>
      <c r="AS33" s="87">
        <v>0</v>
      </c>
      <c r="AT33" s="87">
        <v>0</v>
      </c>
      <c r="AU33" s="87">
        <v>0</v>
      </c>
      <c r="AV33" s="87">
        <v>1</v>
      </c>
      <c r="AW33" s="87">
        <v>0</v>
      </c>
      <c r="AX33" s="87">
        <v>0</v>
      </c>
      <c r="AY33" s="87">
        <v>0</v>
      </c>
    </row>
    <row r="34" spans="1:51">
      <c r="A34" t="s">
        <v>121</v>
      </c>
      <c r="B34" s="82">
        <v>3</v>
      </c>
      <c r="C34" t="s">
        <v>122</v>
      </c>
      <c r="D34">
        <v>1</v>
      </c>
      <c r="E34">
        <v>1066318</v>
      </c>
      <c r="F34">
        <v>2</v>
      </c>
      <c r="G34">
        <v>68</v>
      </c>
      <c r="H34">
        <v>1.65</v>
      </c>
      <c r="I34">
        <v>60</v>
      </c>
      <c r="K34">
        <v>22.038567493113</v>
      </c>
      <c r="L34">
        <v>85</v>
      </c>
      <c r="M34">
        <v>80.603</v>
      </c>
      <c r="N34">
        <v>106.3727</v>
      </c>
      <c r="O34">
        <v>107.4685</v>
      </c>
      <c r="P34">
        <v>105.9253</v>
      </c>
      <c r="Q34">
        <v>0.985640443478787</v>
      </c>
      <c r="R34">
        <v>39.0716988062443</v>
      </c>
      <c r="S34">
        <v>39.4741965105602</v>
      </c>
      <c r="T34">
        <v>38.9073645546373</v>
      </c>
      <c r="U34">
        <v>78.3815610651974</v>
      </c>
      <c r="V34">
        <v>-0.232121212121212</v>
      </c>
      <c r="W34">
        <v>12.5</v>
      </c>
      <c r="X34" s="60">
        <v>0.236111111111111</v>
      </c>
      <c r="Y34">
        <v>8.5</v>
      </c>
      <c r="Z34">
        <v>0.01</v>
      </c>
      <c r="AA34">
        <v>0</v>
      </c>
      <c r="AB34">
        <v>1</v>
      </c>
      <c r="AC34">
        <v>0</v>
      </c>
      <c r="AD34">
        <v>0</v>
      </c>
      <c r="AE34">
        <v>1</v>
      </c>
      <c r="AF34">
        <v>1</v>
      </c>
      <c r="AG34">
        <v>1</v>
      </c>
      <c r="AH34">
        <v>0</v>
      </c>
      <c r="AI34">
        <v>1</v>
      </c>
      <c r="AJ34">
        <v>1</v>
      </c>
      <c r="AK34">
        <v>0</v>
      </c>
      <c r="AL34">
        <v>1</v>
      </c>
      <c r="AM34">
        <v>0</v>
      </c>
      <c r="AN34">
        <v>1</v>
      </c>
      <c r="AO34">
        <v>0</v>
      </c>
      <c r="AP34">
        <v>0</v>
      </c>
      <c r="AQ34">
        <v>0</v>
      </c>
      <c r="AR34">
        <v>0</v>
      </c>
      <c r="AS34">
        <v>1</v>
      </c>
      <c r="AT34">
        <v>0</v>
      </c>
      <c r="AU34">
        <v>0</v>
      </c>
      <c r="AV34">
        <v>0</v>
      </c>
      <c r="AW34">
        <v>0</v>
      </c>
      <c r="AX34">
        <v>0</v>
      </c>
      <c r="AY34">
        <v>0.5</v>
      </c>
    </row>
    <row r="35" spans="1:51">
      <c r="A35" t="s">
        <v>3063</v>
      </c>
      <c r="B35" s="82">
        <v>2</v>
      </c>
      <c r="C35" t="s">
        <v>3291</v>
      </c>
      <c r="D35">
        <v>0</v>
      </c>
      <c r="E35">
        <v>1066544</v>
      </c>
      <c r="F35">
        <v>1</v>
      </c>
      <c r="G35">
        <v>78</v>
      </c>
      <c r="H35">
        <v>1.7</v>
      </c>
      <c r="I35">
        <v>65</v>
      </c>
      <c r="K35">
        <v>22.4913494809689</v>
      </c>
      <c r="L35">
        <v>85</v>
      </c>
      <c r="M35">
        <v>86.593</v>
      </c>
      <c r="N35">
        <v>133.208</v>
      </c>
      <c r="O35">
        <v>69.4226</v>
      </c>
      <c r="P35">
        <v>96.4496</v>
      </c>
      <c r="Q35">
        <v>1.3893112617505</v>
      </c>
      <c r="R35">
        <v>46.0927335640138</v>
      </c>
      <c r="S35">
        <v>24.021660899654</v>
      </c>
      <c r="T35">
        <v>33.3735640138408</v>
      </c>
      <c r="U35">
        <v>57.3952249134948</v>
      </c>
      <c r="V35">
        <v>-0.893590797041906</v>
      </c>
      <c r="W35">
        <v>22.3</v>
      </c>
      <c r="X35" s="60">
        <v>0.138888888888889</v>
      </c>
      <c r="Y35">
        <v>5</v>
      </c>
      <c r="Z35">
        <v>0.01</v>
      </c>
      <c r="AA35">
        <v>2</v>
      </c>
      <c r="AB35">
        <v>3</v>
      </c>
      <c r="AC35">
        <v>0</v>
      </c>
      <c r="AD35">
        <v>0</v>
      </c>
      <c r="AE35">
        <v>0</v>
      </c>
      <c r="AF35">
        <v>0</v>
      </c>
      <c r="AG35">
        <v>0</v>
      </c>
      <c r="AH35">
        <v>0</v>
      </c>
      <c r="AI35">
        <v>0</v>
      </c>
      <c r="AJ35">
        <v>0</v>
      </c>
      <c r="AK35">
        <v>0</v>
      </c>
      <c r="AL35">
        <v>0</v>
      </c>
      <c r="AM35">
        <v>0</v>
      </c>
      <c r="AN35">
        <v>1</v>
      </c>
      <c r="AO35">
        <v>0</v>
      </c>
      <c r="AP35">
        <v>0.5</v>
      </c>
      <c r="AQ35">
        <v>1</v>
      </c>
      <c r="AR35">
        <v>0</v>
      </c>
      <c r="AS35">
        <v>0</v>
      </c>
      <c r="AT35">
        <v>0</v>
      </c>
      <c r="AU35">
        <v>0</v>
      </c>
      <c r="AV35">
        <v>1</v>
      </c>
      <c r="AW35">
        <v>0</v>
      </c>
      <c r="AX35">
        <v>1</v>
      </c>
      <c r="AY35">
        <v>0.5</v>
      </c>
    </row>
    <row r="36" spans="1:51">
      <c r="A36" t="s">
        <v>124</v>
      </c>
      <c r="B36" s="82">
        <v>3</v>
      </c>
      <c r="C36" t="s">
        <v>125</v>
      </c>
      <c r="D36">
        <v>1</v>
      </c>
      <c r="E36">
        <v>1046888</v>
      </c>
      <c r="F36">
        <v>2</v>
      </c>
      <c r="G36">
        <v>55</v>
      </c>
      <c r="H36">
        <v>1.64</v>
      </c>
      <c r="I36">
        <v>54</v>
      </c>
      <c r="K36">
        <v>20.0773349196907</v>
      </c>
      <c r="L36">
        <v>95</v>
      </c>
      <c r="M36">
        <v>80.203</v>
      </c>
      <c r="N36">
        <v>81.4583</v>
      </c>
      <c r="O36">
        <v>84.6621</v>
      </c>
      <c r="P36">
        <v>65.9073</v>
      </c>
      <c r="Q36">
        <v>0.778474665759531</v>
      </c>
      <c r="R36">
        <v>30.2863994646044</v>
      </c>
      <c r="S36">
        <v>31.4775803093397</v>
      </c>
      <c r="T36">
        <v>24.504498810232</v>
      </c>
      <c r="U36">
        <v>55.9820791195717</v>
      </c>
      <c r="V36">
        <v>-0.607089552238806</v>
      </c>
      <c r="W36">
        <v>14.6</v>
      </c>
      <c r="X36" s="60">
        <v>0.5</v>
      </c>
      <c r="Y36">
        <v>18</v>
      </c>
      <c r="Z36">
        <v>0.01</v>
      </c>
      <c r="AA36">
        <v>1</v>
      </c>
      <c r="AB36">
        <v>2</v>
      </c>
      <c r="AC36">
        <v>0</v>
      </c>
      <c r="AD36">
        <v>1</v>
      </c>
      <c r="AE36">
        <v>1</v>
      </c>
      <c r="AF36">
        <v>1</v>
      </c>
      <c r="AG36">
        <v>1</v>
      </c>
      <c r="AH36">
        <v>0</v>
      </c>
      <c r="AI36">
        <v>1</v>
      </c>
      <c r="AJ36">
        <v>1</v>
      </c>
      <c r="AK36">
        <v>1</v>
      </c>
      <c r="AL36">
        <v>1</v>
      </c>
      <c r="AM36">
        <v>1</v>
      </c>
      <c r="AN36">
        <v>1</v>
      </c>
      <c r="AO36">
        <v>0</v>
      </c>
      <c r="AP36">
        <v>1</v>
      </c>
      <c r="AQ36">
        <v>1</v>
      </c>
      <c r="AR36">
        <v>1</v>
      </c>
      <c r="AS36">
        <v>1</v>
      </c>
      <c r="AT36">
        <v>0.5</v>
      </c>
      <c r="AU36">
        <v>0.5</v>
      </c>
      <c r="AV36">
        <v>1</v>
      </c>
      <c r="AW36">
        <v>1</v>
      </c>
      <c r="AX36">
        <v>0</v>
      </c>
      <c r="AY36">
        <v>1</v>
      </c>
    </row>
    <row r="37" spans="1:51">
      <c r="A37" t="s">
        <v>127</v>
      </c>
      <c r="B37" s="82">
        <v>1</v>
      </c>
      <c r="C37" t="s">
        <v>128</v>
      </c>
      <c r="D37">
        <v>1</v>
      </c>
      <c r="E37">
        <v>1066536</v>
      </c>
      <c r="F37">
        <v>2</v>
      </c>
      <c r="G37">
        <v>64</v>
      </c>
      <c r="H37">
        <v>1.58</v>
      </c>
      <c r="I37">
        <v>77</v>
      </c>
      <c r="K37">
        <v>30.8444159589809</v>
      </c>
      <c r="L37">
        <v>105</v>
      </c>
      <c r="M37">
        <v>104.54</v>
      </c>
      <c r="N37">
        <v>138.0127</v>
      </c>
      <c r="O37">
        <v>298.3948</v>
      </c>
      <c r="P37">
        <v>131.4209</v>
      </c>
      <c r="Q37">
        <v>0.440426240671754</v>
      </c>
      <c r="R37">
        <v>55.2846899535331</v>
      </c>
      <c r="S37">
        <v>119.530043262298</v>
      </c>
      <c r="T37">
        <v>52.6441676013459</v>
      </c>
      <c r="U37">
        <v>172.174210863644</v>
      </c>
      <c r="V37">
        <v>-0.495484194681385</v>
      </c>
      <c r="W37">
        <v>34.1</v>
      </c>
      <c r="X37" s="60">
        <v>0.0416666666666667</v>
      </c>
      <c r="Y37">
        <v>1.5</v>
      </c>
      <c r="Z37">
        <v>6.06</v>
      </c>
      <c r="AA37">
        <v>1</v>
      </c>
      <c r="AB37">
        <v>2</v>
      </c>
      <c r="AC37">
        <v>0</v>
      </c>
      <c r="AD37">
        <v>0</v>
      </c>
      <c r="AE37">
        <v>0</v>
      </c>
      <c r="AF37">
        <v>0</v>
      </c>
      <c r="AG37">
        <v>0</v>
      </c>
      <c r="AH37">
        <v>0</v>
      </c>
      <c r="AI37">
        <v>0</v>
      </c>
      <c r="AJ37">
        <v>0</v>
      </c>
      <c r="AK37">
        <v>0</v>
      </c>
      <c r="AL37">
        <v>0</v>
      </c>
      <c r="AM37">
        <v>0</v>
      </c>
      <c r="AN37">
        <v>0</v>
      </c>
      <c r="AO37">
        <v>0</v>
      </c>
      <c r="AP37">
        <v>0.5</v>
      </c>
      <c r="AQ37">
        <v>0</v>
      </c>
      <c r="AR37">
        <v>0</v>
      </c>
      <c r="AS37">
        <v>0</v>
      </c>
      <c r="AT37">
        <v>0</v>
      </c>
      <c r="AU37">
        <v>0</v>
      </c>
      <c r="AV37">
        <v>0</v>
      </c>
      <c r="AW37">
        <v>1</v>
      </c>
      <c r="AX37">
        <v>0</v>
      </c>
      <c r="AY37">
        <v>0</v>
      </c>
    </row>
    <row r="38" spans="1:51">
      <c r="A38" t="s">
        <v>130</v>
      </c>
      <c r="B38" s="82">
        <v>5</v>
      </c>
      <c r="C38" t="s">
        <v>131</v>
      </c>
      <c r="D38">
        <v>1</v>
      </c>
      <c r="E38">
        <v>1066930</v>
      </c>
      <c r="F38">
        <v>2</v>
      </c>
      <c r="G38">
        <v>65</v>
      </c>
      <c r="H38">
        <v>1.6</v>
      </c>
      <c r="I38">
        <v>60</v>
      </c>
      <c r="K38">
        <v>23.4375</v>
      </c>
      <c r="L38">
        <v>91</v>
      </c>
      <c r="M38">
        <v>96.236</v>
      </c>
      <c r="N38">
        <v>125.5772</v>
      </c>
      <c r="O38">
        <v>206.0473</v>
      </c>
      <c r="P38">
        <v>141.5205</v>
      </c>
      <c r="Q38">
        <v>0.686835013125627</v>
      </c>
      <c r="R38">
        <v>49.05359375</v>
      </c>
      <c r="S38">
        <v>80.4872265625</v>
      </c>
      <c r="T38">
        <v>55.2814453125</v>
      </c>
      <c r="U38">
        <v>135.768671875</v>
      </c>
      <c r="V38">
        <v>-0.484555984555985</v>
      </c>
      <c r="W38">
        <v>29.4</v>
      </c>
      <c r="X38" s="60">
        <v>0.111111111111111</v>
      </c>
      <c r="Y38">
        <v>4</v>
      </c>
      <c r="Z38">
        <v>7.65</v>
      </c>
      <c r="AA38">
        <v>1</v>
      </c>
      <c r="AB38">
        <v>2</v>
      </c>
      <c r="AC38">
        <v>0</v>
      </c>
      <c r="AD38">
        <v>0</v>
      </c>
      <c r="AE38">
        <v>0</v>
      </c>
      <c r="AF38">
        <v>0</v>
      </c>
      <c r="AG38">
        <v>0</v>
      </c>
      <c r="AH38">
        <v>0</v>
      </c>
      <c r="AI38">
        <v>0</v>
      </c>
      <c r="AJ38">
        <v>0</v>
      </c>
      <c r="AK38">
        <v>0</v>
      </c>
      <c r="AL38">
        <v>0</v>
      </c>
      <c r="AM38">
        <v>0</v>
      </c>
      <c r="AN38">
        <v>0</v>
      </c>
      <c r="AO38">
        <v>0</v>
      </c>
      <c r="AP38">
        <v>0</v>
      </c>
      <c r="AQ38">
        <v>0</v>
      </c>
      <c r="AR38">
        <v>0</v>
      </c>
      <c r="AS38">
        <v>4</v>
      </c>
      <c r="AT38">
        <v>0</v>
      </c>
      <c r="AU38">
        <v>0</v>
      </c>
      <c r="AV38">
        <v>0</v>
      </c>
      <c r="AW38">
        <v>0</v>
      </c>
      <c r="AX38">
        <v>0</v>
      </c>
      <c r="AY38">
        <v>0</v>
      </c>
    </row>
    <row r="39" spans="1:51">
      <c r="A39" t="s">
        <v>133</v>
      </c>
      <c r="B39" s="82">
        <v>2</v>
      </c>
      <c r="C39" t="s">
        <v>134</v>
      </c>
      <c r="D39">
        <v>0</v>
      </c>
      <c r="E39">
        <v>1067046</v>
      </c>
      <c r="F39">
        <v>1</v>
      </c>
      <c r="G39">
        <v>40</v>
      </c>
      <c r="H39">
        <v>1.7</v>
      </c>
      <c r="I39">
        <v>76</v>
      </c>
      <c r="K39">
        <v>26.2975778546713</v>
      </c>
      <c r="L39">
        <v>96.5</v>
      </c>
      <c r="M39">
        <v>99.016</v>
      </c>
      <c r="N39">
        <v>123.923</v>
      </c>
      <c r="O39">
        <v>62.2011</v>
      </c>
      <c r="P39">
        <v>231.172</v>
      </c>
      <c r="Q39">
        <v>3.71652591352886</v>
      </c>
      <c r="R39">
        <v>42.8799307958478</v>
      </c>
      <c r="S39">
        <v>21.5228719723183</v>
      </c>
      <c r="T39">
        <v>79.9903114186851</v>
      </c>
      <c r="U39">
        <v>101.513183391003</v>
      </c>
      <c r="V39">
        <v>-0.563956639566396</v>
      </c>
      <c r="X39" s="60">
        <v>0.0416666666666667</v>
      </c>
      <c r="Y39">
        <v>1.5</v>
      </c>
      <c r="Z39">
        <v>11.56</v>
      </c>
      <c r="AA39">
        <v>6</v>
      </c>
      <c r="AB39">
        <v>3</v>
      </c>
      <c r="AC39">
        <v>0</v>
      </c>
      <c r="AD39">
        <v>0</v>
      </c>
      <c r="AE39">
        <v>0</v>
      </c>
      <c r="AF39">
        <v>0</v>
      </c>
      <c r="AG39">
        <v>0</v>
      </c>
      <c r="AH39">
        <v>0</v>
      </c>
      <c r="AI39">
        <v>0</v>
      </c>
      <c r="AJ39">
        <v>0</v>
      </c>
      <c r="AK39">
        <v>0</v>
      </c>
      <c r="AL39">
        <v>0</v>
      </c>
      <c r="AM39">
        <v>0</v>
      </c>
      <c r="AN39">
        <v>0</v>
      </c>
      <c r="AO39">
        <v>0</v>
      </c>
      <c r="AP39">
        <v>0.5</v>
      </c>
      <c r="AQ39">
        <v>1</v>
      </c>
      <c r="AR39">
        <v>0</v>
      </c>
      <c r="AS39">
        <v>0</v>
      </c>
      <c r="AT39">
        <v>0</v>
      </c>
      <c r="AU39">
        <v>0</v>
      </c>
      <c r="AV39">
        <v>0</v>
      </c>
      <c r="AW39">
        <v>0</v>
      </c>
      <c r="AX39">
        <v>0</v>
      </c>
      <c r="AY39">
        <v>0</v>
      </c>
    </row>
    <row r="40" spans="1:51">
      <c r="A40" t="s">
        <v>135</v>
      </c>
      <c r="B40" s="82">
        <v>3</v>
      </c>
      <c r="C40" t="s">
        <v>136</v>
      </c>
      <c r="D40">
        <v>1</v>
      </c>
      <c r="E40">
        <v>1067065</v>
      </c>
      <c r="F40">
        <v>1</v>
      </c>
      <c r="G40">
        <v>69</v>
      </c>
      <c r="H40">
        <v>1.83</v>
      </c>
      <c r="I40">
        <v>83</v>
      </c>
      <c r="K40">
        <v>24.7842575173938</v>
      </c>
      <c r="M40">
        <v>109.69</v>
      </c>
      <c r="N40">
        <v>116.0167</v>
      </c>
      <c r="O40">
        <v>136.3115</v>
      </c>
      <c r="P40">
        <v>392.3034</v>
      </c>
      <c r="Q40">
        <v>2.87799195225641</v>
      </c>
      <c r="R40">
        <v>34.6432261339544</v>
      </c>
      <c r="S40">
        <v>40.7033652841231</v>
      </c>
      <c r="T40">
        <v>117.143957717459</v>
      </c>
      <c r="U40">
        <v>157.847323001583</v>
      </c>
      <c r="V40">
        <v>-0.46728515625</v>
      </c>
      <c r="W40">
        <v>25.3</v>
      </c>
      <c r="X40" s="60">
        <v>0.361111111111111</v>
      </c>
      <c r="Y40">
        <v>13</v>
      </c>
      <c r="Z40">
        <v>7.18</v>
      </c>
      <c r="AA40">
        <v>6</v>
      </c>
      <c r="AB40">
        <v>3</v>
      </c>
      <c r="AC40">
        <v>0</v>
      </c>
      <c r="AD40">
        <v>1</v>
      </c>
      <c r="AE40">
        <v>0</v>
      </c>
      <c r="AF40">
        <v>1</v>
      </c>
      <c r="AG40">
        <v>1</v>
      </c>
      <c r="AH40">
        <v>0</v>
      </c>
      <c r="AI40">
        <v>0</v>
      </c>
      <c r="AJ40">
        <v>1</v>
      </c>
      <c r="AK40">
        <v>1</v>
      </c>
      <c r="AL40">
        <v>1</v>
      </c>
      <c r="AM40">
        <v>1</v>
      </c>
      <c r="AN40">
        <v>1</v>
      </c>
      <c r="AO40">
        <v>1</v>
      </c>
      <c r="AP40">
        <v>0.5</v>
      </c>
      <c r="AQ40">
        <v>1</v>
      </c>
      <c r="AR40">
        <v>0</v>
      </c>
      <c r="AS40">
        <v>1</v>
      </c>
      <c r="AT40">
        <v>0</v>
      </c>
      <c r="AU40">
        <v>0</v>
      </c>
      <c r="AV40">
        <v>0</v>
      </c>
      <c r="AW40">
        <v>1</v>
      </c>
      <c r="AX40">
        <v>0</v>
      </c>
      <c r="AY40">
        <v>0.5</v>
      </c>
    </row>
    <row r="41" spans="1:51">
      <c r="A41" t="s">
        <v>3076</v>
      </c>
      <c r="B41" s="82">
        <v>1</v>
      </c>
      <c r="C41" t="s">
        <v>3292</v>
      </c>
      <c r="D41">
        <v>1</v>
      </c>
      <c r="E41">
        <v>1067318</v>
      </c>
      <c r="F41">
        <v>1</v>
      </c>
      <c r="G41">
        <v>64</v>
      </c>
      <c r="H41">
        <v>1.74</v>
      </c>
      <c r="I41">
        <v>85.5</v>
      </c>
      <c r="K41">
        <v>28.2401902497027</v>
      </c>
      <c r="L41">
        <v>110</v>
      </c>
      <c r="M41">
        <v>107.49</v>
      </c>
      <c r="N41">
        <v>153.8416</v>
      </c>
      <c r="O41">
        <v>127.3155</v>
      </c>
      <c r="P41">
        <v>69.003</v>
      </c>
      <c r="Q41">
        <v>0.541984283139131</v>
      </c>
      <c r="R41">
        <v>50.8130532434932</v>
      </c>
      <c r="S41">
        <v>42.0516250495442</v>
      </c>
      <c r="T41">
        <v>22.7913198573127</v>
      </c>
      <c r="U41">
        <v>64.8429449068569</v>
      </c>
      <c r="V41">
        <v>-1.37484116899619</v>
      </c>
      <c r="X41" s="60">
        <v>0.333333333333333</v>
      </c>
      <c r="Y41">
        <v>12</v>
      </c>
      <c r="Z41">
        <v>0.01</v>
      </c>
      <c r="AA41">
        <v>1</v>
      </c>
      <c r="AB41">
        <v>2</v>
      </c>
      <c r="AC41">
        <v>0</v>
      </c>
      <c r="AD41">
        <v>1</v>
      </c>
      <c r="AE41">
        <v>1</v>
      </c>
      <c r="AF41">
        <v>1</v>
      </c>
      <c r="AG41">
        <v>1</v>
      </c>
      <c r="AH41">
        <v>1</v>
      </c>
      <c r="AI41">
        <v>1</v>
      </c>
      <c r="AJ41">
        <v>1</v>
      </c>
      <c r="AK41">
        <v>1</v>
      </c>
      <c r="AL41">
        <v>1</v>
      </c>
      <c r="AM41">
        <v>1</v>
      </c>
      <c r="AN41">
        <v>1</v>
      </c>
      <c r="AO41">
        <v>0</v>
      </c>
      <c r="AP41">
        <v>0.5</v>
      </c>
      <c r="AQ41">
        <v>0</v>
      </c>
      <c r="AR41">
        <v>0</v>
      </c>
      <c r="AS41">
        <v>0</v>
      </c>
      <c r="AT41">
        <v>0</v>
      </c>
      <c r="AU41">
        <v>0</v>
      </c>
      <c r="AV41">
        <v>0</v>
      </c>
      <c r="AW41">
        <v>0</v>
      </c>
      <c r="AX41">
        <v>0</v>
      </c>
      <c r="AY41">
        <v>0.5</v>
      </c>
    </row>
    <row r="42" spans="1:51">
      <c r="A42" t="s">
        <v>138</v>
      </c>
      <c r="B42" s="82">
        <v>5</v>
      </c>
      <c r="C42" t="s">
        <v>139</v>
      </c>
      <c r="D42">
        <v>1</v>
      </c>
      <c r="E42">
        <v>711356</v>
      </c>
      <c r="F42">
        <v>2</v>
      </c>
      <c r="G42">
        <v>82</v>
      </c>
      <c r="H42">
        <v>1.62</v>
      </c>
      <c r="I42">
        <v>62</v>
      </c>
      <c r="K42">
        <v>23.6244474927602</v>
      </c>
      <c r="L42">
        <v>106</v>
      </c>
      <c r="W42">
        <v>13.7</v>
      </c>
      <c r="X42" s="60">
        <v>0.444444444444444</v>
      </c>
      <c r="Y42">
        <v>16</v>
      </c>
      <c r="Z42">
        <v>0.01</v>
      </c>
      <c r="AA42">
        <v>2</v>
      </c>
      <c r="AB42">
        <v>3</v>
      </c>
      <c r="AC42">
        <v>0</v>
      </c>
      <c r="AD42">
        <v>1</v>
      </c>
      <c r="AE42">
        <v>1</v>
      </c>
      <c r="AF42">
        <v>1</v>
      </c>
      <c r="AG42">
        <v>1</v>
      </c>
      <c r="AH42">
        <v>1</v>
      </c>
      <c r="AI42">
        <v>1</v>
      </c>
      <c r="AJ42">
        <v>1</v>
      </c>
      <c r="AK42">
        <v>1</v>
      </c>
      <c r="AL42">
        <v>1</v>
      </c>
      <c r="AM42">
        <v>0</v>
      </c>
      <c r="AN42">
        <v>1</v>
      </c>
      <c r="AO42">
        <v>0</v>
      </c>
      <c r="AP42">
        <v>0</v>
      </c>
      <c r="AQ42">
        <v>1</v>
      </c>
      <c r="AR42">
        <v>0</v>
      </c>
      <c r="AS42">
        <v>3</v>
      </c>
      <c r="AT42">
        <v>0</v>
      </c>
      <c r="AU42">
        <v>0</v>
      </c>
      <c r="AV42">
        <v>0</v>
      </c>
      <c r="AW42">
        <v>0</v>
      </c>
      <c r="AX42">
        <v>1</v>
      </c>
      <c r="AY42">
        <v>1</v>
      </c>
    </row>
    <row r="43" s="87" customFormat="1" spans="1:51">
      <c r="A43" s="87" t="s">
        <v>3084</v>
      </c>
      <c r="B43" s="90">
        <v>1</v>
      </c>
      <c r="C43" s="87" t="s">
        <v>3293</v>
      </c>
      <c r="D43" s="87">
        <v>1</v>
      </c>
      <c r="E43" s="87">
        <v>1067626</v>
      </c>
      <c r="F43" s="87">
        <v>1</v>
      </c>
      <c r="G43" s="87">
        <v>76</v>
      </c>
      <c r="H43" s="87">
        <v>1.83</v>
      </c>
      <c r="I43" s="87">
        <v>73</v>
      </c>
      <c r="K43" s="87">
        <v>21.7982023948162</v>
      </c>
      <c r="L43" s="87">
        <v>82</v>
      </c>
      <c r="M43" s="87">
        <v>94.086</v>
      </c>
      <c r="N43" s="87">
        <v>140.965</v>
      </c>
      <c r="O43" s="87">
        <v>112.0779</v>
      </c>
      <c r="P43" s="87">
        <v>103.5138</v>
      </c>
      <c r="Q43" s="87">
        <v>0.923587968725324</v>
      </c>
      <c r="R43" s="87">
        <v>42.0929260354146</v>
      </c>
      <c r="S43" s="87">
        <v>33.4670787422736</v>
      </c>
      <c r="T43" s="87">
        <v>30.9097912747469</v>
      </c>
      <c r="U43" s="87">
        <v>64.3768700170205</v>
      </c>
      <c r="V43" s="87">
        <v>-0.592096876991715</v>
      </c>
      <c r="X43" s="91">
        <v>0.305555555555556</v>
      </c>
      <c r="Y43" s="87">
        <v>11</v>
      </c>
      <c r="Z43" s="87">
        <v>0.01</v>
      </c>
      <c r="AA43" s="87">
        <v>3</v>
      </c>
      <c r="AB43" s="87">
        <v>3</v>
      </c>
      <c r="AC43" s="87">
        <v>0</v>
      </c>
      <c r="AD43" s="87">
        <v>1</v>
      </c>
      <c r="AE43" s="87">
        <v>1</v>
      </c>
      <c r="AF43" s="87">
        <v>0</v>
      </c>
      <c r="AG43" s="87">
        <v>0</v>
      </c>
      <c r="AH43" s="87">
        <v>0</v>
      </c>
      <c r="AI43" s="87">
        <v>0</v>
      </c>
      <c r="AJ43" s="87">
        <v>1</v>
      </c>
      <c r="AK43" s="87">
        <v>1</v>
      </c>
      <c r="AL43" s="87">
        <v>1</v>
      </c>
      <c r="AM43" s="87">
        <v>1</v>
      </c>
      <c r="AN43" s="87">
        <v>1</v>
      </c>
      <c r="AO43" s="87">
        <v>0</v>
      </c>
      <c r="AP43" s="87">
        <v>0.5</v>
      </c>
      <c r="AQ43" s="87">
        <v>0</v>
      </c>
      <c r="AR43" s="87">
        <v>0</v>
      </c>
      <c r="AS43" s="87">
        <v>0</v>
      </c>
      <c r="AT43" s="87">
        <v>0.5</v>
      </c>
      <c r="AU43" s="87">
        <v>0.5</v>
      </c>
      <c r="AV43" s="87">
        <v>1</v>
      </c>
      <c r="AW43" s="87">
        <v>1</v>
      </c>
      <c r="AX43" s="87">
        <v>0</v>
      </c>
      <c r="AY43" s="87">
        <v>0.5</v>
      </c>
    </row>
    <row r="44" spans="1:51">
      <c r="A44" t="s">
        <v>141</v>
      </c>
      <c r="B44" s="82">
        <v>1</v>
      </c>
      <c r="C44" t="s">
        <v>142</v>
      </c>
      <c r="D44">
        <v>1</v>
      </c>
      <c r="E44">
        <v>705890</v>
      </c>
      <c r="F44">
        <v>2</v>
      </c>
      <c r="G44">
        <v>61</v>
      </c>
      <c r="H44">
        <v>1.58</v>
      </c>
      <c r="I44">
        <v>71</v>
      </c>
      <c r="K44">
        <v>28.4409549751642</v>
      </c>
      <c r="L44">
        <v>95</v>
      </c>
      <c r="M44">
        <v>94.08</v>
      </c>
      <c r="N44">
        <v>91.0145</v>
      </c>
      <c r="O44">
        <v>202.8486</v>
      </c>
      <c r="P44">
        <v>200.9156</v>
      </c>
      <c r="Q44">
        <v>0.990470725457312</v>
      </c>
      <c r="R44">
        <v>36.4582999519308</v>
      </c>
      <c r="S44">
        <v>81.2564492869732</v>
      </c>
      <c r="T44">
        <v>80.4821342733536</v>
      </c>
      <c r="U44">
        <v>161.738583560327</v>
      </c>
      <c r="V44">
        <v>-0.383694150161216</v>
      </c>
      <c r="W44">
        <v>14.9</v>
      </c>
      <c r="X44" s="60">
        <v>0.0138888888888889</v>
      </c>
      <c r="Y44">
        <v>0.5</v>
      </c>
      <c r="Z44">
        <v>5.42</v>
      </c>
      <c r="AA44">
        <v>0</v>
      </c>
      <c r="AB44">
        <v>1</v>
      </c>
      <c r="AC44">
        <v>0</v>
      </c>
      <c r="AD44">
        <v>0</v>
      </c>
      <c r="AE44">
        <v>0</v>
      </c>
      <c r="AF44">
        <v>0</v>
      </c>
      <c r="AG44">
        <v>0</v>
      </c>
      <c r="AH44">
        <v>0</v>
      </c>
      <c r="AI44">
        <v>0</v>
      </c>
      <c r="AJ44">
        <v>0</v>
      </c>
      <c r="AK44">
        <v>0</v>
      </c>
      <c r="AL44">
        <v>0</v>
      </c>
      <c r="AM44">
        <v>0</v>
      </c>
      <c r="AN44">
        <v>0</v>
      </c>
      <c r="AO44">
        <v>0</v>
      </c>
      <c r="AP44">
        <v>0.5</v>
      </c>
      <c r="AQ44">
        <v>0</v>
      </c>
      <c r="AR44">
        <v>0</v>
      </c>
      <c r="AS44">
        <v>0</v>
      </c>
      <c r="AT44">
        <v>0</v>
      </c>
      <c r="AU44">
        <v>0</v>
      </c>
      <c r="AV44">
        <v>0</v>
      </c>
      <c r="AW44">
        <v>0</v>
      </c>
      <c r="AX44">
        <v>0</v>
      </c>
      <c r="AY44">
        <v>0</v>
      </c>
    </row>
    <row r="45" spans="1:51">
      <c r="A45" t="s">
        <v>144</v>
      </c>
      <c r="B45" s="82">
        <v>1</v>
      </c>
      <c r="C45" t="s">
        <v>145</v>
      </c>
      <c r="D45">
        <v>1</v>
      </c>
      <c r="E45">
        <v>1003341</v>
      </c>
      <c r="F45">
        <v>1</v>
      </c>
      <c r="G45">
        <v>29</v>
      </c>
      <c r="H45">
        <v>1.78</v>
      </c>
      <c r="I45">
        <v>75</v>
      </c>
      <c r="K45">
        <v>23.6712536295922</v>
      </c>
      <c r="L45">
        <v>80</v>
      </c>
      <c r="M45">
        <v>84.977</v>
      </c>
      <c r="N45">
        <v>149.452</v>
      </c>
      <c r="O45">
        <v>105.5772</v>
      </c>
      <c r="P45">
        <v>41.8468</v>
      </c>
      <c r="Q45">
        <v>0.396362093330757</v>
      </c>
      <c r="R45">
        <v>47.1695492993309</v>
      </c>
      <c r="S45">
        <v>33.3219290493625</v>
      </c>
      <c r="T45">
        <v>13.2075495518243</v>
      </c>
      <c r="U45">
        <v>46.5294786011867</v>
      </c>
      <c r="V45">
        <v>-0.645311732940599</v>
      </c>
      <c r="X45" s="60">
        <v>0</v>
      </c>
      <c r="Y45">
        <v>0</v>
      </c>
      <c r="Z45">
        <v>5.06</v>
      </c>
      <c r="AA45">
        <v>1</v>
      </c>
      <c r="AB45">
        <v>2</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row>
    <row r="46" spans="1:51">
      <c r="A46" t="s">
        <v>147</v>
      </c>
      <c r="B46" s="82">
        <v>3</v>
      </c>
      <c r="C46" t="s">
        <v>148</v>
      </c>
      <c r="D46">
        <v>1</v>
      </c>
      <c r="E46">
        <v>790501</v>
      </c>
      <c r="F46">
        <v>2</v>
      </c>
      <c r="G46">
        <v>70</v>
      </c>
      <c r="H46">
        <v>1.58</v>
      </c>
      <c r="I46">
        <v>45</v>
      </c>
      <c r="K46">
        <v>18.0259573786252</v>
      </c>
      <c r="L46">
        <v>74</v>
      </c>
      <c r="M46">
        <v>74.255</v>
      </c>
      <c r="N46">
        <v>85.3575</v>
      </c>
      <c r="O46">
        <v>81.2703</v>
      </c>
      <c r="P46">
        <v>57.0562</v>
      </c>
      <c r="Q46">
        <v>0.702054748167535</v>
      </c>
      <c r="R46">
        <v>34.1922368210223</v>
      </c>
      <c r="S46">
        <v>32.5549991988463</v>
      </c>
      <c r="T46">
        <v>22.8553917641404</v>
      </c>
      <c r="U46">
        <v>55.4103909629867</v>
      </c>
      <c r="V46">
        <v>-0.659746251441753</v>
      </c>
      <c r="W46">
        <v>16.5</v>
      </c>
      <c r="X46" s="60">
        <v>0.0555555555555556</v>
      </c>
      <c r="Y46">
        <v>2</v>
      </c>
      <c r="Z46">
        <v>6.94</v>
      </c>
      <c r="AA46">
        <v>2</v>
      </c>
      <c r="AB46">
        <v>3</v>
      </c>
      <c r="AC46">
        <v>0</v>
      </c>
      <c r="AD46">
        <v>0</v>
      </c>
      <c r="AE46">
        <v>0</v>
      </c>
      <c r="AF46">
        <v>0</v>
      </c>
      <c r="AG46">
        <v>0</v>
      </c>
      <c r="AH46">
        <v>0</v>
      </c>
      <c r="AI46">
        <v>0</v>
      </c>
      <c r="AJ46">
        <v>0</v>
      </c>
      <c r="AK46">
        <v>0</v>
      </c>
      <c r="AL46">
        <v>0</v>
      </c>
      <c r="AM46">
        <v>0</v>
      </c>
      <c r="AN46">
        <v>0</v>
      </c>
      <c r="AO46">
        <v>0</v>
      </c>
      <c r="AP46">
        <v>0</v>
      </c>
      <c r="AQ46">
        <v>0</v>
      </c>
      <c r="AR46">
        <v>0</v>
      </c>
      <c r="AS46">
        <v>2</v>
      </c>
      <c r="AT46">
        <v>0</v>
      </c>
      <c r="AU46">
        <v>0</v>
      </c>
      <c r="AV46">
        <v>0</v>
      </c>
      <c r="AW46">
        <v>0</v>
      </c>
      <c r="AX46">
        <v>0</v>
      </c>
      <c r="AY46">
        <v>0</v>
      </c>
    </row>
    <row r="47" spans="1:51">
      <c r="A47" t="s">
        <v>3102</v>
      </c>
      <c r="B47" s="82">
        <v>1</v>
      </c>
      <c r="C47" t="s">
        <v>3294</v>
      </c>
      <c r="D47">
        <v>1</v>
      </c>
      <c r="E47">
        <v>1068638</v>
      </c>
      <c r="F47">
        <v>1</v>
      </c>
      <c r="G47">
        <v>62</v>
      </c>
      <c r="H47">
        <v>1.83</v>
      </c>
      <c r="I47">
        <v>55</v>
      </c>
      <c r="K47">
        <v>16.4233031741766</v>
      </c>
      <c r="L47">
        <v>78</v>
      </c>
      <c r="M47">
        <v>88.943</v>
      </c>
      <c r="N47">
        <v>89.4169</v>
      </c>
      <c r="O47">
        <v>31.5516</v>
      </c>
      <c r="P47">
        <v>27.6352</v>
      </c>
      <c r="Q47">
        <v>0.875873172834341</v>
      </c>
      <c r="R47">
        <v>26.7003792290006</v>
      </c>
      <c r="S47">
        <v>9.42148168055182</v>
      </c>
      <c r="T47">
        <v>8.25202305234555</v>
      </c>
      <c r="U47">
        <v>17.6735047328974</v>
      </c>
      <c r="V47">
        <v>-0.4207258834766</v>
      </c>
      <c r="X47" s="60">
        <v>0.513888888888889</v>
      </c>
      <c r="Y47">
        <v>18.5</v>
      </c>
      <c r="Z47">
        <v>0.01</v>
      </c>
      <c r="AA47">
        <v>4</v>
      </c>
      <c r="AB47">
        <v>3</v>
      </c>
      <c r="AC47">
        <v>1</v>
      </c>
      <c r="AD47">
        <v>1</v>
      </c>
      <c r="AE47">
        <v>1</v>
      </c>
      <c r="AF47">
        <v>1</v>
      </c>
      <c r="AG47">
        <v>1</v>
      </c>
      <c r="AH47">
        <v>1</v>
      </c>
      <c r="AI47">
        <v>1</v>
      </c>
      <c r="AJ47">
        <v>1</v>
      </c>
      <c r="AK47">
        <v>1</v>
      </c>
      <c r="AL47">
        <v>1</v>
      </c>
      <c r="AM47">
        <v>1</v>
      </c>
      <c r="AN47">
        <v>1</v>
      </c>
      <c r="AO47">
        <v>0</v>
      </c>
      <c r="AP47">
        <v>1</v>
      </c>
      <c r="AQ47">
        <v>1</v>
      </c>
      <c r="AR47">
        <v>0</v>
      </c>
      <c r="AS47">
        <v>1</v>
      </c>
      <c r="AT47">
        <v>0.5</v>
      </c>
      <c r="AU47">
        <v>0.5</v>
      </c>
      <c r="AV47">
        <v>1</v>
      </c>
      <c r="AW47">
        <v>1</v>
      </c>
      <c r="AX47">
        <v>0</v>
      </c>
      <c r="AY47">
        <v>0.5</v>
      </c>
    </row>
    <row r="48" spans="1:51">
      <c r="A48" t="s">
        <v>150</v>
      </c>
      <c r="B48" s="82" t="s">
        <v>3295</v>
      </c>
      <c r="C48" t="s">
        <v>151</v>
      </c>
      <c r="D48">
        <v>0</v>
      </c>
      <c r="E48">
        <v>1068378</v>
      </c>
      <c r="F48">
        <v>1</v>
      </c>
      <c r="G48">
        <v>37</v>
      </c>
      <c r="H48">
        <v>1.72</v>
      </c>
      <c r="I48">
        <v>100</v>
      </c>
      <c r="K48">
        <v>33.802055164954</v>
      </c>
      <c r="L48">
        <v>115</v>
      </c>
      <c r="V48">
        <v>-0.542728237791932</v>
      </c>
      <c r="W48">
        <v>39.8</v>
      </c>
      <c r="X48" s="60">
        <v>0</v>
      </c>
      <c r="Y48">
        <v>0</v>
      </c>
      <c r="Z48">
        <v>6.25</v>
      </c>
      <c r="AA48">
        <v>2</v>
      </c>
      <c r="AB48">
        <v>3</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row>
    <row r="49" spans="1:51">
      <c r="A49" t="s">
        <v>153</v>
      </c>
      <c r="B49" s="82">
        <v>2</v>
      </c>
      <c r="C49" t="s">
        <v>154</v>
      </c>
      <c r="D49">
        <v>0</v>
      </c>
      <c r="E49">
        <v>1000696</v>
      </c>
      <c r="F49">
        <v>1</v>
      </c>
      <c r="G49">
        <v>62</v>
      </c>
      <c r="L49">
        <v>105</v>
      </c>
      <c r="M49">
        <v>105.59</v>
      </c>
      <c r="N49">
        <v>146.1239</v>
      </c>
      <c r="O49">
        <v>99.4238</v>
      </c>
      <c r="P49">
        <v>258.3169</v>
      </c>
      <c r="Q49">
        <v>2.59813947968193</v>
      </c>
      <c r="V49">
        <v>-0.48489932885906</v>
      </c>
      <c r="X49" s="60">
        <v>0.458333333333333</v>
      </c>
      <c r="Y49">
        <v>16.5</v>
      </c>
      <c r="Z49">
        <v>0.01</v>
      </c>
      <c r="AA49">
        <v>6</v>
      </c>
      <c r="AB49">
        <v>3</v>
      </c>
      <c r="AC49">
        <v>1</v>
      </c>
      <c r="AD49">
        <v>1</v>
      </c>
      <c r="AE49">
        <v>1</v>
      </c>
      <c r="AF49">
        <v>1</v>
      </c>
      <c r="AG49">
        <v>1</v>
      </c>
      <c r="AH49">
        <v>1</v>
      </c>
      <c r="AI49">
        <v>1</v>
      </c>
      <c r="AJ49">
        <v>1</v>
      </c>
      <c r="AK49">
        <v>1</v>
      </c>
      <c r="AL49">
        <v>1</v>
      </c>
      <c r="AM49">
        <v>1</v>
      </c>
      <c r="AN49">
        <v>1</v>
      </c>
      <c r="AO49">
        <v>0</v>
      </c>
      <c r="AP49">
        <v>0.5</v>
      </c>
      <c r="AQ49">
        <v>0</v>
      </c>
      <c r="AR49">
        <v>0</v>
      </c>
      <c r="AS49">
        <v>1</v>
      </c>
      <c r="AT49">
        <v>0</v>
      </c>
      <c r="AU49">
        <v>0</v>
      </c>
      <c r="AV49">
        <v>1</v>
      </c>
      <c r="AW49">
        <v>1</v>
      </c>
      <c r="AX49">
        <v>0</v>
      </c>
      <c r="AY49">
        <v>1</v>
      </c>
    </row>
    <row r="50" spans="1:51">
      <c r="A50" t="s">
        <v>130</v>
      </c>
      <c r="B50" s="82">
        <v>5</v>
      </c>
      <c r="C50" t="s">
        <v>156</v>
      </c>
      <c r="D50">
        <v>1</v>
      </c>
      <c r="E50">
        <v>1066930</v>
      </c>
      <c r="F50">
        <v>2</v>
      </c>
      <c r="G50">
        <v>50</v>
      </c>
      <c r="H50">
        <v>1.66</v>
      </c>
      <c r="I50">
        <v>67</v>
      </c>
      <c r="K50">
        <v>24.3141239657425</v>
      </c>
      <c r="L50">
        <v>70</v>
      </c>
      <c r="V50">
        <v>-0.484555984555985</v>
      </c>
      <c r="W50">
        <v>26.2</v>
      </c>
      <c r="X50" s="60">
        <v>0</v>
      </c>
      <c r="Y50">
        <v>0</v>
      </c>
      <c r="Z50">
        <v>5.65</v>
      </c>
      <c r="AA50">
        <v>0</v>
      </c>
      <c r="AB50">
        <v>1</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row>
    <row r="51" spans="1:51">
      <c r="A51" t="s">
        <v>121</v>
      </c>
      <c r="B51" s="82">
        <v>3</v>
      </c>
      <c r="C51" t="s">
        <v>122</v>
      </c>
      <c r="D51">
        <v>1</v>
      </c>
      <c r="E51">
        <v>1066318</v>
      </c>
      <c r="F51">
        <v>2</v>
      </c>
      <c r="G51">
        <v>68</v>
      </c>
      <c r="H51">
        <v>1.65</v>
      </c>
      <c r="I51">
        <v>63</v>
      </c>
      <c r="K51">
        <v>23.1404958677686</v>
      </c>
      <c r="L51">
        <v>71</v>
      </c>
      <c r="M51">
        <v>80.603</v>
      </c>
      <c r="N51">
        <v>106.3727</v>
      </c>
      <c r="O51">
        <v>107.4685</v>
      </c>
      <c r="P51">
        <v>105.9253</v>
      </c>
      <c r="Q51">
        <v>0.985640443478787</v>
      </c>
      <c r="R51">
        <v>39.0716988062443</v>
      </c>
      <c r="S51">
        <v>39.4741965105602</v>
      </c>
      <c r="T51">
        <v>38.9073645546373</v>
      </c>
      <c r="U51">
        <v>78.3815610651974</v>
      </c>
      <c r="V51">
        <v>-0.232121212121212</v>
      </c>
      <c r="W51">
        <v>12.5</v>
      </c>
      <c r="X51" s="60">
        <v>0.361111111111111</v>
      </c>
      <c r="Y51">
        <v>13</v>
      </c>
      <c r="Z51">
        <v>0.01</v>
      </c>
      <c r="AA51">
        <v>0</v>
      </c>
      <c r="AB51">
        <v>1</v>
      </c>
      <c r="AC51">
        <v>0</v>
      </c>
      <c r="AD51">
        <v>1</v>
      </c>
      <c r="AE51">
        <v>1</v>
      </c>
      <c r="AF51">
        <v>1</v>
      </c>
      <c r="AG51">
        <v>1</v>
      </c>
      <c r="AH51">
        <v>1</v>
      </c>
      <c r="AI51">
        <v>1</v>
      </c>
      <c r="AJ51">
        <v>1</v>
      </c>
      <c r="AK51">
        <v>1</v>
      </c>
      <c r="AL51">
        <v>1</v>
      </c>
      <c r="AM51">
        <v>1</v>
      </c>
      <c r="AN51">
        <v>1</v>
      </c>
      <c r="AO51">
        <v>0</v>
      </c>
      <c r="AP51">
        <v>0</v>
      </c>
      <c r="AQ51">
        <v>0</v>
      </c>
      <c r="AR51">
        <v>0</v>
      </c>
      <c r="AS51">
        <v>1</v>
      </c>
      <c r="AT51">
        <v>0</v>
      </c>
      <c r="AU51">
        <v>0</v>
      </c>
      <c r="AV51">
        <v>0</v>
      </c>
      <c r="AW51">
        <v>0</v>
      </c>
      <c r="AX51">
        <v>0</v>
      </c>
      <c r="AY51">
        <v>1</v>
      </c>
    </row>
    <row r="52" spans="1:51">
      <c r="A52" t="s">
        <v>158</v>
      </c>
      <c r="B52" s="82">
        <v>5</v>
      </c>
      <c r="C52" t="s">
        <v>159</v>
      </c>
      <c r="D52">
        <v>1</v>
      </c>
      <c r="E52">
        <v>1060639</v>
      </c>
      <c r="F52">
        <v>1</v>
      </c>
      <c r="G52">
        <v>53</v>
      </c>
      <c r="M52">
        <v>99.273</v>
      </c>
      <c r="N52">
        <v>127.7723</v>
      </c>
      <c r="O52">
        <v>148.49</v>
      </c>
      <c r="P52">
        <v>147.4269</v>
      </c>
      <c r="Q52">
        <v>0.992840595326284</v>
      </c>
      <c r="V52">
        <v>-0.396637891867333</v>
      </c>
      <c r="X52" s="60">
        <v>0</v>
      </c>
      <c r="Y52">
        <v>0</v>
      </c>
      <c r="Z52">
        <v>0.01</v>
      </c>
      <c r="AA52">
        <v>6</v>
      </c>
      <c r="AB52">
        <v>3</v>
      </c>
    </row>
    <row r="53" spans="1:51">
      <c r="A53" t="s">
        <v>160</v>
      </c>
      <c r="B53" s="82">
        <v>2</v>
      </c>
      <c r="C53" t="s">
        <v>161</v>
      </c>
      <c r="D53">
        <v>0</v>
      </c>
      <c r="E53">
        <v>1069996</v>
      </c>
      <c r="F53">
        <v>1</v>
      </c>
      <c r="G53">
        <v>72</v>
      </c>
      <c r="H53">
        <v>1.74</v>
      </c>
      <c r="I53">
        <v>80</v>
      </c>
      <c r="K53">
        <v>26.42</v>
      </c>
      <c r="L53">
        <v>104</v>
      </c>
      <c r="M53">
        <v>103.32</v>
      </c>
      <c r="N53">
        <v>166.0795</v>
      </c>
      <c r="O53">
        <v>165.7916</v>
      </c>
      <c r="P53">
        <v>240.0275</v>
      </c>
      <c r="Q53">
        <v>1.44776635245694</v>
      </c>
      <c r="R53">
        <v>54.8551658079006</v>
      </c>
      <c r="S53">
        <v>54.7600739859955</v>
      </c>
      <c r="T53">
        <v>79.2797925749769</v>
      </c>
      <c r="U53">
        <v>134.039866560972</v>
      </c>
      <c r="V53">
        <v>-0.441798941798942</v>
      </c>
      <c r="W53">
        <v>30.3</v>
      </c>
      <c r="X53" s="60">
        <v>0.125</v>
      </c>
      <c r="Y53">
        <v>4.5</v>
      </c>
      <c r="AC53">
        <v>0</v>
      </c>
      <c r="AD53">
        <v>0</v>
      </c>
      <c r="AE53">
        <v>0</v>
      </c>
      <c r="AF53">
        <v>0</v>
      </c>
      <c r="AG53">
        <v>0</v>
      </c>
      <c r="AH53">
        <v>0</v>
      </c>
      <c r="AI53">
        <v>0</v>
      </c>
      <c r="AJ53">
        <v>0</v>
      </c>
      <c r="AK53">
        <v>0</v>
      </c>
      <c r="AL53">
        <v>0</v>
      </c>
      <c r="AM53">
        <v>0</v>
      </c>
      <c r="AN53">
        <v>1</v>
      </c>
      <c r="AO53">
        <v>0</v>
      </c>
      <c r="AP53">
        <v>0</v>
      </c>
      <c r="AQ53">
        <v>0</v>
      </c>
      <c r="AR53">
        <v>0</v>
      </c>
      <c r="AS53">
        <v>1</v>
      </c>
      <c r="AT53">
        <v>0</v>
      </c>
      <c r="AU53">
        <v>0</v>
      </c>
      <c r="AV53">
        <v>1</v>
      </c>
      <c r="AW53">
        <v>1</v>
      </c>
      <c r="AX53">
        <v>0</v>
      </c>
      <c r="AY53">
        <v>0.5</v>
      </c>
    </row>
    <row r="54" spans="1:51">
      <c r="A54" t="s">
        <v>351</v>
      </c>
      <c r="B54" s="82">
        <v>5</v>
      </c>
      <c r="C54" t="s">
        <v>3296</v>
      </c>
      <c r="D54">
        <v>1</v>
      </c>
      <c r="E54">
        <v>1070404</v>
      </c>
      <c r="F54">
        <v>1</v>
      </c>
      <c r="G54">
        <v>56</v>
      </c>
      <c r="H54">
        <v>1.63</v>
      </c>
      <c r="I54">
        <v>73</v>
      </c>
      <c r="K54">
        <v>27.4756294930182</v>
      </c>
      <c r="L54">
        <v>76</v>
      </c>
      <c r="M54">
        <v>99.832</v>
      </c>
      <c r="N54">
        <v>170.3031</v>
      </c>
      <c r="O54">
        <v>129.5999</v>
      </c>
      <c r="P54">
        <v>91.7028</v>
      </c>
      <c r="Q54">
        <v>0.707583879308549</v>
      </c>
      <c r="R54">
        <v>64.0984229741428</v>
      </c>
      <c r="S54">
        <v>48.7786141744138</v>
      </c>
      <c r="T54">
        <v>34.5149610448267</v>
      </c>
      <c r="U54">
        <v>83.2935752192405</v>
      </c>
      <c r="V54">
        <v>-0.701264880952381</v>
      </c>
      <c r="W54">
        <v>23.2</v>
      </c>
      <c r="X54" s="60">
        <v>0.388888888888889</v>
      </c>
      <c r="Y54">
        <v>14</v>
      </c>
      <c r="Z54">
        <v>0.01</v>
      </c>
      <c r="AA54">
        <v>6</v>
      </c>
      <c r="AB54">
        <v>3</v>
      </c>
      <c r="AC54">
        <v>0</v>
      </c>
      <c r="AD54">
        <v>1</v>
      </c>
      <c r="AE54">
        <v>1</v>
      </c>
      <c r="AF54">
        <v>1</v>
      </c>
      <c r="AG54">
        <v>1</v>
      </c>
      <c r="AH54">
        <v>0</v>
      </c>
      <c r="AI54">
        <v>1</v>
      </c>
      <c r="AJ54">
        <v>1</v>
      </c>
      <c r="AK54">
        <v>1</v>
      </c>
      <c r="AL54">
        <v>1</v>
      </c>
      <c r="AM54">
        <v>1</v>
      </c>
      <c r="AN54">
        <v>1</v>
      </c>
      <c r="AO54">
        <v>0</v>
      </c>
      <c r="AP54">
        <v>0.5</v>
      </c>
      <c r="AQ54">
        <v>1</v>
      </c>
      <c r="AR54">
        <v>0</v>
      </c>
      <c r="AS54">
        <v>1</v>
      </c>
      <c r="AT54">
        <v>0.5</v>
      </c>
      <c r="AU54">
        <v>0.5</v>
      </c>
      <c r="AV54">
        <v>0</v>
      </c>
      <c r="AW54">
        <v>0</v>
      </c>
      <c r="AX54">
        <v>0</v>
      </c>
      <c r="AY54">
        <v>0.5</v>
      </c>
    </row>
    <row r="55" spans="1:51">
      <c r="A55" t="s">
        <v>163</v>
      </c>
      <c r="B55" s="82">
        <v>4</v>
      </c>
      <c r="C55" s="71" t="s">
        <v>164</v>
      </c>
      <c r="D55">
        <v>0</v>
      </c>
      <c r="E55">
        <v>1071164</v>
      </c>
      <c r="F55">
        <v>2</v>
      </c>
      <c r="G55">
        <v>62</v>
      </c>
      <c r="H55">
        <v>1.55</v>
      </c>
      <c r="I55">
        <v>56</v>
      </c>
      <c r="K55">
        <v>23.309053069719</v>
      </c>
      <c r="L55">
        <v>83</v>
      </c>
      <c r="M55">
        <v>80.441</v>
      </c>
      <c r="N55">
        <v>110.3193</v>
      </c>
      <c r="O55">
        <v>112.5846</v>
      </c>
      <c r="P55">
        <v>68.3306</v>
      </c>
      <c r="Q55">
        <v>0.606926702231034</v>
      </c>
      <c r="R55">
        <v>45.9185431841831</v>
      </c>
      <c r="S55">
        <v>46.8614360041623</v>
      </c>
      <c r="T55">
        <v>28.4414568158169</v>
      </c>
      <c r="U55">
        <v>75.3028928199792</v>
      </c>
      <c r="V55">
        <v>-0.582417582417582</v>
      </c>
      <c r="W55">
        <v>24.7</v>
      </c>
      <c r="X55" s="60">
        <v>0.0694444444444444</v>
      </c>
      <c r="Y55">
        <v>2.5</v>
      </c>
      <c r="Z55">
        <v>6.3</v>
      </c>
      <c r="AA55">
        <v>4</v>
      </c>
      <c r="AB55">
        <v>3</v>
      </c>
      <c r="AC55">
        <v>0</v>
      </c>
      <c r="AD55">
        <v>0</v>
      </c>
      <c r="AE55">
        <v>0</v>
      </c>
      <c r="AF55">
        <v>0</v>
      </c>
      <c r="AG55">
        <v>0</v>
      </c>
      <c r="AH55">
        <v>0</v>
      </c>
      <c r="AI55">
        <v>0</v>
      </c>
      <c r="AJ55">
        <v>0</v>
      </c>
      <c r="AK55">
        <v>0</v>
      </c>
      <c r="AL55">
        <v>0</v>
      </c>
      <c r="AM55">
        <v>0</v>
      </c>
      <c r="AN55">
        <v>1</v>
      </c>
      <c r="AO55">
        <v>0</v>
      </c>
      <c r="AP55">
        <v>0.5</v>
      </c>
      <c r="AQ55">
        <v>0</v>
      </c>
      <c r="AR55">
        <v>0</v>
      </c>
      <c r="AS55">
        <v>0</v>
      </c>
      <c r="AT55">
        <v>0</v>
      </c>
      <c r="AU55">
        <v>0</v>
      </c>
      <c r="AV55">
        <v>0</v>
      </c>
      <c r="AW55">
        <v>1</v>
      </c>
      <c r="AX55">
        <v>0</v>
      </c>
      <c r="AY55">
        <v>0</v>
      </c>
    </row>
    <row r="56" spans="1:51">
      <c r="A56" t="s">
        <v>166</v>
      </c>
      <c r="B56" s="82">
        <v>5</v>
      </c>
      <c r="C56" s="45" t="s">
        <v>167</v>
      </c>
      <c r="D56" s="45">
        <v>1</v>
      </c>
      <c r="E56">
        <v>922431</v>
      </c>
      <c r="F56">
        <v>1</v>
      </c>
      <c r="G56">
        <v>70</v>
      </c>
      <c r="H56">
        <v>1.74</v>
      </c>
      <c r="I56">
        <v>90</v>
      </c>
      <c r="K56">
        <v>29.7265160523187</v>
      </c>
      <c r="L56">
        <v>107</v>
      </c>
      <c r="W56">
        <v>30.2</v>
      </c>
      <c r="X56" s="60">
        <v>0.138888888888889</v>
      </c>
      <c r="Y56">
        <v>5</v>
      </c>
      <c r="AC56">
        <v>0</v>
      </c>
      <c r="AD56">
        <v>0</v>
      </c>
      <c r="AE56">
        <v>0</v>
      </c>
      <c r="AF56">
        <v>0</v>
      </c>
      <c r="AG56">
        <v>0</v>
      </c>
      <c r="AH56">
        <v>0</v>
      </c>
      <c r="AI56">
        <v>0</v>
      </c>
      <c r="AJ56">
        <v>0</v>
      </c>
      <c r="AK56">
        <v>0</v>
      </c>
      <c r="AL56">
        <v>0</v>
      </c>
      <c r="AM56">
        <v>0</v>
      </c>
      <c r="AN56">
        <v>0</v>
      </c>
      <c r="AO56">
        <v>0</v>
      </c>
      <c r="AP56">
        <v>0.5</v>
      </c>
      <c r="AQ56">
        <v>0</v>
      </c>
      <c r="AR56">
        <v>0</v>
      </c>
      <c r="AS56">
        <v>2</v>
      </c>
      <c r="AT56">
        <v>0</v>
      </c>
      <c r="AU56">
        <v>0.5</v>
      </c>
      <c r="AV56">
        <v>1</v>
      </c>
      <c r="AW56">
        <v>1</v>
      </c>
      <c r="AX56">
        <v>0</v>
      </c>
      <c r="AY56">
        <v>0</v>
      </c>
    </row>
    <row r="57" spans="1:51">
      <c r="A57" t="s">
        <v>169</v>
      </c>
      <c r="B57" s="82">
        <v>5</v>
      </c>
      <c r="C57" s="45" t="s">
        <v>167</v>
      </c>
      <c r="D57" s="45">
        <v>1</v>
      </c>
      <c r="E57">
        <v>1070369</v>
      </c>
      <c r="F57">
        <v>2</v>
      </c>
      <c r="G57">
        <v>66</v>
      </c>
      <c r="H57">
        <v>1.6</v>
      </c>
      <c r="I57">
        <v>65</v>
      </c>
      <c r="K57">
        <v>25.390625</v>
      </c>
      <c r="L57">
        <v>89</v>
      </c>
      <c r="W57">
        <v>12</v>
      </c>
      <c r="X57" s="60">
        <v>0.0694444444444444</v>
      </c>
      <c r="Y57">
        <v>2.5</v>
      </c>
      <c r="AA57">
        <v>0</v>
      </c>
      <c r="AB57">
        <v>1</v>
      </c>
      <c r="AC57">
        <v>0</v>
      </c>
      <c r="AD57">
        <v>0</v>
      </c>
      <c r="AE57">
        <v>0</v>
      </c>
      <c r="AF57">
        <v>0</v>
      </c>
      <c r="AG57">
        <v>0</v>
      </c>
      <c r="AH57">
        <v>0</v>
      </c>
      <c r="AI57">
        <v>1</v>
      </c>
      <c r="AJ57">
        <v>0</v>
      </c>
      <c r="AK57">
        <v>0</v>
      </c>
      <c r="AL57">
        <v>0</v>
      </c>
      <c r="AM57">
        <v>0</v>
      </c>
      <c r="AN57">
        <v>0</v>
      </c>
      <c r="AO57">
        <v>0</v>
      </c>
      <c r="AP57">
        <v>0.5</v>
      </c>
      <c r="AQ57">
        <v>0</v>
      </c>
      <c r="AR57">
        <v>0</v>
      </c>
      <c r="AS57">
        <v>0</v>
      </c>
      <c r="AT57">
        <v>0</v>
      </c>
      <c r="AU57">
        <v>0</v>
      </c>
      <c r="AV57">
        <v>1</v>
      </c>
      <c r="AW57">
        <v>0</v>
      </c>
      <c r="AX57">
        <v>0</v>
      </c>
      <c r="AY57">
        <v>0</v>
      </c>
    </row>
    <row r="58" spans="1:51">
      <c r="A58" t="s">
        <v>85</v>
      </c>
      <c r="B58" s="82">
        <v>5</v>
      </c>
      <c r="C58" t="s">
        <v>172</v>
      </c>
      <c r="D58">
        <v>1</v>
      </c>
      <c r="E58">
        <v>1060027</v>
      </c>
      <c r="F58">
        <v>2</v>
      </c>
      <c r="G58">
        <v>38</v>
      </c>
      <c r="H58">
        <v>1.62</v>
      </c>
      <c r="I58">
        <v>84</v>
      </c>
      <c r="K58">
        <v>32.0073159579332</v>
      </c>
      <c r="L58" t="s">
        <v>1571</v>
      </c>
      <c r="M58">
        <v>85.082</v>
      </c>
      <c r="N58">
        <v>112.9839</v>
      </c>
      <c r="O58">
        <v>47.5525</v>
      </c>
      <c r="P58">
        <v>28.3464</v>
      </c>
      <c r="Q58">
        <v>0.596107460175595</v>
      </c>
      <c r="R58">
        <v>43.0513260173754</v>
      </c>
      <c r="S58">
        <v>18.1193796677336</v>
      </c>
      <c r="T58">
        <v>10.80109739369</v>
      </c>
      <c r="U58">
        <v>28.9204770614236</v>
      </c>
      <c r="V58">
        <v>-1.04100652376514</v>
      </c>
      <c r="X58" s="60">
        <v>0</v>
      </c>
      <c r="Y58">
        <v>0</v>
      </c>
      <c r="Z58">
        <v>4.745</v>
      </c>
      <c r="AA58">
        <v>0</v>
      </c>
      <c r="AB58">
        <v>1</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row>
    <row r="59" spans="1:51">
      <c r="A59" t="s">
        <v>174</v>
      </c>
      <c r="B59" s="82" t="s">
        <v>3297</v>
      </c>
      <c r="C59" t="s">
        <v>175</v>
      </c>
      <c r="D59">
        <v>0</v>
      </c>
      <c r="E59">
        <v>1063793</v>
      </c>
      <c r="F59">
        <v>2</v>
      </c>
      <c r="G59">
        <v>64</v>
      </c>
      <c r="H59">
        <v>1.6</v>
      </c>
      <c r="I59">
        <v>44</v>
      </c>
      <c r="K59">
        <v>17.1875</v>
      </c>
      <c r="L59">
        <v>79</v>
      </c>
      <c r="M59">
        <v>78.793</v>
      </c>
      <c r="N59">
        <v>92.2022</v>
      </c>
      <c r="O59">
        <v>75.3902</v>
      </c>
      <c r="P59">
        <v>48.2329</v>
      </c>
      <c r="Q59">
        <v>0.639776787964484</v>
      </c>
      <c r="R59">
        <v>36.016484375</v>
      </c>
      <c r="S59">
        <v>29.449296875</v>
      </c>
      <c r="T59">
        <v>18.8409765625</v>
      </c>
      <c r="U59">
        <v>48.2902734375</v>
      </c>
      <c r="V59">
        <v>-0.601069246435845</v>
      </c>
      <c r="W59">
        <v>11.5</v>
      </c>
      <c r="X59" s="60">
        <v>0.0833333333333333</v>
      </c>
      <c r="Y59">
        <v>3</v>
      </c>
      <c r="Z59">
        <v>6.84</v>
      </c>
      <c r="AA59">
        <v>6</v>
      </c>
      <c r="AB59">
        <v>3</v>
      </c>
      <c r="AC59">
        <v>0</v>
      </c>
      <c r="AD59">
        <v>0</v>
      </c>
      <c r="AE59">
        <v>0</v>
      </c>
      <c r="AF59">
        <v>0</v>
      </c>
      <c r="AG59">
        <v>0</v>
      </c>
      <c r="AH59">
        <v>0</v>
      </c>
      <c r="AI59">
        <v>0</v>
      </c>
      <c r="AJ59">
        <v>0</v>
      </c>
      <c r="AK59">
        <v>0</v>
      </c>
      <c r="AL59">
        <v>0</v>
      </c>
      <c r="AM59">
        <v>0</v>
      </c>
      <c r="AN59">
        <v>1</v>
      </c>
      <c r="AO59">
        <v>0</v>
      </c>
      <c r="AP59">
        <v>0</v>
      </c>
      <c r="AQ59">
        <v>0</v>
      </c>
      <c r="AR59">
        <v>0</v>
      </c>
      <c r="AS59">
        <v>0</v>
      </c>
      <c r="AT59">
        <v>0</v>
      </c>
      <c r="AU59">
        <v>1</v>
      </c>
      <c r="AV59">
        <v>0</v>
      </c>
      <c r="AW59">
        <v>1</v>
      </c>
      <c r="AX59">
        <v>0</v>
      </c>
      <c r="AY59">
        <v>0</v>
      </c>
    </row>
    <row r="60" spans="1:51">
      <c r="A60" t="s">
        <v>177</v>
      </c>
      <c r="B60" s="82">
        <v>1</v>
      </c>
      <c r="C60" t="s">
        <v>178</v>
      </c>
      <c r="D60">
        <v>1</v>
      </c>
      <c r="E60">
        <v>808456</v>
      </c>
      <c r="F60">
        <v>1</v>
      </c>
      <c r="G60">
        <v>40</v>
      </c>
      <c r="H60">
        <v>1.74</v>
      </c>
      <c r="I60">
        <v>74</v>
      </c>
      <c r="K60">
        <v>24.441802087462</v>
      </c>
      <c r="L60">
        <v>94</v>
      </c>
      <c r="W60">
        <v>47.1</v>
      </c>
      <c r="X60" s="60">
        <v>0</v>
      </c>
      <c r="Y60">
        <v>0</v>
      </c>
      <c r="Z60">
        <v>5.605</v>
      </c>
      <c r="AA60">
        <v>0</v>
      </c>
      <c r="AB60">
        <v>1</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row>
    <row r="61" spans="1:51">
      <c r="A61" t="s">
        <v>179</v>
      </c>
      <c r="B61" s="82">
        <v>1</v>
      </c>
      <c r="C61" t="s">
        <v>180</v>
      </c>
      <c r="D61">
        <v>1</v>
      </c>
      <c r="E61">
        <v>1064060</v>
      </c>
      <c r="F61">
        <v>2</v>
      </c>
      <c r="G61">
        <v>51</v>
      </c>
      <c r="H61">
        <v>1.58</v>
      </c>
      <c r="I61">
        <v>68</v>
      </c>
      <c r="K61">
        <v>27.2392244832559</v>
      </c>
      <c r="L61">
        <v>97</v>
      </c>
      <c r="M61">
        <v>96.143</v>
      </c>
      <c r="N61">
        <v>110.4045</v>
      </c>
      <c r="O61">
        <v>84.0841</v>
      </c>
      <c r="P61">
        <v>53.9084</v>
      </c>
      <c r="Q61">
        <v>0.641124778644238</v>
      </c>
      <c r="R61">
        <v>44.2254846979651</v>
      </c>
      <c r="S61">
        <v>33.6821422848902</v>
      </c>
      <c r="T61">
        <v>21.594456016664</v>
      </c>
      <c r="U61">
        <v>55.2765983015542</v>
      </c>
      <c r="V61">
        <v>-0.698080877313228</v>
      </c>
      <c r="W61">
        <v>24.3</v>
      </c>
      <c r="X61" s="60">
        <v>0.0555555555555556</v>
      </c>
      <c r="Y61">
        <v>2</v>
      </c>
      <c r="Z61">
        <v>6.55</v>
      </c>
      <c r="AA61">
        <v>1</v>
      </c>
      <c r="AB61">
        <v>2</v>
      </c>
      <c r="AC61">
        <v>0</v>
      </c>
      <c r="AD61">
        <v>0</v>
      </c>
      <c r="AE61">
        <v>0</v>
      </c>
      <c r="AF61">
        <v>0</v>
      </c>
      <c r="AG61">
        <v>0</v>
      </c>
      <c r="AH61">
        <v>0</v>
      </c>
      <c r="AI61">
        <v>0</v>
      </c>
      <c r="AJ61">
        <v>0</v>
      </c>
      <c r="AK61">
        <v>0</v>
      </c>
      <c r="AL61">
        <v>0</v>
      </c>
      <c r="AM61">
        <v>0</v>
      </c>
      <c r="AN61">
        <v>1</v>
      </c>
      <c r="AO61">
        <v>0</v>
      </c>
      <c r="AP61">
        <v>0</v>
      </c>
      <c r="AQ61">
        <v>0</v>
      </c>
      <c r="AR61">
        <v>0</v>
      </c>
      <c r="AS61">
        <v>0</v>
      </c>
      <c r="AT61">
        <v>0</v>
      </c>
      <c r="AU61">
        <v>1</v>
      </c>
      <c r="AV61">
        <v>0</v>
      </c>
      <c r="AW61">
        <v>0</v>
      </c>
      <c r="AX61">
        <v>0</v>
      </c>
      <c r="AY61">
        <v>0</v>
      </c>
    </row>
    <row r="62" spans="1:51">
      <c r="A62" t="s">
        <v>3105</v>
      </c>
      <c r="B62" s="82">
        <v>5</v>
      </c>
      <c r="C62" t="s">
        <v>3298</v>
      </c>
      <c r="D62">
        <v>1</v>
      </c>
      <c r="E62">
        <v>1062373</v>
      </c>
      <c r="F62">
        <v>2</v>
      </c>
      <c r="G62">
        <v>76</v>
      </c>
      <c r="H62">
        <v>1.52</v>
      </c>
      <c r="I62">
        <v>54</v>
      </c>
      <c r="K62">
        <v>23.3725761772853</v>
      </c>
      <c r="L62">
        <v>78</v>
      </c>
      <c r="M62">
        <v>84.259</v>
      </c>
      <c r="N62">
        <v>105.4331</v>
      </c>
      <c r="O62">
        <v>116.9691</v>
      </c>
      <c r="P62">
        <v>71.1077</v>
      </c>
      <c r="Q62">
        <v>0.607918672538303</v>
      </c>
      <c r="R62">
        <v>45.6341326177285</v>
      </c>
      <c r="S62">
        <v>50.6272074099723</v>
      </c>
      <c r="T62">
        <v>30.7772247229917</v>
      </c>
      <c r="U62">
        <v>81.404432132964</v>
      </c>
      <c r="V62">
        <v>-0.439477649422401</v>
      </c>
      <c r="W62">
        <v>8.8</v>
      </c>
      <c r="X62" s="60">
        <v>0.0555555555555556</v>
      </c>
      <c r="Y62">
        <v>2</v>
      </c>
      <c r="Z62">
        <v>0.01</v>
      </c>
      <c r="AA62">
        <v>5</v>
      </c>
      <c r="AB62">
        <v>3</v>
      </c>
      <c r="AC62">
        <v>0</v>
      </c>
      <c r="AD62">
        <v>0</v>
      </c>
      <c r="AE62">
        <v>0</v>
      </c>
      <c r="AF62">
        <v>0</v>
      </c>
      <c r="AG62">
        <v>0</v>
      </c>
      <c r="AH62">
        <v>0</v>
      </c>
      <c r="AI62">
        <v>0</v>
      </c>
      <c r="AJ62">
        <v>0</v>
      </c>
      <c r="AK62">
        <v>0</v>
      </c>
      <c r="AL62">
        <v>0</v>
      </c>
      <c r="AM62">
        <v>0</v>
      </c>
      <c r="AN62">
        <v>0</v>
      </c>
      <c r="AO62">
        <v>0</v>
      </c>
      <c r="AP62">
        <v>0</v>
      </c>
      <c r="AQ62">
        <v>0</v>
      </c>
      <c r="AR62">
        <v>0</v>
      </c>
      <c r="AS62">
        <v>0</v>
      </c>
      <c r="AT62">
        <v>0</v>
      </c>
      <c r="AU62">
        <v>1</v>
      </c>
      <c r="AV62">
        <v>1</v>
      </c>
      <c r="AW62">
        <v>0</v>
      </c>
      <c r="AX62">
        <v>0</v>
      </c>
      <c r="AY62">
        <v>0</v>
      </c>
    </row>
    <row r="63" s="87" customFormat="1" spans="1:51">
      <c r="A63" s="87" t="s">
        <v>3106</v>
      </c>
      <c r="B63" s="90">
        <v>2</v>
      </c>
      <c r="C63" s="87" t="s">
        <v>3299</v>
      </c>
      <c r="D63" s="87">
        <v>0</v>
      </c>
      <c r="E63" s="87">
        <v>1063663</v>
      </c>
      <c r="F63" s="87">
        <v>1</v>
      </c>
      <c r="G63" s="87">
        <v>64</v>
      </c>
      <c r="H63" s="87">
        <v>1.65</v>
      </c>
      <c r="I63" s="87">
        <v>82</v>
      </c>
      <c r="K63" s="87">
        <v>30.119375573921</v>
      </c>
      <c r="L63" s="87">
        <v>107</v>
      </c>
      <c r="M63" s="87">
        <v>97.713</v>
      </c>
      <c r="N63" s="87">
        <v>170.5795</v>
      </c>
      <c r="O63" s="87">
        <v>140.9591</v>
      </c>
      <c r="P63" s="87">
        <v>195.0199</v>
      </c>
      <c r="Q63" s="87">
        <v>1.38352117741955</v>
      </c>
      <c r="R63" s="87">
        <v>62.655463728191</v>
      </c>
      <c r="S63" s="87">
        <v>51.7756106519743</v>
      </c>
      <c r="T63" s="87">
        <v>71.6326538108356</v>
      </c>
      <c r="U63" s="87">
        <v>123.40826446281</v>
      </c>
      <c r="V63" s="87">
        <v>-0.405184829572732</v>
      </c>
      <c r="W63" s="87">
        <v>24.3</v>
      </c>
      <c r="X63" s="91">
        <v>0.0555555555555556</v>
      </c>
      <c r="Y63" s="87">
        <v>2</v>
      </c>
      <c r="AA63" s="87">
        <v>6</v>
      </c>
      <c r="AB63" s="87">
        <v>3</v>
      </c>
      <c r="AC63" s="87">
        <v>1</v>
      </c>
      <c r="AD63" s="87">
        <v>0</v>
      </c>
      <c r="AE63" s="87">
        <v>0</v>
      </c>
      <c r="AF63" s="87">
        <v>0</v>
      </c>
      <c r="AG63" s="87">
        <v>0</v>
      </c>
      <c r="AH63" s="87">
        <v>0</v>
      </c>
      <c r="AI63" s="87">
        <v>0</v>
      </c>
      <c r="AJ63" s="87">
        <v>0</v>
      </c>
      <c r="AK63" s="87">
        <v>0</v>
      </c>
      <c r="AL63" s="87">
        <v>0</v>
      </c>
      <c r="AM63" s="87">
        <v>0</v>
      </c>
      <c r="AN63" s="87">
        <v>0</v>
      </c>
      <c r="AO63" s="87">
        <v>0</v>
      </c>
      <c r="AP63" s="87">
        <v>0</v>
      </c>
      <c r="AQ63" s="87">
        <v>0</v>
      </c>
      <c r="AR63" s="87">
        <v>0</v>
      </c>
      <c r="AS63" s="87">
        <v>0</v>
      </c>
      <c r="AT63" s="87">
        <v>0</v>
      </c>
      <c r="AU63" s="87">
        <v>1</v>
      </c>
      <c r="AV63" s="87">
        <v>0</v>
      </c>
      <c r="AW63" s="87">
        <v>0</v>
      </c>
      <c r="AX63" s="87">
        <v>0</v>
      </c>
      <c r="AY63" s="87">
        <v>0</v>
      </c>
    </row>
    <row r="64" spans="1:51">
      <c r="A64" t="s">
        <v>174</v>
      </c>
      <c r="B64" s="82" t="s">
        <v>3297</v>
      </c>
      <c r="C64" t="s">
        <v>182</v>
      </c>
      <c r="D64">
        <v>0</v>
      </c>
      <c r="E64">
        <v>1063793</v>
      </c>
      <c r="F64">
        <v>2</v>
      </c>
      <c r="G64">
        <v>64</v>
      </c>
      <c r="H64">
        <v>1.6</v>
      </c>
      <c r="I64">
        <v>44</v>
      </c>
      <c r="K64">
        <v>17.1875</v>
      </c>
      <c r="L64">
        <v>79</v>
      </c>
      <c r="M64">
        <v>78.793</v>
      </c>
      <c r="N64">
        <v>92.2022</v>
      </c>
      <c r="O64">
        <v>75.3902</v>
      </c>
      <c r="P64">
        <v>48.2329</v>
      </c>
      <c r="Q64">
        <v>0.639776787964484</v>
      </c>
      <c r="R64">
        <v>36.016484375</v>
      </c>
      <c r="S64">
        <v>29.449296875</v>
      </c>
      <c r="T64">
        <v>18.8409765625</v>
      </c>
      <c r="U64">
        <v>48.2902734375</v>
      </c>
      <c r="V64">
        <v>-0.601069246435845</v>
      </c>
      <c r="W64">
        <v>11.5</v>
      </c>
      <c r="X64" s="60">
        <v>0</v>
      </c>
      <c r="Y64">
        <v>0</v>
      </c>
      <c r="AA64">
        <v>6</v>
      </c>
      <c r="AB64">
        <v>3</v>
      </c>
    </row>
    <row r="65" spans="1:51">
      <c r="A65" t="s">
        <v>184</v>
      </c>
      <c r="B65" s="82">
        <v>4</v>
      </c>
      <c r="C65" s="71" t="s">
        <v>185</v>
      </c>
      <c r="D65">
        <v>0</v>
      </c>
      <c r="E65">
        <v>1070845</v>
      </c>
      <c r="F65">
        <v>2</v>
      </c>
      <c r="G65">
        <v>60</v>
      </c>
      <c r="H65">
        <v>1.6</v>
      </c>
      <c r="I65">
        <v>44</v>
      </c>
      <c r="K65">
        <v>17.1875</v>
      </c>
      <c r="L65">
        <v>62</v>
      </c>
      <c r="W65">
        <v>14.9</v>
      </c>
      <c r="X65" s="60">
        <v>0</v>
      </c>
      <c r="Y65">
        <v>0</v>
      </c>
      <c r="Z65">
        <v>3.8</v>
      </c>
      <c r="AA65">
        <v>1</v>
      </c>
      <c r="AB65">
        <v>2</v>
      </c>
    </row>
    <row r="66" spans="1:51">
      <c r="A66" t="s">
        <v>3104</v>
      </c>
      <c r="B66" s="82">
        <v>5</v>
      </c>
      <c r="C66" t="s">
        <v>3300</v>
      </c>
      <c r="D66">
        <v>1</v>
      </c>
      <c r="E66">
        <v>1049523</v>
      </c>
      <c r="F66">
        <v>2</v>
      </c>
      <c r="G66">
        <v>54</v>
      </c>
      <c r="H66">
        <v>1.68</v>
      </c>
      <c r="I66">
        <v>52</v>
      </c>
      <c r="K66">
        <v>18.4240362811791</v>
      </c>
      <c r="L66">
        <v>76</v>
      </c>
      <c r="M66">
        <v>77.773</v>
      </c>
      <c r="N66">
        <v>91.8745</v>
      </c>
      <c r="O66">
        <v>113.5027</v>
      </c>
      <c r="P66">
        <v>91.3401</v>
      </c>
      <c r="Q66">
        <v>0.804739446726818</v>
      </c>
      <c r="R66">
        <v>32.5519061791383</v>
      </c>
      <c r="S66">
        <v>40.2149589002268</v>
      </c>
      <c r="T66">
        <v>32.3625637755102</v>
      </c>
      <c r="U66">
        <v>72.577522675737</v>
      </c>
      <c r="V66">
        <v>-0.502368545712932</v>
      </c>
      <c r="W66">
        <v>22.5</v>
      </c>
      <c r="X66" s="60">
        <v>0</v>
      </c>
      <c r="Y66">
        <v>0</v>
      </c>
      <c r="Z66">
        <v>6.42</v>
      </c>
      <c r="AA66">
        <v>2</v>
      </c>
      <c r="AB66">
        <v>3</v>
      </c>
    </row>
    <row r="67" spans="1:51">
      <c r="A67" t="s">
        <v>187</v>
      </c>
      <c r="B67" s="82">
        <v>1</v>
      </c>
      <c r="C67" t="s">
        <v>188</v>
      </c>
      <c r="D67">
        <v>1</v>
      </c>
      <c r="E67">
        <v>1070646</v>
      </c>
      <c r="F67">
        <v>2</v>
      </c>
      <c r="G67">
        <v>54</v>
      </c>
      <c r="H67">
        <v>1.67</v>
      </c>
      <c r="I67">
        <v>60</v>
      </c>
      <c r="K67">
        <v>21.5138585105239</v>
      </c>
      <c r="L67">
        <v>82</v>
      </c>
      <c r="W67">
        <v>19.7</v>
      </c>
      <c r="X67" s="60">
        <v>0</v>
      </c>
      <c r="Y67">
        <v>0</v>
      </c>
      <c r="Z67">
        <v>0.01</v>
      </c>
      <c r="AA67">
        <v>0</v>
      </c>
      <c r="AB67">
        <v>1</v>
      </c>
    </row>
    <row r="68" spans="1:51">
      <c r="A68" t="s">
        <v>190</v>
      </c>
      <c r="B68" s="82" t="s">
        <v>3297</v>
      </c>
      <c r="C68" s="71" t="s">
        <v>191</v>
      </c>
      <c r="D68">
        <v>0</v>
      </c>
      <c r="E68">
        <v>881730</v>
      </c>
      <c r="F68">
        <v>2</v>
      </c>
      <c r="G68">
        <v>71</v>
      </c>
      <c r="H68">
        <v>1.65</v>
      </c>
      <c r="I68">
        <v>56</v>
      </c>
      <c r="K68">
        <v>20.5693296602388</v>
      </c>
      <c r="L68">
        <v>68</v>
      </c>
      <c r="M68">
        <v>80.794</v>
      </c>
      <c r="N68">
        <v>97.9568</v>
      </c>
      <c r="O68">
        <v>61.5256</v>
      </c>
      <c r="P68">
        <v>47.5569</v>
      </c>
      <c r="Q68">
        <v>0.772961173885342</v>
      </c>
      <c r="R68">
        <v>35.9804591368228</v>
      </c>
      <c r="S68">
        <v>22.5989348025712</v>
      </c>
      <c r="T68">
        <v>17.4680991735537</v>
      </c>
      <c r="U68">
        <v>40.0670339761249</v>
      </c>
      <c r="V68">
        <v>-0.615036744</v>
      </c>
      <c r="W68">
        <v>19.2</v>
      </c>
      <c r="X68" s="60">
        <v>0.263888888888889</v>
      </c>
      <c r="Y68">
        <v>9.5</v>
      </c>
      <c r="Z68">
        <v>0.01</v>
      </c>
      <c r="AA68">
        <v>0</v>
      </c>
      <c r="AB68">
        <v>1</v>
      </c>
      <c r="AC68">
        <v>0</v>
      </c>
      <c r="AD68">
        <v>1</v>
      </c>
      <c r="AE68">
        <v>0</v>
      </c>
      <c r="AF68">
        <v>0</v>
      </c>
      <c r="AG68">
        <v>1</v>
      </c>
      <c r="AH68">
        <v>0</v>
      </c>
      <c r="AI68">
        <v>0</v>
      </c>
      <c r="AJ68">
        <v>1</v>
      </c>
      <c r="AK68">
        <v>1</v>
      </c>
      <c r="AL68">
        <v>1</v>
      </c>
      <c r="AM68">
        <v>0</v>
      </c>
      <c r="AN68">
        <v>1</v>
      </c>
      <c r="AO68">
        <v>0</v>
      </c>
      <c r="AP68">
        <v>0</v>
      </c>
      <c r="AQ68">
        <v>0</v>
      </c>
      <c r="AR68">
        <v>0</v>
      </c>
      <c r="AS68">
        <v>1</v>
      </c>
      <c r="AT68">
        <v>0</v>
      </c>
      <c r="AU68">
        <v>0</v>
      </c>
      <c r="AV68">
        <v>1</v>
      </c>
      <c r="AW68">
        <v>1</v>
      </c>
      <c r="AX68">
        <v>0</v>
      </c>
      <c r="AY68">
        <v>0.5</v>
      </c>
    </row>
    <row r="69" spans="1:51">
      <c r="A69" t="s">
        <v>193</v>
      </c>
      <c r="B69" s="82">
        <v>1</v>
      </c>
      <c r="C69" s="71" t="s">
        <v>194</v>
      </c>
      <c r="D69">
        <v>1</v>
      </c>
      <c r="E69">
        <v>868043</v>
      </c>
      <c r="F69">
        <v>2</v>
      </c>
      <c r="G69">
        <v>57</v>
      </c>
      <c r="H69">
        <v>1.6</v>
      </c>
      <c r="I69">
        <v>40</v>
      </c>
      <c r="K69">
        <v>15.625</v>
      </c>
      <c r="L69">
        <v>76</v>
      </c>
      <c r="W69">
        <v>20.1</v>
      </c>
      <c r="X69" s="60">
        <v>0.0277777777777778</v>
      </c>
      <c r="Y69">
        <v>1</v>
      </c>
      <c r="AA69">
        <v>0</v>
      </c>
      <c r="AB69">
        <v>1</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1</v>
      </c>
      <c r="AX69">
        <v>0</v>
      </c>
      <c r="AY69">
        <v>0</v>
      </c>
    </row>
    <row r="70" spans="1:51">
      <c r="A70" t="s">
        <v>73</v>
      </c>
      <c r="B70" s="82">
        <v>2</v>
      </c>
      <c r="C70" s="71" t="s">
        <v>196</v>
      </c>
      <c r="D70">
        <v>0</v>
      </c>
      <c r="E70">
        <v>1061816</v>
      </c>
      <c r="F70">
        <v>1</v>
      </c>
      <c r="G70">
        <v>69</v>
      </c>
      <c r="H70">
        <v>1.77</v>
      </c>
      <c r="I70">
        <v>60</v>
      </c>
      <c r="K70">
        <v>19.1515847936417</v>
      </c>
      <c r="L70">
        <v>86</v>
      </c>
      <c r="W70">
        <v>20.1</v>
      </c>
      <c r="X70" s="60">
        <v>0.347222222222222</v>
      </c>
      <c r="Y70">
        <v>12.5</v>
      </c>
      <c r="AA70">
        <v>6</v>
      </c>
      <c r="AB70">
        <v>3</v>
      </c>
      <c r="AC70">
        <v>0</v>
      </c>
      <c r="AD70">
        <v>1</v>
      </c>
      <c r="AE70">
        <v>1</v>
      </c>
      <c r="AF70">
        <v>1</v>
      </c>
      <c r="AG70">
        <v>1</v>
      </c>
      <c r="AH70">
        <v>0</v>
      </c>
      <c r="AI70">
        <v>1</v>
      </c>
      <c r="AJ70">
        <v>0</v>
      </c>
      <c r="AK70">
        <v>1</v>
      </c>
      <c r="AL70">
        <v>1</v>
      </c>
      <c r="AM70">
        <v>0</v>
      </c>
      <c r="AN70">
        <v>1</v>
      </c>
      <c r="AO70">
        <v>0</v>
      </c>
      <c r="AP70">
        <v>0</v>
      </c>
      <c r="AQ70">
        <v>0</v>
      </c>
      <c r="AR70">
        <v>0</v>
      </c>
      <c r="AS70">
        <v>2</v>
      </c>
      <c r="AT70">
        <v>0</v>
      </c>
      <c r="AU70">
        <v>0</v>
      </c>
      <c r="AV70">
        <v>0</v>
      </c>
      <c r="AW70">
        <v>1</v>
      </c>
      <c r="AX70">
        <v>1</v>
      </c>
      <c r="AY70">
        <v>0.5</v>
      </c>
    </row>
    <row r="71" spans="1:51">
      <c r="A71" t="s">
        <v>198</v>
      </c>
      <c r="B71" s="82">
        <v>2</v>
      </c>
      <c r="C71" s="71" t="s">
        <v>199</v>
      </c>
      <c r="D71">
        <v>0</v>
      </c>
      <c r="E71">
        <v>770008</v>
      </c>
      <c r="F71">
        <v>1</v>
      </c>
      <c r="G71">
        <v>64</v>
      </c>
      <c r="H71">
        <v>1.7</v>
      </c>
      <c r="L71">
        <v>86</v>
      </c>
      <c r="M71">
        <v>95.844</v>
      </c>
      <c r="N71">
        <v>86.5153</v>
      </c>
      <c r="O71">
        <v>90.3326</v>
      </c>
      <c r="P71">
        <v>150.4767</v>
      </c>
      <c r="Q71">
        <v>1.66580725009576</v>
      </c>
      <c r="R71">
        <v>29.9360899653979</v>
      </c>
      <c r="S71">
        <v>31.256955017301</v>
      </c>
      <c r="T71">
        <v>52.068062283737</v>
      </c>
      <c r="U71">
        <v>83.3250173010381</v>
      </c>
      <c r="V71">
        <v>-0.401888772298006</v>
      </c>
      <c r="W71">
        <v>20.1</v>
      </c>
      <c r="X71" s="60">
        <v>0.458333333333333</v>
      </c>
      <c r="Y71">
        <v>16.5</v>
      </c>
      <c r="AA71">
        <v>6</v>
      </c>
      <c r="AB71">
        <v>3</v>
      </c>
      <c r="AC71">
        <v>0</v>
      </c>
      <c r="AD71">
        <v>1</v>
      </c>
      <c r="AE71">
        <v>1</v>
      </c>
      <c r="AF71">
        <v>1</v>
      </c>
      <c r="AG71">
        <v>1</v>
      </c>
      <c r="AH71">
        <v>1</v>
      </c>
      <c r="AI71">
        <v>1</v>
      </c>
      <c r="AJ71">
        <v>1</v>
      </c>
      <c r="AK71">
        <v>1</v>
      </c>
      <c r="AL71">
        <v>1</v>
      </c>
      <c r="AM71">
        <v>1</v>
      </c>
      <c r="AN71">
        <v>1</v>
      </c>
      <c r="AO71">
        <v>0</v>
      </c>
      <c r="AP71">
        <v>0.5</v>
      </c>
      <c r="AQ71">
        <v>1</v>
      </c>
      <c r="AR71">
        <v>0</v>
      </c>
      <c r="AS71">
        <v>1</v>
      </c>
      <c r="AT71">
        <v>0</v>
      </c>
      <c r="AU71">
        <v>0</v>
      </c>
      <c r="AV71">
        <v>1</v>
      </c>
      <c r="AW71">
        <v>1</v>
      </c>
      <c r="AX71">
        <v>0</v>
      </c>
      <c r="AY71">
        <v>1</v>
      </c>
    </row>
    <row r="72" spans="1:51">
      <c r="A72" t="s">
        <v>3301</v>
      </c>
      <c r="B72" s="82">
        <v>3</v>
      </c>
      <c r="C72" s="71" t="s">
        <v>3302</v>
      </c>
      <c r="D72">
        <v>1</v>
      </c>
      <c r="E72">
        <v>1051721</v>
      </c>
      <c r="F72">
        <v>2</v>
      </c>
      <c r="G72">
        <v>73</v>
      </c>
      <c r="H72">
        <v>1.6</v>
      </c>
      <c r="I72">
        <v>67</v>
      </c>
      <c r="K72">
        <v>26.171875</v>
      </c>
      <c r="L72">
        <v>91</v>
      </c>
      <c r="W72">
        <v>16.6</v>
      </c>
      <c r="X72" s="60">
        <v>0.111111111111111</v>
      </c>
      <c r="Y72">
        <v>4</v>
      </c>
      <c r="AA72">
        <v>0</v>
      </c>
      <c r="AB72">
        <v>1</v>
      </c>
      <c r="AC72">
        <v>0</v>
      </c>
      <c r="AD72">
        <v>0</v>
      </c>
      <c r="AE72">
        <v>0</v>
      </c>
      <c r="AF72">
        <v>0</v>
      </c>
      <c r="AG72">
        <v>0</v>
      </c>
      <c r="AH72">
        <v>0</v>
      </c>
      <c r="AI72">
        <v>0</v>
      </c>
      <c r="AJ72">
        <v>0</v>
      </c>
      <c r="AK72">
        <v>0</v>
      </c>
      <c r="AL72">
        <v>0</v>
      </c>
      <c r="AM72">
        <v>0</v>
      </c>
      <c r="AN72">
        <v>0</v>
      </c>
      <c r="AO72">
        <v>0</v>
      </c>
      <c r="AP72">
        <v>0</v>
      </c>
      <c r="AQ72">
        <v>0</v>
      </c>
      <c r="AR72">
        <v>0</v>
      </c>
      <c r="AS72">
        <v>2</v>
      </c>
      <c r="AT72">
        <v>0</v>
      </c>
      <c r="AU72">
        <v>0</v>
      </c>
      <c r="AV72">
        <v>0</v>
      </c>
      <c r="AW72">
        <v>1</v>
      </c>
      <c r="AX72">
        <v>1</v>
      </c>
      <c r="AY72">
        <v>0</v>
      </c>
    </row>
    <row r="73" spans="1:51">
      <c r="A73" t="s">
        <v>3103</v>
      </c>
      <c r="B73" s="82">
        <v>1</v>
      </c>
      <c r="C73" s="71" t="s">
        <v>3303</v>
      </c>
      <c r="D73">
        <v>1</v>
      </c>
      <c r="E73">
        <v>1072585</v>
      </c>
      <c r="F73">
        <v>1</v>
      </c>
      <c r="G73">
        <v>52</v>
      </c>
      <c r="H73">
        <v>1.73</v>
      </c>
      <c r="I73">
        <v>103</v>
      </c>
      <c r="K73">
        <v>34.4147816499048</v>
      </c>
      <c r="L73">
        <v>107</v>
      </c>
      <c r="M73">
        <v>118.15</v>
      </c>
      <c r="N73">
        <v>188.6713</v>
      </c>
      <c r="O73">
        <v>401.1893</v>
      </c>
      <c r="P73">
        <v>202.3074</v>
      </c>
      <c r="Q73">
        <v>0.504269181655642</v>
      </c>
      <c r="R73">
        <v>63.0396271175114</v>
      </c>
      <c r="S73">
        <v>134.047011259982</v>
      </c>
      <c r="T73">
        <v>67.5957766714558</v>
      </c>
      <c r="U73">
        <v>201.642787931438</v>
      </c>
      <c r="V73">
        <v>-0.479264844486334</v>
      </c>
      <c r="W73">
        <v>41.2</v>
      </c>
      <c r="X73" s="60">
        <v>0.0833333333333333</v>
      </c>
      <c r="Y73">
        <v>3</v>
      </c>
      <c r="AA73">
        <v>1</v>
      </c>
      <c r="AB73">
        <v>2</v>
      </c>
      <c r="AC73">
        <v>0</v>
      </c>
      <c r="AD73">
        <v>0</v>
      </c>
      <c r="AE73">
        <v>0</v>
      </c>
      <c r="AF73">
        <v>0</v>
      </c>
      <c r="AG73">
        <v>0</v>
      </c>
      <c r="AH73">
        <v>0</v>
      </c>
      <c r="AI73">
        <v>0</v>
      </c>
      <c r="AJ73">
        <v>0</v>
      </c>
      <c r="AK73">
        <v>0</v>
      </c>
      <c r="AL73">
        <v>0</v>
      </c>
      <c r="AM73">
        <v>0</v>
      </c>
      <c r="AN73">
        <v>0</v>
      </c>
      <c r="AO73">
        <v>1</v>
      </c>
      <c r="AP73">
        <v>0</v>
      </c>
      <c r="AQ73">
        <v>0</v>
      </c>
      <c r="AR73">
        <v>0</v>
      </c>
      <c r="AS73">
        <v>1</v>
      </c>
      <c r="AT73">
        <v>0</v>
      </c>
      <c r="AU73">
        <v>0</v>
      </c>
      <c r="AV73">
        <v>0</v>
      </c>
      <c r="AW73">
        <v>1</v>
      </c>
      <c r="AX73">
        <v>0</v>
      </c>
      <c r="AY73">
        <v>0</v>
      </c>
    </row>
    <row r="74" spans="1:51">
      <c r="A74" t="s">
        <v>201</v>
      </c>
      <c r="B74" s="82">
        <v>5</v>
      </c>
      <c r="C74" s="71" t="s">
        <v>202</v>
      </c>
      <c r="D74">
        <v>1</v>
      </c>
      <c r="E74">
        <v>802667</v>
      </c>
      <c r="F74">
        <v>2</v>
      </c>
      <c r="G74">
        <v>37</v>
      </c>
      <c r="H74">
        <v>1.65</v>
      </c>
      <c r="I74">
        <v>68</v>
      </c>
      <c r="K74">
        <v>24.9770431588613</v>
      </c>
      <c r="L74">
        <v>88</v>
      </c>
      <c r="M74">
        <v>98.247</v>
      </c>
      <c r="N74">
        <v>99.8166</v>
      </c>
      <c r="O74">
        <v>237.507</v>
      </c>
      <c r="P74">
        <v>208.25</v>
      </c>
      <c r="Q74">
        <v>0.876816262257534</v>
      </c>
      <c r="R74">
        <v>36.6635812672176</v>
      </c>
      <c r="S74">
        <v>87.238567493113</v>
      </c>
      <c r="T74">
        <v>76.4921946740129</v>
      </c>
      <c r="U74">
        <v>163.730762167126</v>
      </c>
      <c r="V74">
        <v>-0.395494658615885</v>
      </c>
      <c r="W74">
        <v>11.7</v>
      </c>
      <c r="X74" s="60">
        <v>0.0277777777777778</v>
      </c>
      <c r="Y74">
        <v>1</v>
      </c>
      <c r="AA74">
        <v>0</v>
      </c>
      <c r="AB74">
        <v>1</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1</v>
      </c>
      <c r="AX74">
        <v>0</v>
      </c>
      <c r="AY74">
        <v>0</v>
      </c>
    </row>
    <row r="75" spans="1:51">
      <c r="A75" t="s">
        <v>204</v>
      </c>
      <c r="B75" s="82">
        <v>2</v>
      </c>
      <c r="C75" s="71" t="s">
        <v>205</v>
      </c>
      <c r="D75">
        <v>0</v>
      </c>
      <c r="E75">
        <v>1036719</v>
      </c>
      <c r="F75">
        <v>1</v>
      </c>
      <c r="G75">
        <v>58</v>
      </c>
      <c r="H75">
        <v>1.76</v>
      </c>
      <c r="I75">
        <v>55</v>
      </c>
      <c r="K75">
        <v>17.7556818181818</v>
      </c>
      <c r="L75">
        <v>97</v>
      </c>
      <c r="M75">
        <v>97.447</v>
      </c>
      <c r="N75">
        <v>93.7921</v>
      </c>
      <c r="O75">
        <v>40.307</v>
      </c>
      <c r="P75">
        <v>101.4195</v>
      </c>
      <c r="Q75">
        <v>2.51617585034857</v>
      </c>
      <c r="R75">
        <v>30.2789579028926</v>
      </c>
      <c r="S75">
        <v>13.0123321280992</v>
      </c>
      <c r="T75">
        <v>32.741315857438</v>
      </c>
      <c r="U75">
        <v>45.7536479855372</v>
      </c>
      <c r="V75">
        <v>-0.964606741573034</v>
      </c>
      <c r="W75">
        <v>15.1</v>
      </c>
      <c r="X75" s="60">
        <v>0.0555555555555556</v>
      </c>
      <c r="Y75">
        <v>2</v>
      </c>
      <c r="AA75">
        <v>6</v>
      </c>
      <c r="AB75">
        <v>3</v>
      </c>
      <c r="AC75">
        <v>0</v>
      </c>
      <c r="AD75">
        <v>0</v>
      </c>
      <c r="AE75">
        <v>0</v>
      </c>
      <c r="AF75">
        <v>0</v>
      </c>
      <c r="AG75">
        <v>0</v>
      </c>
      <c r="AH75">
        <v>0</v>
      </c>
      <c r="AI75">
        <v>0</v>
      </c>
      <c r="AJ75">
        <v>0</v>
      </c>
      <c r="AK75">
        <v>1</v>
      </c>
      <c r="AL75">
        <v>0</v>
      </c>
      <c r="AM75">
        <v>0</v>
      </c>
      <c r="AN75">
        <v>0</v>
      </c>
      <c r="AO75">
        <v>0</v>
      </c>
      <c r="AP75">
        <v>0</v>
      </c>
      <c r="AQ75">
        <v>0</v>
      </c>
      <c r="AR75">
        <v>0</v>
      </c>
      <c r="AS75">
        <v>0</v>
      </c>
      <c r="AT75">
        <v>0.5</v>
      </c>
      <c r="AU75">
        <v>0.5</v>
      </c>
      <c r="AV75">
        <v>0</v>
      </c>
      <c r="AW75">
        <v>0</v>
      </c>
      <c r="AX75">
        <v>0</v>
      </c>
      <c r="AY75">
        <v>0</v>
      </c>
    </row>
    <row r="76" spans="1:51">
      <c r="A76" t="s">
        <v>206</v>
      </c>
      <c r="B76" s="82">
        <v>4</v>
      </c>
      <c r="C76" s="71" t="s">
        <v>3304</v>
      </c>
      <c r="D76">
        <v>0</v>
      </c>
      <c r="E76">
        <v>780801</v>
      </c>
      <c r="F76">
        <v>2</v>
      </c>
      <c r="G76">
        <v>61</v>
      </c>
      <c r="H76">
        <v>1.6</v>
      </c>
      <c r="I76">
        <v>48</v>
      </c>
      <c r="K76">
        <v>18.75</v>
      </c>
      <c r="L76">
        <v>63</v>
      </c>
      <c r="M76">
        <v>75.193</v>
      </c>
      <c r="N76">
        <v>83.3047</v>
      </c>
      <c r="O76">
        <v>81.2305</v>
      </c>
      <c r="P76">
        <v>78.2773</v>
      </c>
      <c r="Q76">
        <v>0.963644197684367</v>
      </c>
      <c r="R76">
        <v>32.5408984375</v>
      </c>
      <c r="S76">
        <v>31.7306640625</v>
      </c>
      <c r="T76">
        <v>30.5770703125</v>
      </c>
      <c r="U76">
        <v>62.307734375</v>
      </c>
      <c r="V76">
        <v>-0.224667583677212</v>
      </c>
      <c r="W76">
        <v>11.1</v>
      </c>
      <c r="X76" s="60">
        <v>0.0277777777777778</v>
      </c>
      <c r="Y76">
        <v>1</v>
      </c>
      <c r="AA76">
        <v>0</v>
      </c>
      <c r="AB76">
        <v>1</v>
      </c>
      <c r="AC76">
        <v>0</v>
      </c>
      <c r="AD76">
        <v>0</v>
      </c>
      <c r="AE76">
        <v>0</v>
      </c>
      <c r="AF76">
        <v>0</v>
      </c>
      <c r="AG76">
        <v>0</v>
      </c>
      <c r="AH76">
        <v>0</v>
      </c>
      <c r="AI76">
        <v>0</v>
      </c>
      <c r="AJ76">
        <v>0</v>
      </c>
      <c r="AK76">
        <v>0</v>
      </c>
      <c r="AL76">
        <v>0</v>
      </c>
      <c r="AM76">
        <v>0</v>
      </c>
      <c r="AN76">
        <v>1</v>
      </c>
      <c r="AO76">
        <v>0</v>
      </c>
      <c r="AP76">
        <v>0</v>
      </c>
      <c r="AQ76">
        <v>0</v>
      </c>
      <c r="AR76">
        <v>0</v>
      </c>
      <c r="AS76">
        <v>0</v>
      </c>
      <c r="AT76">
        <v>0</v>
      </c>
      <c r="AU76">
        <v>0</v>
      </c>
      <c r="AV76">
        <v>0</v>
      </c>
      <c r="AW76">
        <v>0</v>
      </c>
      <c r="AX76">
        <v>0</v>
      </c>
      <c r="AY76">
        <v>0</v>
      </c>
    </row>
    <row r="77" spans="1:51">
      <c r="A77" t="s">
        <v>416</v>
      </c>
      <c r="B77" s="82">
        <v>4</v>
      </c>
      <c r="C77" s="71" t="s">
        <v>3305</v>
      </c>
      <c r="D77">
        <v>0</v>
      </c>
      <c r="E77">
        <v>1040729</v>
      </c>
      <c r="F77">
        <v>2</v>
      </c>
      <c r="G77">
        <v>67</v>
      </c>
      <c r="H77">
        <v>1.6</v>
      </c>
      <c r="I77">
        <v>65</v>
      </c>
      <c r="K77">
        <v>25.390625</v>
      </c>
      <c r="L77">
        <v>77</v>
      </c>
      <c r="M77">
        <v>87.959</v>
      </c>
      <c r="N77">
        <v>100.8388</v>
      </c>
      <c r="O77">
        <v>128.4469</v>
      </c>
      <c r="P77">
        <v>121.8205</v>
      </c>
      <c r="Q77">
        <v>0.948411366876118</v>
      </c>
      <c r="R77">
        <v>39.39015625</v>
      </c>
      <c r="S77">
        <v>50.1745703125</v>
      </c>
      <c r="T77">
        <v>47.5861328125</v>
      </c>
      <c r="U77">
        <v>97.760703125</v>
      </c>
      <c r="V77">
        <v>-0.502601702932829</v>
      </c>
      <c r="W77">
        <v>20.6</v>
      </c>
      <c r="X77" s="60">
        <v>0.0277777777777778</v>
      </c>
      <c r="Y77">
        <v>1</v>
      </c>
      <c r="AA77">
        <v>1</v>
      </c>
      <c r="AB77">
        <v>2</v>
      </c>
      <c r="AC77">
        <v>0</v>
      </c>
      <c r="AD77">
        <v>0</v>
      </c>
      <c r="AE77">
        <v>0</v>
      </c>
      <c r="AF77">
        <v>0</v>
      </c>
      <c r="AG77">
        <v>0</v>
      </c>
      <c r="AH77">
        <v>0</v>
      </c>
      <c r="AI77">
        <v>0</v>
      </c>
      <c r="AJ77">
        <v>0</v>
      </c>
      <c r="AK77">
        <v>0</v>
      </c>
      <c r="AL77">
        <v>0</v>
      </c>
      <c r="AM77">
        <v>0</v>
      </c>
      <c r="AN77">
        <v>1</v>
      </c>
      <c r="AO77">
        <v>0</v>
      </c>
      <c r="AP77">
        <v>0</v>
      </c>
      <c r="AQ77">
        <v>0</v>
      </c>
      <c r="AR77">
        <v>0</v>
      </c>
      <c r="AS77">
        <v>0</v>
      </c>
      <c r="AT77">
        <v>0</v>
      </c>
      <c r="AU77">
        <v>0</v>
      </c>
      <c r="AV77">
        <v>0</v>
      </c>
      <c r="AW77">
        <v>0</v>
      </c>
      <c r="AX77">
        <v>0</v>
      </c>
      <c r="AY77">
        <v>0</v>
      </c>
    </row>
    <row r="78" spans="1:51">
      <c r="A78" t="s">
        <v>209</v>
      </c>
      <c r="B78" s="82">
        <v>2</v>
      </c>
      <c r="C78" s="71" t="s">
        <v>210</v>
      </c>
      <c r="D78" s="1">
        <v>0</v>
      </c>
      <c r="E78">
        <v>1045528</v>
      </c>
      <c r="F78">
        <v>1</v>
      </c>
      <c r="G78">
        <v>64</v>
      </c>
      <c r="H78">
        <v>1.65</v>
      </c>
      <c r="I78">
        <v>72</v>
      </c>
      <c r="K78">
        <v>26.4462809917355</v>
      </c>
      <c r="L78">
        <v>105</v>
      </c>
      <c r="M78">
        <v>97.137</v>
      </c>
      <c r="N78">
        <v>146.7067</v>
      </c>
      <c r="O78">
        <v>171.4999</v>
      </c>
      <c r="P78">
        <v>174.8026</v>
      </c>
      <c r="Q78">
        <v>1.01925773717652</v>
      </c>
      <c r="V78">
        <v>-0.488193018480493</v>
      </c>
      <c r="W78">
        <v>40.31</v>
      </c>
      <c r="X78" s="60">
        <v>0.0555555555555556</v>
      </c>
      <c r="Y78">
        <v>2</v>
      </c>
      <c r="Z78">
        <v>6.4</v>
      </c>
      <c r="AA78">
        <v>1</v>
      </c>
      <c r="AB78">
        <v>2</v>
      </c>
      <c r="AC78">
        <v>0</v>
      </c>
      <c r="AD78">
        <v>0</v>
      </c>
      <c r="AE78">
        <v>0</v>
      </c>
      <c r="AF78">
        <v>0</v>
      </c>
      <c r="AG78">
        <v>0</v>
      </c>
      <c r="AH78">
        <v>0</v>
      </c>
      <c r="AI78">
        <v>0</v>
      </c>
      <c r="AJ78">
        <v>0</v>
      </c>
      <c r="AK78">
        <v>0</v>
      </c>
      <c r="AL78">
        <v>0</v>
      </c>
      <c r="AM78">
        <v>0</v>
      </c>
      <c r="AN78">
        <v>0</v>
      </c>
      <c r="AO78">
        <v>0</v>
      </c>
      <c r="AP78">
        <v>0</v>
      </c>
      <c r="AQ78">
        <v>0</v>
      </c>
      <c r="AR78">
        <v>0</v>
      </c>
      <c r="AS78">
        <v>1</v>
      </c>
      <c r="AT78">
        <v>0</v>
      </c>
      <c r="AU78">
        <v>0</v>
      </c>
      <c r="AV78">
        <v>1</v>
      </c>
      <c r="AW78">
        <v>0</v>
      </c>
      <c r="AX78">
        <v>0</v>
      </c>
      <c r="AY78">
        <v>0</v>
      </c>
    </row>
    <row r="79" spans="1:51">
      <c r="A79" t="s">
        <v>212</v>
      </c>
      <c r="B79" s="82">
        <v>1</v>
      </c>
      <c r="C79" s="71" t="s">
        <v>3306</v>
      </c>
      <c r="D79" s="1">
        <v>1</v>
      </c>
      <c r="E79">
        <v>1073721</v>
      </c>
      <c r="F79">
        <v>1</v>
      </c>
      <c r="G79">
        <v>43</v>
      </c>
      <c r="H79">
        <v>1.7</v>
      </c>
      <c r="I79">
        <v>65</v>
      </c>
      <c r="K79">
        <v>22.4913494809689</v>
      </c>
      <c r="L79">
        <v>77</v>
      </c>
      <c r="M79">
        <v>82.037</v>
      </c>
      <c r="N79">
        <v>136.2226</v>
      </c>
      <c r="O79">
        <v>109.8432</v>
      </c>
      <c r="P79">
        <v>106.3772</v>
      </c>
      <c r="Q79">
        <v>0.968445930198683</v>
      </c>
      <c r="R79">
        <v>47.1358477508651</v>
      </c>
      <c r="S79">
        <v>38.0080276816609</v>
      </c>
      <c r="T79">
        <v>36.8087197231834</v>
      </c>
      <c r="U79">
        <v>74.8167474048443</v>
      </c>
      <c r="V79">
        <v>-0.609031352363126</v>
      </c>
      <c r="W79">
        <v>25</v>
      </c>
      <c r="X79" s="60">
        <v>0</v>
      </c>
      <c r="Y79">
        <v>0</v>
      </c>
      <c r="AA79">
        <v>0</v>
      </c>
      <c r="AB79">
        <v>1</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row>
    <row r="80" spans="1:51">
      <c r="A80" t="s">
        <v>215</v>
      </c>
      <c r="B80" s="82">
        <v>2</v>
      </c>
      <c r="C80" s="71" t="s">
        <v>216</v>
      </c>
      <c r="D80" s="1">
        <v>0</v>
      </c>
      <c r="E80">
        <v>984008</v>
      </c>
      <c r="F80">
        <v>1</v>
      </c>
      <c r="G80">
        <v>60</v>
      </c>
      <c r="H80">
        <v>1.7</v>
      </c>
      <c r="I80">
        <v>62</v>
      </c>
      <c r="K80">
        <v>21.4532871972318</v>
      </c>
      <c r="L80">
        <v>90</v>
      </c>
      <c r="X80" s="60">
        <v>0</v>
      </c>
      <c r="Y80">
        <v>0</v>
      </c>
      <c r="AC80">
        <v>0</v>
      </c>
    </row>
    <row r="81" spans="1:51">
      <c r="A81" t="s">
        <v>218</v>
      </c>
      <c r="B81" s="82">
        <v>1</v>
      </c>
      <c r="C81" s="71" t="s">
        <v>219</v>
      </c>
      <c r="D81" s="1">
        <v>1</v>
      </c>
      <c r="E81">
        <v>662147</v>
      </c>
      <c r="F81">
        <v>2</v>
      </c>
      <c r="G81">
        <v>61</v>
      </c>
      <c r="H81">
        <v>1.55</v>
      </c>
      <c r="I81">
        <v>75</v>
      </c>
      <c r="K81">
        <v>31.2174817898023</v>
      </c>
      <c r="L81">
        <v>105.34</v>
      </c>
      <c r="M81">
        <v>105.34</v>
      </c>
      <c r="N81">
        <v>110.9525</v>
      </c>
      <c r="O81">
        <v>172.6045</v>
      </c>
      <c r="P81">
        <v>254.2724</v>
      </c>
      <c r="Q81">
        <v>1.47315046826705</v>
      </c>
      <c r="R81">
        <v>46.1821019771072</v>
      </c>
      <c r="S81">
        <v>71.8437044745057</v>
      </c>
      <c r="T81">
        <v>105.836586888658</v>
      </c>
      <c r="U81">
        <v>177.680291363163</v>
      </c>
      <c r="V81">
        <v>-0.324953445065177</v>
      </c>
      <c r="W81">
        <v>17.1</v>
      </c>
      <c r="X81" s="60">
        <v>0.0833333333333333</v>
      </c>
      <c r="Y81">
        <v>3</v>
      </c>
      <c r="AA81">
        <v>0</v>
      </c>
      <c r="AB81">
        <v>1</v>
      </c>
      <c r="AC81">
        <v>0</v>
      </c>
      <c r="AD81">
        <v>0</v>
      </c>
      <c r="AE81">
        <v>0</v>
      </c>
      <c r="AF81">
        <v>0</v>
      </c>
      <c r="AG81">
        <v>0</v>
      </c>
      <c r="AH81">
        <v>0</v>
      </c>
      <c r="AI81">
        <v>0</v>
      </c>
      <c r="AJ81">
        <v>0</v>
      </c>
      <c r="AK81">
        <v>0</v>
      </c>
      <c r="AL81">
        <v>0</v>
      </c>
      <c r="AM81">
        <v>0</v>
      </c>
      <c r="AN81">
        <v>0</v>
      </c>
      <c r="AO81">
        <v>0</v>
      </c>
      <c r="AP81">
        <v>0.5</v>
      </c>
      <c r="AQ81">
        <v>0</v>
      </c>
      <c r="AR81">
        <v>0</v>
      </c>
      <c r="AS81">
        <v>2</v>
      </c>
      <c r="AT81">
        <v>0</v>
      </c>
      <c r="AU81">
        <v>0</v>
      </c>
      <c r="AV81">
        <v>0</v>
      </c>
      <c r="AW81">
        <v>0</v>
      </c>
      <c r="AX81">
        <v>0</v>
      </c>
      <c r="AY81">
        <v>0.5</v>
      </c>
    </row>
    <row r="82" spans="1:51">
      <c r="A82" t="s">
        <v>166</v>
      </c>
      <c r="B82" s="82">
        <v>5</v>
      </c>
      <c r="C82" s="71" t="s">
        <v>221</v>
      </c>
      <c r="D82">
        <v>1</v>
      </c>
      <c r="E82">
        <v>922431</v>
      </c>
      <c r="F82">
        <v>1</v>
      </c>
      <c r="G82">
        <v>70</v>
      </c>
      <c r="H82">
        <v>1.74</v>
      </c>
      <c r="I82">
        <v>82</v>
      </c>
      <c r="K82">
        <v>27.0841590698903</v>
      </c>
      <c r="L82">
        <v>96</v>
      </c>
      <c r="M82">
        <v>107.39</v>
      </c>
      <c r="N82">
        <v>157.212</v>
      </c>
      <c r="O82">
        <v>138.918</v>
      </c>
      <c r="P82">
        <v>281.3079</v>
      </c>
      <c r="Q82">
        <v>2.02499244158424</v>
      </c>
      <c r="R82">
        <v>51.9262782401902</v>
      </c>
      <c r="S82">
        <v>45.8838684106223</v>
      </c>
      <c r="T82">
        <v>92.9144867221562</v>
      </c>
      <c r="U82">
        <v>138.798355132778</v>
      </c>
      <c r="V82">
        <v>-0.606471816283925</v>
      </c>
      <c r="W82">
        <v>31.6</v>
      </c>
      <c r="X82" s="60">
        <v>0.0833333333333333</v>
      </c>
      <c r="Y82">
        <v>3</v>
      </c>
      <c r="AA82">
        <v>0</v>
      </c>
      <c r="AB82">
        <v>1</v>
      </c>
      <c r="AC82">
        <v>0</v>
      </c>
      <c r="AD82">
        <v>0</v>
      </c>
      <c r="AE82">
        <v>0</v>
      </c>
      <c r="AF82">
        <v>0</v>
      </c>
      <c r="AG82">
        <v>0</v>
      </c>
      <c r="AH82">
        <v>0</v>
      </c>
      <c r="AI82">
        <v>0</v>
      </c>
      <c r="AJ82">
        <v>0</v>
      </c>
      <c r="AK82">
        <v>0</v>
      </c>
      <c r="AL82">
        <v>0</v>
      </c>
      <c r="AM82">
        <v>0</v>
      </c>
      <c r="AN82">
        <v>0</v>
      </c>
      <c r="AO82">
        <v>0</v>
      </c>
      <c r="AP82">
        <v>0</v>
      </c>
      <c r="AQ82">
        <v>0</v>
      </c>
      <c r="AR82">
        <v>0</v>
      </c>
      <c r="AS82">
        <v>2</v>
      </c>
      <c r="AT82">
        <v>0</v>
      </c>
      <c r="AU82">
        <v>0</v>
      </c>
      <c r="AV82">
        <v>0</v>
      </c>
      <c r="AW82">
        <v>0</v>
      </c>
      <c r="AX82">
        <v>1</v>
      </c>
      <c r="AY82">
        <v>0</v>
      </c>
    </row>
    <row r="83" spans="1:51">
      <c r="A83" t="s">
        <v>222</v>
      </c>
      <c r="B83" s="82">
        <v>2</v>
      </c>
      <c r="C83" s="71" t="s">
        <v>223</v>
      </c>
      <c r="D83" s="1">
        <v>0</v>
      </c>
      <c r="E83">
        <v>1070001</v>
      </c>
      <c r="F83">
        <v>1</v>
      </c>
      <c r="G83">
        <v>50</v>
      </c>
      <c r="H83">
        <v>1.8</v>
      </c>
      <c r="I83">
        <v>90</v>
      </c>
      <c r="K83">
        <v>27.7777777777778</v>
      </c>
      <c r="M83">
        <v>102.3</v>
      </c>
      <c r="N83">
        <v>156.7756</v>
      </c>
      <c r="O83">
        <v>179.3892</v>
      </c>
      <c r="P83">
        <v>193.5475</v>
      </c>
      <c r="Q83">
        <v>1.132456904</v>
      </c>
      <c r="R83">
        <v>48.3875308641975</v>
      </c>
      <c r="S83">
        <v>55.367037037037</v>
      </c>
      <c r="T83">
        <v>59.7368827160494</v>
      </c>
      <c r="U83">
        <v>115.103919753086</v>
      </c>
      <c r="V83">
        <v>-0.402408429503261</v>
      </c>
      <c r="X83" s="60">
        <v>0.291666666666667</v>
      </c>
      <c r="Y83">
        <v>10.5</v>
      </c>
      <c r="Z83">
        <v>0</v>
      </c>
      <c r="AA83">
        <v>6</v>
      </c>
      <c r="AB83">
        <v>3</v>
      </c>
      <c r="AC83">
        <v>0</v>
      </c>
      <c r="AD83">
        <v>1</v>
      </c>
      <c r="AE83">
        <v>1</v>
      </c>
      <c r="AF83">
        <v>1</v>
      </c>
      <c r="AG83">
        <v>1</v>
      </c>
      <c r="AH83">
        <v>0</v>
      </c>
      <c r="AI83">
        <v>0</v>
      </c>
      <c r="AJ83">
        <v>1</v>
      </c>
      <c r="AK83">
        <v>1</v>
      </c>
      <c r="AL83">
        <v>1</v>
      </c>
      <c r="AM83">
        <v>1</v>
      </c>
      <c r="AN83">
        <v>1</v>
      </c>
      <c r="AO83">
        <v>0</v>
      </c>
      <c r="AP83">
        <v>0</v>
      </c>
      <c r="AQ83">
        <v>0</v>
      </c>
      <c r="AR83">
        <v>0</v>
      </c>
      <c r="AS83">
        <v>0</v>
      </c>
      <c r="AT83">
        <v>0</v>
      </c>
      <c r="AU83">
        <v>0.5</v>
      </c>
      <c r="AV83">
        <v>0</v>
      </c>
      <c r="AW83">
        <v>1</v>
      </c>
      <c r="AX83">
        <v>0</v>
      </c>
      <c r="AY83">
        <v>0</v>
      </c>
    </row>
    <row r="84" spans="1:51">
      <c r="A84" t="s">
        <v>225</v>
      </c>
      <c r="B84" s="82">
        <v>3</v>
      </c>
      <c r="C84" s="71" t="s">
        <v>3307</v>
      </c>
      <c r="D84" s="1">
        <v>1</v>
      </c>
      <c r="E84">
        <v>1031716</v>
      </c>
      <c r="F84">
        <v>1</v>
      </c>
      <c r="G84">
        <v>78</v>
      </c>
      <c r="H84">
        <v>1.72</v>
      </c>
      <c r="I84">
        <v>80</v>
      </c>
      <c r="K84">
        <v>27.0416441319632</v>
      </c>
      <c r="L84">
        <v>101</v>
      </c>
      <c r="M84">
        <v>105.25</v>
      </c>
      <c r="N84">
        <v>154.7192</v>
      </c>
      <c r="O84">
        <v>119.1776</v>
      </c>
      <c r="P84">
        <v>137.1531</v>
      </c>
      <c r="Q84">
        <v>1.15082951829874</v>
      </c>
      <c r="R84">
        <v>52.2982693347756</v>
      </c>
      <c r="S84">
        <v>40.2844780962683</v>
      </c>
      <c r="T84">
        <v>46.3605665224446</v>
      </c>
      <c r="U84">
        <v>86.6450446187128</v>
      </c>
      <c r="V84">
        <v>-0.39051638530288</v>
      </c>
      <c r="W84">
        <v>19</v>
      </c>
      <c r="X84" s="60">
        <v>0.458333333333333</v>
      </c>
      <c r="Y84">
        <v>16.5</v>
      </c>
      <c r="Z84">
        <v>0</v>
      </c>
      <c r="AA84">
        <v>6</v>
      </c>
      <c r="AB84">
        <v>3</v>
      </c>
      <c r="AC84">
        <v>0</v>
      </c>
      <c r="AD84">
        <v>1</v>
      </c>
      <c r="AE84">
        <v>1</v>
      </c>
      <c r="AF84">
        <v>1</v>
      </c>
      <c r="AG84">
        <v>1</v>
      </c>
      <c r="AH84">
        <v>0</v>
      </c>
      <c r="AI84">
        <v>1</v>
      </c>
      <c r="AJ84">
        <v>1</v>
      </c>
      <c r="AK84">
        <v>1</v>
      </c>
      <c r="AL84">
        <v>1</v>
      </c>
      <c r="AM84">
        <v>1</v>
      </c>
      <c r="AN84">
        <v>1</v>
      </c>
      <c r="AO84">
        <v>0</v>
      </c>
      <c r="AP84">
        <v>0.5</v>
      </c>
      <c r="AQ84">
        <v>1</v>
      </c>
      <c r="AR84">
        <v>0</v>
      </c>
      <c r="AS84">
        <v>4</v>
      </c>
      <c r="AT84">
        <v>0</v>
      </c>
      <c r="AU84">
        <v>0</v>
      </c>
      <c r="AV84">
        <v>0</v>
      </c>
      <c r="AW84">
        <v>0</v>
      </c>
      <c r="AX84">
        <v>0</v>
      </c>
      <c r="AY84">
        <v>1</v>
      </c>
    </row>
    <row r="85" spans="1:51">
      <c r="A85" t="s">
        <v>228</v>
      </c>
      <c r="B85" s="82">
        <v>2</v>
      </c>
      <c r="C85" s="71" t="s">
        <v>3308</v>
      </c>
      <c r="D85" s="1">
        <v>1</v>
      </c>
      <c r="E85">
        <v>1074488</v>
      </c>
      <c r="F85">
        <v>2</v>
      </c>
      <c r="G85">
        <v>50</v>
      </c>
      <c r="H85">
        <v>1.58</v>
      </c>
      <c r="I85">
        <v>60</v>
      </c>
      <c r="K85">
        <v>24.034609838167</v>
      </c>
      <c r="L85">
        <v>85</v>
      </c>
      <c r="M85">
        <v>90.132</v>
      </c>
      <c r="N85">
        <v>105.0963</v>
      </c>
      <c r="O85">
        <v>122.0142</v>
      </c>
      <c r="P85">
        <v>118.1135</v>
      </c>
      <c r="Q85">
        <v>0.968030770189044</v>
      </c>
      <c r="R85">
        <v>42.0991427655824</v>
      </c>
      <c r="S85">
        <v>48.8760615286012</v>
      </c>
      <c r="T85">
        <v>47.3135314853389</v>
      </c>
      <c r="U85">
        <v>96.1895930139401</v>
      </c>
      <c r="V85">
        <v>-0.600997506234414</v>
      </c>
      <c r="W85">
        <v>17.5</v>
      </c>
      <c r="X85" s="60">
        <v>0.0833333333333333</v>
      </c>
      <c r="Y85">
        <v>3</v>
      </c>
      <c r="Z85">
        <v>8.79</v>
      </c>
      <c r="AA85">
        <v>0</v>
      </c>
      <c r="AB85">
        <v>1</v>
      </c>
      <c r="AC85">
        <v>0</v>
      </c>
      <c r="AD85">
        <v>0</v>
      </c>
      <c r="AE85">
        <v>0</v>
      </c>
      <c r="AF85">
        <v>0</v>
      </c>
      <c r="AG85">
        <v>0</v>
      </c>
      <c r="AH85">
        <v>0</v>
      </c>
      <c r="AI85">
        <v>0</v>
      </c>
      <c r="AJ85">
        <v>0</v>
      </c>
      <c r="AK85">
        <v>0</v>
      </c>
      <c r="AL85">
        <v>0</v>
      </c>
      <c r="AM85">
        <v>0</v>
      </c>
      <c r="AN85">
        <v>1</v>
      </c>
      <c r="AO85">
        <v>0</v>
      </c>
      <c r="AP85">
        <v>0</v>
      </c>
      <c r="AQ85">
        <v>0</v>
      </c>
      <c r="AR85">
        <v>0</v>
      </c>
      <c r="AS85">
        <v>2</v>
      </c>
      <c r="AT85">
        <v>0</v>
      </c>
      <c r="AU85">
        <v>0</v>
      </c>
      <c r="AV85">
        <v>0</v>
      </c>
      <c r="AW85">
        <v>0</v>
      </c>
      <c r="AX85">
        <v>0</v>
      </c>
      <c r="AY85">
        <v>0</v>
      </c>
    </row>
    <row r="86" spans="1:51">
      <c r="A86" t="s">
        <v>231</v>
      </c>
      <c r="B86" s="82">
        <v>2</v>
      </c>
      <c r="C86" s="71" t="s">
        <v>232</v>
      </c>
      <c r="D86" s="1">
        <v>0</v>
      </c>
      <c r="E86">
        <v>1074806</v>
      </c>
      <c r="F86">
        <v>2</v>
      </c>
      <c r="G86">
        <v>54</v>
      </c>
      <c r="H86">
        <v>1.6</v>
      </c>
      <c r="I86">
        <v>50</v>
      </c>
      <c r="K86">
        <v>19.53125</v>
      </c>
      <c r="L86">
        <v>90</v>
      </c>
      <c r="M86">
        <v>88.013</v>
      </c>
      <c r="N86">
        <v>82.6651</v>
      </c>
      <c r="O86">
        <v>91.9172</v>
      </c>
      <c r="P86">
        <v>115.8445</v>
      </c>
      <c r="Q86">
        <v>1.26031363009317</v>
      </c>
      <c r="R86">
        <v>32.2910546875</v>
      </c>
      <c r="S86">
        <v>35.90515625</v>
      </c>
      <c r="T86">
        <v>45.2517578125</v>
      </c>
      <c r="U86">
        <v>81.1569140625</v>
      </c>
      <c r="V86">
        <v>-0.423907028223575</v>
      </c>
      <c r="W86">
        <v>14.8</v>
      </c>
      <c r="X86" s="60">
        <v>0.25</v>
      </c>
      <c r="Y86">
        <v>9</v>
      </c>
      <c r="Z86">
        <v>0</v>
      </c>
      <c r="AA86">
        <v>6</v>
      </c>
      <c r="AB86">
        <v>3</v>
      </c>
      <c r="AC86">
        <v>0</v>
      </c>
      <c r="AD86">
        <v>1</v>
      </c>
      <c r="AE86">
        <v>1</v>
      </c>
      <c r="AF86">
        <v>0</v>
      </c>
      <c r="AG86">
        <v>0</v>
      </c>
      <c r="AH86">
        <v>0</v>
      </c>
      <c r="AI86">
        <v>0</v>
      </c>
      <c r="AJ86">
        <v>0</v>
      </c>
      <c r="AK86">
        <v>1</v>
      </c>
      <c r="AL86">
        <v>1</v>
      </c>
      <c r="AM86">
        <v>1</v>
      </c>
      <c r="AN86">
        <v>1</v>
      </c>
      <c r="AO86">
        <v>0</v>
      </c>
      <c r="AP86">
        <v>0.5</v>
      </c>
      <c r="AQ86">
        <v>1</v>
      </c>
      <c r="AR86">
        <v>0</v>
      </c>
      <c r="AS86">
        <v>0</v>
      </c>
      <c r="AT86">
        <v>0.5</v>
      </c>
      <c r="AU86">
        <v>0.5</v>
      </c>
      <c r="AV86">
        <v>0</v>
      </c>
      <c r="AW86">
        <v>0</v>
      </c>
      <c r="AX86">
        <v>0</v>
      </c>
      <c r="AY86">
        <v>0.5</v>
      </c>
    </row>
    <row r="87" spans="1:51">
      <c r="A87" t="s">
        <v>234</v>
      </c>
      <c r="B87" s="82">
        <v>2</v>
      </c>
      <c r="C87" s="71" t="s">
        <v>235</v>
      </c>
      <c r="D87" s="1">
        <v>0</v>
      </c>
      <c r="E87">
        <v>1074783</v>
      </c>
      <c r="F87">
        <v>1</v>
      </c>
      <c r="G87">
        <v>63</v>
      </c>
      <c r="H87">
        <v>1.72</v>
      </c>
      <c r="I87">
        <v>93</v>
      </c>
      <c r="K87">
        <v>31.4359113034073</v>
      </c>
      <c r="L87">
        <v>120</v>
      </c>
      <c r="M87">
        <v>122.34</v>
      </c>
      <c r="N87">
        <v>197.8968</v>
      </c>
      <c r="O87">
        <v>97.7324</v>
      </c>
      <c r="P87">
        <v>163.4691</v>
      </c>
      <c r="Q87">
        <v>1.67261931560056</v>
      </c>
      <c r="R87">
        <v>66.8931855056788</v>
      </c>
      <c r="S87">
        <v>33.0355597620335</v>
      </c>
      <c r="T87">
        <v>55.2559153596539</v>
      </c>
      <c r="U87">
        <v>88.2914751216874</v>
      </c>
      <c r="V87">
        <v>-0.54162976085031</v>
      </c>
      <c r="W87">
        <v>16.2</v>
      </c>
      <c r="X87" s="60">
        <v>0.472222222222222</v>
      </c>
      <c r="Y87">
        <v>17</v>
      </c>
      <c r="AA87">
        <v>6</v>
      </c>
      <c r="AB87">
        <v>3</v>
      </c>
      <c r="AC87">
        <v>0</v>
      </c>
      <c r="AD87">
        <v>1</v>
      </c>
      <c r="AE87">
        <v>1</v>
      </c>
      <c r="AF87">
        <v>1</v>
      </c>
      <c r="AG87">
        <v>1</v>
      </c>
      <c r="AH87">
        <v>0</v>
      </c>
      <c r="AI87">
        <v>1</v>
      </c>
      <c r="AJ87">
        <v>1</v>
      </c>
      <c r="AK87">
        <v>1</v>
      </c>
      <c r="AL87">
        <v>1</v>
      </c>
      <c r="AM87">
        <v>1</v>
      </c>
      <c r="AN87">
        <v>1</v>
      </c>
      <c r="AO87">
        <v>1</v>
      </c>
      <c r="AP87">
        <v>0.5</v>
      </c>
      <c r="AQ87">
        <v>1</v>
      </c>
      <c r="AR87">
        <v>0</v>
      </c>
      <c r="AS87">
        <v>1</v>
      </c>
      <c r="AT87">
        <v>0</v>
      </c>
      <c r="AU87">
        <v>0.5</v>
      </c>
      <c r="AV87">
        <v>1</v>
      </c>
      <c r="AW87">
        <v>1</v>
      </c>
      <c r="AX87">
        <v>0</v>
      </c>
      <c r="AY87">
        <v>1</v>
      </c>
    </row>
    <row r="88" spans="1:51">
      <c r="A88" t="s">
        <v>237</v>
      </c>
      <c r="B88" s="82" t="s">
        <v>3295</v>
      </c>
      <c r="C88" s="71" t="s">
        <v>238</v>
      </c>
      <c r="D88" s="1">
        <v>0</v>
      </c>
      <c r="E88">
        <v>1074732</v>
      </c>
      <c r="F88">
        <v>1</v>
      </c>
      <c r="G88">
        <v>38</v>
      </c>
      <c r="H88">
        <v>1.78</v>
      </c>
      <c r="I88">
        <v>86</v>
      </c>
      <c r="K88">
        <v>27.1430374952657</v>
      </c>
      <c r="L88">
        <v>102</v>
      </c>
      <c r="M88">
        <v>107.83</v>
      </c>
      <c r="N88">
        <v>173.1874</v>
      </c>
      <c r="O88">
        <v>144.4718</v>
      </c>
      <c r="P88">
        <v>173.883</v>
      </c>
      <c r="Q88">
        <v>1.20357744556377</v>
      </c>
      <c r="R88">
        <v>54.6608382779952</v>
      </c>
      <c r="S88">
        <v>45.597714934983</v>
      </c>
      <c r="T88">
        <v>54.8803812649918</v>
      </c>
      <c r="U88">
        <v>100.478096199975</v>
      </c>
      <c r="V88">
        <v>-0.615194869264924</v>
      </c>
      <c r="W88">
        <v>43.5</v>
      </c>
      <c r="X88" s="60">
        <v>0.263888888888889</v>
      </c>
      <c r="Y88">
        <v>9.5</v>
      </c>
      <c r="Z88">
        <v>6.34</v>
      </c>
      <c r="AA88">
        <v>6</v>
      </c>
      <c r="AB88">
        <v>3</v>
      </c>
      <c r="AC88">
        <v>0</v>
      </c>
      <c r="AD88">
        <v>0</v>
      </c>
      <c r="AE88">
        <v>0</v>
      </c>
      <c r="AF88">
        <v>1</v>
      </c>
      <c r="AG88">
        <v>1</v>
      </c>
      <c r="AH88">
        <v>0</v>
      </c>
      <c r="AI88">
        <v>0</v>
      </c>
      <c r="AJ88">
        <v>0</v>
      </c>
      <c r="AK88">
        <v>0</v>
      </c>
      <c r="AL88">
        <v>0</v>
      </c>
      <c r="AM88">
        <v>0</v>
      </c>
      <c r="AN88">
        <v>0</v>
      </c>
      <c r="AO88">
        <v>1</v>
      </c>
      <c r="AP88">
        <v>0</v>
      </c>
      <c r="AQ88">
        <v>0</v>
      </c>
      <c r="AR88">
        <v>0</v>
      </c>
      <c r="AS88">
        <v>4</v>
      </c>
      <c r="AT88">
        <v>1</v>
      </c>
      <c r="AU88">
        <v>0.5</v>
      </c>
      <c r="AV88">
        <v>0</v>
      </c>
      <c r="AW88">
        <v>1</v>
      </c>
      <c r="AX88">
        <v>0</v>
      </c>
      <c r="AY88">
        <v>0</v>
      </c>
    </row>
    <row r="89" spans="1:51">
      <c r="A89" t="s">
        <v>240</v>
      </c>
      <c r="B89" s="82">
        <v>5</v>
      </c>
      <c r="C89" s="71" t="s">
        <v>241</v>
      </c>
      <c r="D89" s="1">
        <v>1</v>
      </c>
      <c r="E89">
        <v>1074617</v>
      </c>
      <c r="F89">
        <v>1</v>
      </c>
      <c r="G89">
        <v>66</v>
      </c>
      <c r="H89">
        <v>1.7</v>
      </c>
      <c r="I89">
        <v>55</v>
      </c>
      <c r="K89">
        <v>19.0311418685121</v>
      </c>
      <c r="L89">
        <v>113</v>
      </c>
      <c r="M89">
        <v>110.59</v>
      </c>
      <c r="N89">
        <v>126.9773</v>
      </c>
      <c r="O89">
        <v>83.446</v>
      </c>
      <c r="P89">
        <v>193.4529</v>
      </c>
      <c r="Q89">
        <v>2.31830045778108</v>
      </c>
      <c r="R89">
        <v>43.9367820069204</v>
      </c>
      <c r="S89">
        <v>28.8740484429066</v>
      </c>
      <c r="T89">
        <v>66.9387197231834</v>
      </c>
      <c r="U89">
        <v>95.81276816609</v>
      </c>
      <c r="V89">
        <v>-0.367585848074922</v>
      </c>
      <c r="W89">
        <v>9.1</v>
      </c>
      <c r="X89" s="60">
        <v>0.486111111111111</v>
      </c>
      <c r="Y89">
        <v>17.5</v>
      </c>
      <c r="Z89">
        <v>0</v>
      </c>
      <c r="AA89">
        <v>2</v>
      </c>
      <c r="AB89">
        <v>3</v>
      </c>
      <c r="AC89">
        <v>1</v>
      </c>
      <c r="AD89">
        <v>1</v>
      </c>
      <c r="AE89">
        <v>1</v>
      </c>
      <c r="AF89">
        <v>1</v>
      </c>
      <c r="AG89">
        <v>1</v>
      </c>
      <c r="AH89">
        <v>1</v>
      </c>
      <c r="AI89">
        <v>1</v>
      </c>
      <c r="AJ89">
        <v>1</v>
      </c>
      <c r="AK89">
        <v>1</v>
      </c>
      <c r="AL89">
        <v>1</v>
      </c>
      <c r="AM89">
        <v>1</v>
      </c>
      <c r="AN89">
        <v>1</v>
      </c>
      <c r="AO89">
        <v>0</v>
      </c>
      <c r="AP89">
        <v>1</v>
      </c>
      <c r="AQ89">
        <v>1</v>
      </c>
      <c r="AR89">
        <v>0</v>
      </c>
      <c r="AS89">
        <v>0</v>
      </c>
      <c r="AT89">
        <v>1</v>
      </c>
      <c r="AU89">
        <v>0.5</v>
      </c>
      <c r="AV89">
        <v>0</v>
      </c>
      <c r="AW89">
        <v>0</v>
      </c>
      <c r="AX89">
        <v>1</v>
      </c>
      <c r="AY89">
        <v>1</v>
      </c>
    </row>
    <row r="90" spans="1:51">
      <c r="A90" s="71" t="s">
        <v>242</v>
      </c>
      <c r="B90" s="82">
        <v>1</v>
      </c>
      <c r="C90" s="71" t="s">
        <v>243</v>
      </c>
      <c r="D90" s="1">
        <v>0</v>
      </c>
      <c r="E90">
        <v>1074845</v>
      </c>
      <c r="F90">
        <v>1</v>
      </c>
      <c r="G90">
        <v>49</v>
      </c>
      <c r="H90">
        <v>1.7</v>
      </c>
      <c r="I90">
        <v>95</v>
      </c>
      <c r="K90">
        <v>32.8719723183391</v>
      </c>
      <c r="L90">
        <v>112</v>
      </c>
      <c r="M90">
        <v>114.43</v>
      </c>
      <c r="N90">
        <v>230.2142</v>
      </c>
      <c r="O90">
        <v>228.8429</v>
      </c>
      <c r="P90">
        <v>178.6321</v>
      </c>
      <c r="Q90">
        <v>0.780588342482987</v>
      </c>
      <c r="R90">
        <v>79.658892733564</v>
      </c>
      <c r="S90">
        <v>79.1843944636678</v>
      </c>
      <c r="T90">
        <v>61.8104152249135</v>
      </c>
      <c r="U90">
        <v>140.994809688581</v>
      </c>
      <c r="V90">
        <v>-0.607521453811206</v>
      </c>
      <c r="W90">
        <v>35.6</v>
      </c>
      <c r="X90" s="60">
        <v>0.0555555555555556</v>
      </c>
      <c r="Y90">
        <v>2</v>
      </c>
      <c r="Z90">
        <v>0</v>
      </c>
      <c r="AA90">
        <v>0</v>
      </c>
      <c r="AB90">
        <v>1</v>
      </c>
      <c r="AC90">
        <v>0</v>
      </c>
      <c r="AD90">
        <v>0</v>
      </c>
      <c r="AE90">
        <v>0</v>
      </c>
      <c r="AF90">
        <v>0</v>
      </c>
      <c r="AG90">
        <v>0</v>
      </c>
      <c r="AH90">
        <v>0</v>
      </c>
      <c r="AI90">
        <v>0</v>
      </c>
      <c r="AJ90">
        <v>0</v>
      </c>
      <c r="AK90">
        <v>0</v>
      </c>
      <c r="AL90">
        <v>0</v>
      </c>
      <c r="AM90">
        <v>0</v>
      </c>
      <c r="AN90">
        <v>1</v>
      </c>
      <c r="AO90">
        <v>1</v>
      </c>
      <c r="AP90">
        <v>0</v>
      </c>
      <c r="AQ90">
        <v>0</v>
      </c>
      <c r="AR90">
        <v>0</v>
      </c>
      <c r="AS90">
        <v>0</v>
      </c>
      <c r="AT90">
        <v>0</v>
      </c>
      <c r="AU90">
        <v>0</v>
      </c>
      <c r="AV90">
        <v>0</v>
      </c>
      <c r="AW90">
        <v>0</v>
      </c>
      <c r="AX90">
        <v>0</v>
      </c>
      <c r="AY90">
        <v>0</v>
      </c>
    </row>
    <row r="91" spans="1:51">
      <c r="A91" t="s">
        <v>1360</v>
      </c>
      <c r="B91" s="82">
        <v>1</v>
      </c>
      <c r="C91" s="71" t="s">
        <v>3309</v>
      </c>
      <c r="D91" s="1">
        <v>1</v>
      </c>
      <c r="E91">
        <v>928440</v>
      </c>
      <c r="F91">
        <v>2</v>
      </c>
      <c r="G91">
        <v>73</v>
      </c>
      <c r="H91">
        <v>1.55</v>
      </c>
      <c r="I91">
        <v>57</v>
      </c>
      <c r="K91">
        <v>23.7252861602497</v>
      </c>
      <c r="L91">
        <v>95</v>
      </c>
      <c r="M91">
        <v>90.934</v>
      </c>
      <c r="N91">
        <v>99.3218</v>
      </c>
      <c r="O91">
        <v>201.2006</v>
      </c>
      <c r="P91">
        <v>131.4668</v>
      </c>
      <c r="Q91">
        <v>0.65341157034323</v>
      </c>
      <c r="R91">
        <v>41.3410197710718</v>
      </c>
      <c r="S91">
        <v>83.7463475546306</v>
      </c>
      <c r="T91">
        <v>54.7208324661811</v>
      </c>
      <c r="U91">
        <v>138.467180020812</v>
      </c>
      <c r="V91">
        <v>-0.306093528578177</v>
      </c>
      <c r="W91">
        <v>22.5</v>
      </c>
      <c r="X91" s="60">
        <v>0.333333333333333</v>
      </c>
      <c r="Y91">
        <v>12</v>
      </c>
      <c r="Z91">
        <v>0</v>
      </c>
      <c r="AA91">
        <v>0</v>
      </c>
      <c r="AB91">
        <v>1</v>
      </c>
      <c r="AC91">
        <v>0</v>
      </c>
      <c r="AD91">
        <v>1</v>
      </c>
      <c r="AE91">
        <v>1</v>
      </c>
      <c r="AF91">
        <v>1</v>
      </c>
      <c r="AG91">
        <v>1</v>
      </c>
      <c r="AH91">
        <v>0</v>
      </c>
      <c r="AI91">
        <v>0</v>
      </c>
      <c r="AJ91">
        <v>0</v>
      </c>
      <c r="AK91">
        <v>1</v>
      </c>
      <c r="AL91">
        <v>1</v>
      </c>
      <c r="AM91">
        <v>0</v>
      </c>
      <c r="AN91">
        <v>1</v>
      </c>
      <c r="AO91">
        <v>1</v>
      </c>
      <c r="AP91">
        <v>0</v>
      </c>
      <c r="AQ91">
        <v>0</v>
      </c>
      <c r="AR91">
        <v>0</v>
      </c>
      <c r="AS91">
        <v>3</v>
      </c>
      <c r="AT91">
        <v>0</v>
      </c>
      <c r="AU91">
        <v>0</v>
      </c>
      <c r="AV91">
        <v>0</v>
      </c>
      <c r="AW91">
        <v>0</v>
      </c>
      <c r="AX91">
        <v>0</v>
      </c>
      <c r="AY91">
        <v>1</v>
      </c>
    </row>
    <row r="92" spans="1:51">
      <c r="A92" t="s">
        <v>3310</v>
      </c>
      <c r="B92" s="82">
        <v>1</v>
      </c>
      <c r="C92" s="71" t="s">
        <v>3311</v>
      </c>
      <c r="D92">
        <v>0</v>
      </c>
      <c r="E92">
        <v>1074805</v>
      </c>
      <c r="F92">
        <v>1</v>
      </c>
      <c r="G92">
        <v>48</v>
      </c>
      <c r="H92">
        <v>1.75</v>
      </c>
      <c r="I92">
        <v>87.5</v>
      </c>
      <c r="K92">
        <v>28.5714285714286</v>
      </c>
      <c r="L92">
        <v>110</v>
      </c>
      <c r="M92">
        <v>111.95</v>
      </c>
      <c r="N92">
        <v>169.3665</v>
      </c>
      <c r="O92">
        <v>150.7813</v>
      </c>
      <c r="P92">
        <v>216.5283</v>
      </c>
      <c r="Q92">
        <v>1.43604213519846</v>
      </c>
      <c r="R92">
        <v>55.3033469387755</v>
      </c>
      <c r="S92">
        <v>49.2347102040816</v>
      </c>
      <c r="T92">
        <v>70.7031183673469</v>
      </c>
      <c r="U92">
        <v>119.937828571429</v>
      </c>
      <c r="V92">
        <v>-0.473219215902816</v>
      </c>
      <c r="W92">
        <v>26.4</v>
      </c>
      <c r="X92" s="60">
        <v>0.208333333333333</v>
      </c>
      <c r="Y92">
        <v>7.5</v>
      </c>
      <c r="Z92">
        <v>9.97</v>
      </c>
      <c r="AA92">
        <v>6</v>
      </c>
      <c r="AB92">
        <v>3</v>
      </c>
      <c r="AC92">
        <v>0</v>
      </c>
      <c r="AD92">
        <v>0</v>
      </c>
      <c r="AE92">
        <v>0</v>
      </c>
      <c r="AF92">
        <v>0</v>
      </c>
      <c r="AG92">
        <v>0</v>
      </c>
      <c r="AH92">
        <v>0</v>
      </c>
      <c r="AI92">
        <v>0</v>
      </c>
      <c r="AJ92">
        <v>0</v>
      </c>
      <c r="AK92">
        <v>1</v>
      </c>
      <c r="AL92">
        <v>0</v>
      </c>
      <c r="AM92">
        <v>1</v>
      </c>
      <c r="AN92">
        <v>1</v>
      </c>
      <c r="AO92">
        <v>0</v>
      </c>
      <c r="AP92">
        <v>0.5</v>
      </c>
      <c r="AQ92">
        <v>1</v>
      </c>
      <c r="AR92">
        <v>0</v>
      </c>
      <c r="AS92">
        <v>1</v>
      </c>
      <c r="AT92">
        <v>1</v>
      </c>
      <c r="AU92">
        <v>0.5</v>
      </c>
      <c r="AV92">
        <v>0</v>
      </c>
      <c r="AW92">
        <v>0</v>
      </c>
      <c r="AX92">
        <v>0</v>
      </c>
      <c r="AY92">
        <v>0.5</v>
      </c>
    </row>
    <row r="93" spans="1:51">
      <c r="A93" t="s">
        <v>245</v>
      </c>
      <c r="B93" s="82">
        <v>2</v>
      </c>
      <c r="C93" s="71" t="s">
        <v>246</v>
      </c>
      <c r="D93">
        <v>0</v>
      </c>
      <c r="E93">
        <v>1075370</v>
      </c>
      <c r="F93">
        <v>2</v>
      </c>
      <c r="G93">
        <v>83</v>
      </c>
      <c r="H93">
        <v>1.65</v>
      </c>
      <c r="I93">
        <v>58</v>
      </c>
      <c r="K93">
        <v>21.3039485766759</v>
      </c>
      <c r="L93">
        <v>82</v>
      </c>
      <c r="M93">
        <v>86.247</v>
      </c>
      <c r="N93">
        <v>115.0105</v>
      </c>
      <c r="O93">
        <v>99.5053</v>
      </c>
      <c r="P93">
        <v>69.6599</v>
      </c>
      <c r="Q93">
        <v>0.700062207741698</v>
      </c>
      <c r="R93">
        <v>42.2444444444444</v>
      </c>
      <c r="S93">
        <v>36.5492378328742</v>
      </c>
      <c r="T93">
        <v>25.5867401285583</v>
      </c>
      <c r="U93">
        <v>62.1359779614325</v>
      </c>
      <c r="V93">
        <v>-0.515418502202643</v>
      </c>
      <c r="W93">
        <v>13</v>
      </c>
      <c r="X93" s="60">
        <v>0.444444444444444</v>
      </c>
      <c r="Y93">
        <v>16</v>
      </c>
      <c r="Z93">
        <v>0</v>
      </c>
      <c r="AA93">
        <v>4</v>
      </c>
      <c r="AB93">
        <v>3</v>
      </c>
      <c r="AC93">
        <v>0</v>
      </c>
      <c r="AD93">
        <v>1</v>
      </c>
      <c r="AE93">
        <v>1</v>
      </c>
      <c r="AF93">
        <v>1</v>
      </c>
      <c r="AG93">
        <v>1</v>
      </c>
      <c r="AH93">
        <v>1</v>
      </c>
      <c r="AI93">
        <v>1</v>
      </c>
      <c r="AJ93">
        <v>1</v>
      </c>
      <c r="AK93">
        <v>1</v>
      </c>
      <c r="AL93">
        <v>0</v>
      </c>
      <c r="AM93">
        <v>0</v>
      </c>
      <c r="AN93">
        <v>1</v>
      </c>
      <c r="AO93">
        <v>0</v>
      </c>
      <c r="AP93">
        <v>1</v>
      </c>
      <c r="AQ93">
        <v>1</v>
      </c>
      <c r="AR93">
        <v>0</v>
      </c>
      <c r="AS93">
        <v>3</v>
      </c>
      <c r="AT93">
        <v>0.5</v>
      </c>
      <c r="AU93">
        <v>0</v>
      </c>
      <c r="AV93">
        <v>0</v>
      </c>
      <c r="AW93">
        <v>0</v>
      </c>
      <c r="AX93">
        <v>1</v>
      </c>
      <c r="AY93">
        <v>0.5</v>
      </c>
    </row>
    <row r="94" spans="1:51">
      <c r="A94" t="s">
        <v>248</v>
      </c>
      <c r="B94" s="82">
        <v>5</v>
      </c>
      <c r="C94" s="71" t="s">
        <v>249</v>
      </c>
      <c r="D94">
        <v>1</v>
      </c>
      <c r="E94">
        <v>1075458</v>
      </c>
      <c r="F94">
        <v>1</v>
      </c>
      <c r="G94">
        <v>65</v>
      </c>
      <c r="H94">
        <v>1.72</v>
      </c>
      <c r="I94">
        <v>98</v>
      </c>
      <c r="K94">
        <v>33.1260140616549</v>
      </c>
      <c r="M94">
        <v>118.14</v>
      </c>
      <c r="N94">
        <v>217.7393</v>
      </c>
      <c r="O94">
        <v>289.4173</v>
      </c>
      <c r="P94">
        <v>255.5827</v>
      </c>
      <c r="Q94">
        <v>0.883094065213102</v>
      </c>
      <c r="R94">
        <v>73.6003583017848</v>
      </c>
      <c r="S94">
        <v>97.8289954029205</v>
      </c>
      <c r="T94">
        <v>86.392205246079</v>
      </c>
      <c r="U94">
        <v>184.221200648999</v>
      </c>
      <c r="V94">
        <v>-0.465204236006051</v>
      </c>
      <c r="W94">
        <v>30.1</v>
      </c>
      <c r="X94" s="60">
        <v>0.0694444444444444</v>
      </c>
      <c r="Y94">
        <v>2.5</v>
      </c>
      <c r="AA94">
        <v>0</v>
      </c>
      <c r="AB94">
        <v>1</v>
      </c>
      <c r="AC94">
        <v>0</v>
      </c>
      <c r="AD94">
        <v>0</v>
      </c>
      <c r="AE94">
        <v>0</v>
      </c>
      <c r="AF94">
        <v>0</v>
      </c>
      <c r="AG94">
        <v>0</v>
      </c>
      <c r="AH94">
        <v>0</v>
      </c>
      <c r="AI94">
        <v>0</v>
      </c>
      <c r="AJ94">
        <v>0</v>
      </c>
      <c r="AK94">
        <v>0</v>
      </c>
      <c r="AL94">
        <v>0</v>
      </c>
      <c r="AM94">
        <v>0</v>
      </c>
      <c r="AN94">
        <v>0</v>
      </c>
      <c r="AO94">
        <v>0</v>
      </c>
      <c r="AP94">
        <v>0</v>
      </c>
      <c r="AQ94">
        <v>0</v>
      </c>
      <c r="AR94">
        <v>0</v>
      </c>
      <c r="AS94">
        <v>1</v>
      </c>
      <c r="AT94">
        <v>0</v>
      </c>
      <c r="AU94">
        <v>0</v>
      </c>
      <c r="AV94">
        <v>1</v>
      </c>
      <c r="AW94">
        <v>0</v>
      </c>
      <c r="AX94">
        <v>0</v>
      </c>
      <c r="AY94">
        <v>0.5</v>
      </c>
    </row>
    <row r="95" spans="1:51">
      <c r="A95" t="s">
        <v>251</v>
      </c>
      <c r="B95" s="82">
        <v>5</v>
      </c>
      <c r="C95" s="71" t="s">
        <v>252</v>
      </c>
      <c r="D95">
        <v>1</v>
      </c>
      <c r="E95">
        <v>1075730</v>
      </c>
      <c r="F95">
        <v>2</v>
      </c>
      <c r="G95">
        <v>65</v>
      </c>
      <c r="H95">
        <v>1.57</v>
      </c>
      <c r="L95">
        <v>89</v>
      </c>
      <c r="M95">
        <v>91.209</v>
      </c>
      <c r="N95">
        <v>100.3502</v>
      </c>
      <c r="O95">
        <v>88.3515</v>
      </c>
      <c r="P95">
        <v>99.2576</v>
      </c>
      <c r="Q95">
        <v>1.12343989632321</v>
      </c>
      <c r="R95">
        <v>40.7116718730983</v>
      </c>
      <c r="S95">
        <v>35.8438476205931</v>
      </c>
      <c r="T95">
        <v>40.268408454704</v>
      </c>
      <c r="U95">
        <v>76.1122560752972</v>
      </c>
      <c r="V95">
        <v>-0.943513119533528</v>
      </c>
      <c r="W95">
        <v>14.1</v>
      </c>
      <c r="X95" s="60">
        <v>0</v>
      </c>
      <c r="Y95">
        <v>0</v>
      </c>
      <c r="Z95">
        <v>0</v>
      </c>
      <c r="AA95">
        <v>3</v>
      </c>
      <c r="AB95">
        <v>3</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row>
    <row r="96" spans="1:51">
      <c r="A96" t="s">
        <v>254</v>
      </c>
      <c r="B96" s="82">
        <v>2</v>
      </c>
      <c r="C96" s="71" t="s">
        <v>255</v>
      </c>
      <c r="D96">
        <v>0</v>
      </c>
      <c r="E96">
        <v>890880</v>
      </c>
      <c r="F96">
        <v>1</v>
      </c>
      <c r="G96">
        <v>70</v>
      </c>
      <c r="H96">
        <v>1.63</v>
      </c>
      <c r="I96">
        <v>70</v>
      </c>
      <c r="K96">
        <v>26.346494034401</v>
      </c>
      <c r="L96">
        <v>95</v>
      </c>
      <c r="M96">
        <v>94.655</v>
      </c>
      <c r="N96">
        <v>155.4099</v>
      </c>
      <c r="O96">
        <v>137.6367</v>
      </c>
      <c r="P96">
        <v>154.8413</v>
      </c>
      <c r="Q96">
        <v>1.1250000908188</v>
      </c>
      <c r="R96">
        <v>58.4929429033836</v>
      </c>
      <c r="S96">
        <v>51.803492792352</v>
      </c>
      <c r="T96">
        <v>58.2789340961271</v>
      </c>
      <c r="U96">
        <v>110.082426888479</v>
      </c>
      <c r="V96">
        <v>-0.579474940334129</v>
      </c>
      <c r="W96">
        <v>33.8</v>
      </c>
      <c r="X96" s="60">
        <v>0.0277777777777778</v>
      </c>
      <c r="Y96">
        <v>1</v>
      </c>
      <c r="Z96">
        <v>4.97</v>
      </c>
      <c r="AA96">
        <v>0</v>
      </c>
      <c r="AB96">
        <v>1</v>
      </c>
      <c r="AC96">
        <v>0</v>
      </c>
      <c r="AD96">
        <v>0</v>
      </c>
      <c r="AE96">
        <v>0</v>
      </c>
      <c r="AF96">
        <v>0</v>
      </c>
      <c r="AG96">
        <v>0</v>
      </c>
      <c r="AH96">
        <v>0</v>
      </c>
      <c r="AI96">
        <v>0</v>
      </c>
      <c r="AJ96">
        <v>0</v>
      </c>
      <c r="AK96">
        <v>0</v>
      </c>
      <c r="AL96">
        <v>0</v>
      </c>
      <c r="AM96">
        <v>0</v>
      </c>
      <c r="AN96">
        <v>0</v>
      </c>
      <c r="AO96">
        <v>0</v>
      </c>
      <c r="AP96">
        <v>0</v>
      </c>
      <c r="AQ96">
        <v>0</v>
      </c>
      <c r="AR96">
        <v>0</v>
      </c>
      <c r="AS96">
        <v>1</v>
      </c>
      <c r="AT96">
        <v>0</v>
      </c>
      <c r="AU96">
        <v>0</v>
      </c>
      <c r="AV96">
        <v>0</v>
      </c>
      <c r="AW96">
        <v>0</v>
      </c>
      <c r="AX96">
        <v>0</v>
      </c>
      <c r="AY96">
        <v>0</v>
      </c>
    </row>
    <row r="97" spans="1:51">
      <c r="A97" t="s">
        <v>103</v>
      </c>
      <c r="B97" s="82">
        <v>5</v>
      </c>
      <c r="C97" s="71" t="s">
        <v>3312</v>
      </c>
      <c r="D97">
        <v>1</v>
      </c>
      <c r="E97">
        <v>1056855</v>
      </c>
      <c r="F97">
        <v>1</v>
      </c>
      <c r="G97">
        <v>69</v>
      </c>
      <c r="H97">
        <v>1.69</v>
      </c>
      <c r="I97">
        <v>82</v>
      </c>
      <c r="K97">
        <v>28.7104793249536</v>
      </c>
      <c r="L97">
        <v>99</v>
      </c>
      <c r="M97">
        <v>97.143</v>
      </c>
      <c r="N97">
        <v>186.3272</v>
      </c>
      <c r="O97">
        <v>142.8567</v>
      </c>
      <c r="P97">
        <v>144.4512</v>
      </c>
      <c r="Q97">
        <v>1.01116153460076</v>
      </c>
      <c r="R97">
        <v>65.2383319911768</v>
      </c>
      <c r="S97">
        <v>50.0181016070866</v>
      </c>
      <c r="T97">
        <v>50.5763803788383</v>
      </c>
      <c r="U97">
        <v>100.594481985925</v>
      </c>
      <c r="V97">
        <v>-0.616169977924945</v>
      </c>
      <c r="W97">
        <v>32.5</v>
      </c>
      <c r="X97" s="60">
        <v>0.0833333333333333</v>
      </c>
      <c r="Y97">
        <v>3</v>
      </c>
      <c r="Z97">
        <v>8.23</v>
      </c>
      <c r="AA97">
        <v>1</v>
      </c>
      <c r="AB97">
        <v>2</v>
      </c>
      <c r="AC97">
        <v>0</v>
      </c>
      <c r="AD97">
        <v>0</v>
      </c>
      <c r="AE97">
        <v>0</v>
      </c>
      <c r="AF97">
        <v>0</v>
      </c>
      <c r="AG97">
        <v>0</v>
      </c>
      <c r="AH97">
        <v>0</v>
      </c>
      <c r="AI97">
        <v>0</v>
      </c>
      <c r="AJ97">
        <v>0</v>
      </c>
      <c r="AK97">
        <v>0</v>
      </c>
      <c r="AL97">
        <v>0</v>
      </c>
      <c r="AM97">
        <v>0</v>
      </c>
      <c r="AN97">
        <v>0</v>
      </c>
      <c r="AO97">
        <v>0</v>
      </c>
      <c r="AP97">
        <v>0</v>
      </c>
      <c r="AQ97">
        <v>0</v>
      </c>
      <c r="AR97">
        <v>0</v>
      </c>
      <c r="AS97">
        <v>2</v>
      </c>
      <c r="AT97">
        <v>0</v>
      </c>
      <c r="AU97">
        <v>0</v>
      </c>
      <c r="AV97">
        <v>0</v>
      </c>
      <c r="AW97">
        <v>0</v>
      </c>
      <c r="AX97">
        <v>1</v>
      </c>
      <c r="AY97">
        <v>0</v>
      </c>
    </row>
    <row r="98" s="87" customFormat="1" spans="1:51">
      <c r="A98" s="87" t="s">
        <v>3313</v>
      </c>
      <c r="B98" s="90"/>
      <c r="C98" s="87" t="s">
        <v>3314</v>
      </c>
      <c r="D98" s="92">
        <v>1</v>
      </c>
      <c r="E98" s="87">
        <v>958761</v>
      </c>
      <c r="F98" s="87">
        <v>2</v>
      </c>
      <c r="G98" s="87">
        <v>89</v>
      </c>
      <c r="H98" s="87">
        <v>1.58</v>
      </c>
      <c r="I98" s="87">
        <v>61</v>
      </c>
      <c r="K98" s="87">
        <v>24.4351866688031</v>
      </c>
      <c r="L98" s="87">
        <v>92</v>
      </c>
      <c r="M98" s="87">
        <v>99.127</v>
      </c>
      <c r="N98" s="87">
        <v>112.7996</v>
      </c>
      <c r="O98" s="87">
        <v>137.6489</v>
      </c>
      <c r="P98" s="87">
        <v>218.5001</v>
      </c>
      <c r="Q98" s="87">
        <v>1.5873726560837</v>
      </c>
      <c r="R98" s="87">
        <v>45.1849062650216</v>
      </c>
      <c r="S98" s="87">
        <v>55.1389601025477</v>
      </c>
      <c r="T98" s="87">
        <v>87.5260775516744</v>
      </c>
      <c r="U98" s="87">
        <v>142.665037654222</v>
      </c>
      <c r="V98" s="87">
        <v>-0.0987093690248566</v>
      </c>
      <c r="W98" s="87">
        <v>7.3</v>
      </c>
      <c r="X98" s="91">
        <v>0.513888888888889</v>
      </c>
      <c r="Y98" s="87">
        <v>18.5</v>
      </c>
      <c r="Z98" s="87">
        <v>0</v>
      </c>
      <c r="AA98" s="87">
        <v>3</v>
      </c>
      <c r="AB98" s="87">
        <v>3</v>
      </c>
      <c r="AC98" s="87">
        <v>0</v>
      </c>
      <c r="AD98" s="87">
        <v>1</v>
      </c>
      <c r="AE98" s="87">
        <v>1</v>
      </c>
      <c r="AF98" s="87">
        <v>1</v>
      </c>
      <c r="AG98" s="87">
        <v>1</v>
      </c>
      <c r="AH98" s="87">
        <v>1</v>
      </c>
      <c r="AI98" s="87">
        <v>1</v>
      </c>
      <c r="AJ98" s="87">
        <v>1</v>
      </c>
      <c r="AK98" s="87">
        <v>1</v>
      </c>
      <c r="AL98" s="87">
        <v>1</v>
      </c>
      <c r="AM98" s="87">
        <v>1</v>
      </c>
      <c r="AN98" s="87">
        <v>1</v>
      </c>
      <c r="AO98" s="87">
        <v>0</v>
      </c>
      <c r="AP98" s="87">
        <v>0.5</v>
      </c>
      <c r="AQ98" s="87">
        <v>1</v>
      </c>
      <c r="AR98" s="87">
        <v>0</v>
      </c>
      <c r="AS98" s="87">
        <v>5</v>
      </c>
      <c r="AT98" s="87">
        <v>0</v>
      </c>
      <c r="AU98" s="87">
        <v>0</v>
      </c>
      <c r="AV98" s="87">
        <v>0</v>
      </c>
      <c r="AW98" s="87">
        <v>0</v>
      </c>
      <c r="AX98" s="87">
        <v>0</v>
      </c>
      <c r="AY98" s="87">
        <v>1</v>
      </c>
    </row>
    <row r="99" spans="1:51">
      <c r="A99" t="s">
        <v>257</v>
      </c>
      <c r="B99" s="82">
        <v>1</v>
      </c>
      <c r="C99" s="71" t="s">
        <v>3315</v>
      </c>
      <c r="D99">
        <v>1</v>
      </c>
      <c r="E99">
        <v>999989</v>
      </c>
      <c r="F99">
        <v>2</v>
      </c>
      <c r="G99">
        <v>69</v>
      </c>
      <c r="H99">
        <v>1.55</v>
      </c>
      <c r="I99">
        <v>55</v>
      </c>
      <c r="K99">
        <v>22.8928199791883</v>
      </c>
      <c r="L99">
        <v>90</v>
      </c>
      <c r="M99">
        <v>92.745</v>
      </c>
      <c r="N99">
        <v>93.0756</v>
      </c>
      <c r="O99">
        <v>219.6177</v>
      </c>
      <c r="P99">
        <v>115.5764</v>
      </c>
      <c r="Q99">
        <v>0.526261772161351</v>
      </c>
      <c r="R99">
        <v>38.741144640999</v>
      </c>
      <c r="S99">
        <v>91.4121540062435</v>
      </c>
      <c r="T99">
        <v>48.1067221644121</v>
      </c>
      <c r="U99">
        <v>139.518876170656</v>
      </c>
      <c r="V99">
        <v>-0.405351614329942</v>
      </c>
      <c r="W99">
        <v>20.2</v>
      </c>
      <c r="X99" s="60">
        <v>0.111111111111111</v>
      </c>
      <c r="Y99">
        <v>4</v>
      </c>
      <c r="Z99">
        <v>0</v>
      </c>
      <c r="AA99">
        <v>2</v>
      </c>
      <c r="AB99">
        <v>3</v>
      </c>
      <c r="AC99">
        <v>0</v>
      </c>
      <c r="AD99">
        <v>0</v>
      </c>
      <c r="AE99">
        <v>0</v>
      </c>
      <c r="AF99">
        <v>0</v>
      </c>
      <c r="AG99">
        <v>0</v>
      </c>
      <c r="AH99">
        <v>0</v>
      </c>
      <c r="AI99">
        <v>0</v>
      </c>
      <c r="AJ99">
        <v>0</v>
      </c>
      <c r="AK99">
        <v>0</v>
      </c>
      <c r="AL99">
        <v>0</v>
      </c>
      <c r="AM99">
        <v>0</v>
      </c>
      <c r="AN99">
        <v>0</v>
      </c>
      <c r="AO99">
        <v>0</v>
      </c>
      <c r="AP99">
        <v>0</v>
      </c>
      <c r="AQ99">
        <v>0</v>
      </c>
      <c r="AR99">
        <v>0</v>
      </c>
      <c r="AS99">
        <v>4</v>
      </c>
      <c r="AT99">
        <v>0</v>
      </c>
      <c r="AU99">
        <v>0</v>
      </c>
      <c r="AV99">
        <v>0</v>
      </c>
      <c r="AW99">
        <v>0</v>
      </c>
      <c r="AX99">
        <v>0</v>
      </c>
      <c r="AY99">
        <v>0</v>
      </c>
    </row>
    <row r="100" spans="1:51">
      <c r="A100" t="s">
        <v>260</v>
      </c>
      <c r="B100" s="82">
        <v>2</v>
      </c>
      <c r="C100" s="71" t="s">
        <v>261</v>
      </c>
      <c r="D100">
        <v>0</v>
      </c>
      <c r="E100">
        <v>1075713</v>
      </c>
      <c r="F100">
        <v>1</v>
      </c>
      <c r="G100">
        <v>59</v>
      </c>
      <c r="H100">
        <v>1.72</v>
      </c>
      <c r="I100">
        <v>75</v>
      </c>
      <c r="K100">
        <v>25.3515413737155</v>
      </c>
      <c r="L100">
        <v>94</v>
      </c>
      <c r="M100">
        <v>89.47</v>
      </c>
      <c r="N100">
        <v>140.9887</v>
      </c>
      <c r="O100">
        <v>131.4442</v>
      </c>
      <c r="P100">
        <v>162.304</v>
      </c>
      <c r="Q100">
        <v>1.23477490828808</v>
      </c>
      <c r="R100">
        <v>47.6570781503515</v>
      </c>
      <c r="S100">
        <v>44.4308409951325</v>
      </c>
      <c r="T100">
        <v>54.862087614927</v>
      </c>
      <c r="U100">
        <v>99.2929286100595</v>
      </c>
      <c r="V100">
        <v>-0.189397590361446</v>
      </c>
      <c r="W100">
        <v>37.5</v>
      </c>
      <c r="X100" s="60">
        <v>0.0416666666666667</v>
      </c>
      <c r="Y100">
        <v>1.5</v>
      </c>
      <c r="Z100">
        <v>0</v>
      </c>
      <c r="AA100">
        <v>6</v>
      </c>
      <c r="AB100">
        <v>3</v>
      </c>
      <c r="AC100">
        <v>0</v>
      </c>
      <c r="AD100">
        <v>0</v>
      </c>
      <c r="AE100">
        <v>0</v>
      </c>
      <c r="AF100">
        <v>0</v>
      </c>
      <c r="AG100">
        <v>0</v>
      </c>
      <c r="AH100">
        <v>0</v>
      </c>
      <c r="AI100">
        <v>0</v>
      </c>
      <c r="AJ100">
        <v>0</v>
      </c>
      <c r="AK100">
        <v>0</v>
      </c>
      <c r="AL100">
        <v>0</v>
      </c>
      <c r="AM100">
        <v>0</v>
      </c>
      <c r="AN100">
        <v>0</v>
      </c>
      <c r="AO100">
        <v>0</v>
      </c>
      <c r="AP100">
        <v>0</v>
      </c>
      <c r="AQ100">
        <v>0</v>
      </c>
      <c r="AR100">
        <v>0</v>
      </c>
      <c r="AS100">
        <v>0</v>
      </c>
      <c r="AT100">
        <v>0.5</v>
      </c>
      <c r="AU100">
        <v>0</v>
      </c>
      <c r="AV100">
        <v>1</v>
      </c>
      <c r="AW100">
        <v>0</v>
      </c>
      <c r="AX100">
        <v>0</v>
      </c>
      <c r="AY100">
        <v>0</v>
      </c>
    </row>
    <row r="101" spans="1:51">
      <c r="A101" t="s">
        <v>198</v>
      </c>
      <c r="B101" s="82">
        <v>2</v>
      </c>
      <c r="C101" s="71" t="s">
        <v>263</v>
      </c>
      <c r="D101">
        <v>0</v>
      </c>
      <c r="E101">
        <v>770008</v>
      </c>
      <c r="F101">
        <v>1</v>
      </c>
      <c r="G101">
        <v>64</v>
      </c>
      <c r="H101">
        <v>1.7</v>
      </c>
      <c r="M101">
        <v>92.087</v>
      </c>
      <c r="N101">
        <v>88.9942</v>
      </c>
      <c r="O101">
        <v>91.7974</v>
      </c>
      <c r="P101">
        <v>197.5265</v>
      </c>
      <c r="Q101">
        <v>2.15176573628447</v>
      </c>
      <c r="R101">
        <v>30.7938408304498</v>
      </c>
      <c r="S101">
        <v>31.7638062283737</v>
      </c>
      <c r="T101">
        <v>68.3482698961938</v>
      </c>
      <c r="U101">
        <v>100.112076124567</v>
      </c>
      <c r="V101">
        <v>-0.25894538606403</v>
      </c>
      <c r="W101">
        <v>32.6</v>
      </c>
      <c r="X101" s="60">
        <v>0.375</v>
      </c>
      <c r="Y101">
        <v>13.5</v>
      </c>
      <c r="Z101">
        <v>0</v>
      </c>
      <c r="AA101">
        <v>3</v>
      </c>
      <c r="AB101">
        <v>3</v>
      </c>
      <c r="AC101">
        <v>0</v>
      </c>
      <c r="AD101">
        <v>1</v>
      </c>
      <c r="AE101">
        <v>1</v>
      </c>
      <c r="AF101">
        <v>1</v>
      </c>
      <c r="AG101">
        <v>1</v>
      </c>
      <c r="AH101">
        <v>1</v>
      </c>
      <c r="AI101">
        <v>1</v>
      </c>
      <c r="AJ101">
        <v>1</v>
      </c>
      <c r="AK101">
        <v>1</v>
      </c>
      <c r="AL101">
        <v>1</v>
      </c>
      <c r="AM101">
        <v>1</v>
      </c>
      <c r="AN101">
        <v>1</v>
      </c>
      <c r="AO101">
        <v>0</v>
      </c>
      <c r="AP101">
        <v>0.5</v>
      </c>
      <c r="AQ101">
        <v>1</v>
      </c>
      <c r="AR101">
        <v>0</v>
      </c>
      <c r="AS101">
        <v>0</v>
      </c>
      <c r="AT101">
        <v>0</v>
      </c>
      <c r="AU101">
        <v>0</v>
      </c>
      <c r="AV101">
        <v>0</v>
      </c>
      <c r="AW101">
        <v>0</v>
      </c>
      <c r="AX101">
        <v>0</v>
      </c>
      <c r="AY101">
        <v>1</v>
      </c>
    </row>
    <row r="102" spans="1:51">
      <c r="A102" t="s">
        <v>52</v>
      </c>
      <c r="B102" s="82" t="s">
        <v>3297</v>
      </c>
      <c r="C102" s="71" t="s">
        <v>3316</v>
      </c>
      <c r="D102">
        <v>1</v>
      </c>
      <c r="E102">
        <v>832230</v>
      </c>
      <c r="F102">
        <v>2</v>
      </c>
      <c r="G102">
        <v>69</v>
      </c>
      <c r="H102">
        <v>1.62</v>
      </c>
      <c r="I102">
        <v>64.6</v>
      </c>
      <c r="K102">
        <v>24.6151501295534</v>
      </c>
      <c r="L102">
        <v>94</v>
      </c>
      <c r="M102">
        <v>109.64</v>
      </c>
      <c r="N102">
        <v>127.8435</v>
      </c>
      <c r="O102">
        <v>166.6478</v>
      </c>
      <c r="P102">
        <v>222.0497</v>
      </c>
      <c r="Q102">
        <v>1.33244903323056</v>
      </c>
      <c r="R102">
        <v>48.7134202103338</v>
      </c>
      <c r="S102">
        <v>63.4993903368389</v>
      </c>
      <c r="T102">
        <v>84.609701265051</v>
      </c>
      <c r="U102">
        <v>148.10909160189</v>
      </c>
      <c r="V102">
        <v>-0.388375882672461</v>
      </c>
      <c r="W102">
        <v>27.8</v>
      </c>
      <c r="X102" s="60">
        <v>0.291666666666667</v>
      </c>
      <c r="Y102">
        <v>10.5</v>
      </c>
      <c r="Z102">
        <v>0</v>
      </c>
      <c r="AA102">
        <v>3</v>
      </c>
      <c r="AB102">
        <v>3</v>
      </c>
      <c r="AC102">
        <v>0</v>
      </c>
      <c r="AD102">
        <v>1</v>
      </c>
      <c r="AE102">
        <v>1</v>
      </c>
      <c r="AF102">
        <v>0</v>
      </c>
      <c r="AG102">
        <v>0</v>
      </c>
      <c r="AH102">
        <v>0</v>
      </c>
      <c r="AI102">
        <v>0</v>
      </c>
      <c r="AJ102">
        <v>1</v>
      </c>
      <c r="AK102">
        <v>1</v>
      </c>
      <c r="AL102">
        <v>1</v>
      </c>
      <c r="AM102">
        <v>0</v>
      </c>
      <c r="AN102">
        <v>1</v>
      </c>
      <c r="AO102">
        <v>0</v>
      </c>
      <c r="AP102">
        <v>0.5</v>
      </c>
      <c r="AQ102">
        <v>1</v>
      </c>
      <c r="AR102">
        <v>0</v>
      </c>
      <c r="AS102">
        <v>0</v>
      </c>
      <c r="AT102">
        <v>0</v>
      </c>
      <c r="AU102">
        <v>0</v>
      </c>
      <c r="AV102">
        <v>1</v>
      </c>
      <c r="AW102">
        <v>1</v>
      </c>
      <c r="AX102">
        <v>0</v>
      </c>
      <c r="AY102">
        <v>1</v>
      </c>
    </row>
    <row r="103" spans="1:51">
      <c r="A103" t="s">
        <v>3317</v>
      </c>
      <c r="B103" s="82">
        <v>5</v>
      </c>
      <c r="C103" s="71" t="s">
        <v>3318</v>
      </c>
      <c r="D103">
        <v>1</v>
      </c>
      <c r="E103">
        <v>1076984</v>
      </c>
      <c r="F103">
        <v>2</v>
      </c>
      <c r="G103">
        <v>64</v>
      </c>
      <c r="H103">
        <v>1.58</v>
      </c>
      <c r="I103">
        <v>61</v>
      </c>
      <c r="K103">
        <v>24.4351866688031</v>
      </c>
      <c r="L103">
        <v>95</v>
      </c>
      <c r="M103">
        <v>91.121</v>
      </c>
      <c r="N103">
        <v>105.2768</v>
      </c>
      <c r="O103">
        <v>156.8657</v>
      </c>
      <c r="P103">
        <v>182.6533</v>
      </c>
      <c r="Q103">
        <v>1.16439285324963</v>
      </c>
      <c r="R103">
        <v>42.1714468835122</v>
      </c>
      <c r="S103">
        <v>62.8367649415158</v>
      </c>
      <c r="T103">
        <v>73.1666800192277</v>
      </c>
      <c r="U103">
        <v>136.003444960743</v>
      </c>
      <c r="V103">
        <v>-0.472540592168099</v>
      </c>
      <c r="W103">
        <v>50.8</v>
      </c>
      <c r="X103" s="60">
        <v>0.0277777777777778</v>
      </c>
      <c r="Y103">
        <v>1</v>
      </c>
      <c r="Z103">
        <v>7.39</v>
      </c>
      <c r="AA103">
        <v>1</v>
      </c>
      <c r="AB103">
        <v>2</v>
      </c>
      <c r="AC103">
        <v>0</v>
      </c>
      <c r="AD103">
        <v>0</v>
      </c>
      <c r="AE103">
        <v>0</v>
      </c>
      <c r="AF103">
        <v>0</v>
      </c>
      <c r="AG103">
        <v>0</v>
      </c>
      <c r="AH103">
        <v>0</v>
      </c>
      <c r="AI103">
        <v>0</v>
      </c>
      <c r="AJ103">
        <v>0</v>
      </c>
      <c r="AK103">
        <v>0</v>
      </c>
      <c r="AL103">
        <v>0</v>
      </c>
      <c r="AM103">
        <v>0</v>
      </c>
      <c r="AN103">
        <v>0</v>
      </c>
      <c r="AO103">
        <v>0</v>
      </c>
      <c r="AP103">
        <v>0</v>
      </c>
      <c r="AQ103">
        <v>0</v>
      </c>
      <c r="AR103">
        <v>0</v>
      </c>
      <c r="AS103">
        <v>1</v>
      </c>
      <c r="AT103">
        <v>0</v>
      </c>
      <c r="AU103">
        <v>0</v>
      </c>
      <c r="AV103">
        <v>0</v>
      </c>
      <c r="AW103">
        <v>0</v>
      </c>
      <c r="AX103">
        <v>0</v>
      </c>
      <c r="AY103">
        <v>0</v>
      </c>
    </row>
    <row r="104" spans="1:51">
      <c r="A104" t="s">
        <v>265</v>
      </c>
      <c r="B104" s="82">
        <v>1</v>
      </c>
      <c r="C104" s="71" t="s">
        <v>266</v>
      </c>
      <c r="D104">
        <v>1</v>
      </c>
      <c r="E104">
        <v>1077102</v>
      </c>
      <c r="F104">
        <v>2</v>
      </c>
      <c r="G104">
        <v>67</v>
      </c>
      <c r="H104">
        <v>1.67</v>
      </c>
      <c r="I104">
        <v>87</v>
      </c>
      <c r="K104">
        <v>31.1950948402596</v>
      </c>
      <c r="L104">
        <v>96</v>
      </c>
      <c r="M104">
        <v>106.38</v>
      </c>
      <c r="N104">
        <v>124.8166</v>
      </c>
      <c r="O104">
        <v>277.2602</v>
      </c>
      <c r="P104">
        <v>217.0682</v>
      </c>
      <c r="Q104">
        <v>0.782904289905295</v>
      </c>
      <c r="R104">
        <v>44.7547778694109</v>
      </c>
      <c r="S104">
        <v>99.4156118899925</v>
      </c>
      <c r="T104">
        <v>77.8329090322349</v>
      </c>
      <c r="U104">
        <v>177.248520922227</v>
      </c>
      <c r="V104">
        <v>-0.377888536474853</v>
      </c>
      <c r="W104">
        <v>21.4</v>
      </c>
      <c r="X104" s="60">
        <v>0.138888888888889</v>
      </c>
      <c r="Y104">
        <v>5</v>
      </c>
      <c r="Z104">
        <v>0</v>
      </c>
      <c r="AA104">
        <v>0</v>
      </c>
      <c r="AB104">
        <v>1</v>
      </c>
      <c r="AC104">
        <v>0</v>
      </c>
      <c r="AD104">
        <v>0</v>
      </c>
      <c r="AE104">
        <v>0</v>
      </c>
      <c r="AF104">
        <v>0</v>
      </c>
      <c r="AG104">
        <v>0</v>
      </c>
      <c r="AH104">
        <v>0</v>
      </c>
      <c r="AI104">
        <v>0</v>
      </c>
      <c r="AJ104">
        <v>0</v>
      </c>
      <c r="AK104">
        <v>0</v>
      </c>
      <c r="AL104">
        <v>0</v>
      </c>
      <c r="AM104">
        <v>0</v>
      </c>
      <c r="AN104">
        <v>1</v>
      </c>
      <c r="AO104">
        <v>0</v>
      </c>
      <c r="AP104">
        <v>0</v>
      </c>
      <c r="AQ104">
        <v>0</v>
      </c>
      <c r="AR104">
        <v>0</v>
      </c>
      <c r="AS104">
        <v>3</v>
      </c>
      <c r="AT104">
        <v>0</v>
      </c>
      <c r="AU104">
        <v>0</v>
      </c>
      <c r="AV104">
        <v>0</v>
      </c>
      <c r="AW104">
        <v>1</v>
      </c>
      <c r="AX104">
        <v>0</v>
      </c>
      <c r="AY104">
        <v>0</v>
      </c>
    </row>
    <row r="105" spans="1:51">
      <c r="A105" t="s">
        <v>268</v>
      </c>
      <c r="B105" s="82">
        <v>4</v>
      </c>
      <c r="C105" s="71" t="s">
        <v>270</v>
      </c>
      <c r="D105">
        <v>0</v>
      </c>
      <c r="E105">
        <v>1077695</v>
      </c>
      <c r="F105">
        <v>2</v>
      </c>
      <c r="G105">
        <v>57</v>
      </c>
      <c r="H105">
        <v>1.6</v>
      </c>
      <c r="I105">
        <v>59</v>
      </c>
      <c r="K105">
        <v>23.046875</v>
      </c>
      <c r="L105">
        <v>89</v>
      </c>
      <c r="R105">
        <v>0</v>
      </c>
      <c r="S105">
        <v>0</v>
      </c>
      <c r="T105">
        <v>0</v>
      </c>
      <c r="U105">
        <v>0</v>
      </c>
      <c r="X105" s="60">
        <v>0.111111111111111</v>
      </c>
      <c r="Y105">
        <v>4</v>
      </c>
      <c r="Z105">
        <v>5.51</v>
      </c>
      <c r="AA105">
        <v>0</v>
      </c>
      <c r="AB105">
        <v>1</v>
      </c>
      <c r="AC105">
        <v>0</v>
      </c>
      <c r="AD105">
        <v>0</v>
      </c>
      <c r="AE105">
        <v>0</v>
      </c>
      <c r="AF105">
        <v>0</v>
      </c>
      <c r="AG105">
        <v>0</v>
      </c>
      <c r="AH105">
        <v>0</v>
      </c>
      <c r="AI105">
        <v>0</v>
      </c>
      <c r="AJ105">
        <v>0</v>
      </c>
      <c r="AK105">
        <v>0</v>
      </c>
      <c r="AL105">
        <v>0</v>
      </c>
      <c r="AM105">
        <v>0</v>
      </c>
      <c r="AN105">
        <v>0</v>
      </c>
      <c r="AO105">
        <v>1</v>
      </c>
      <c r="AP105">
        <v>0.5</v>
      </c>
      <c r="AQ105">
        <v>1</v>
      </c>
      <c r="AR105">
        <v>0</v>
      </c>
      <c r="AS105">
        <v>1</v>
      </c>
      <c r="AT105">
        <v>0</v>
      </c>
      <c r="AU105">
        <v>0</v>
      </c>
      <c r="AV105">
        <v>0</v>
      </c>
      <c r="AW105">
        <v>0</v>
      </c>
      <c r="AX105">
        <v>0</v>
      </c>
      <c r="AY105">
        <v>0.5</v>
      </c>
    </row>
    <row r="106" spans="1:51">
      <c r="A106" t="s">
        <v>3319</v>
      </c>
      <c r="B106" s="82">
        <v>5</v>
      </c>
      <c r="C106" s="71" t="s">
        <v>3320</v>
      </c>
      <c r="D106">
        <v>1</v>
      </c>
      <c r="E106">
        <v>1077048</v>
      </c>
      <c r="F106">
        <v>2</v>
      </c>
      <c r="G106">
        <v>63</v>
      </c>
      <c r="H106">
        <v>1.71</v>
      </c>
      <c r="I106">
        <v>55</v>
      </c>
      <c r="K106">
        <v>18.8092062514962</v>
      </c>
      <c r="L106">
        <v>88</v>
      </c>
      <c r="R106">
        <v>0</v>
      </c>
      <c r="S106">
        <v>0</v>
      </c>
      <c r="T106">
        <v>0</v>
      </c>
      <c r="U106">
        <v>0</v>
      </c>
      <c r="X106" s="60">
        <v>0.333333333333333</v>
      </c>
      <c r="Y106">
        <v>12</v>
      </c>
      <c r="Z106">
        <v>0</v>
      </c>
      <c r="AA106">
        <v>5</v>
      </c>
      <c r="AB106">
        <v>3</v>
      </c>
      <c r="AC106">
        <v>0</v>
      </c>
      <c r="AD106">
        <v>0</v>
      </c>
      <c r="AE106">
        <v>0</v>
      </c>
      <c r="AF106">
        <v>0</v>
      </c>
      <c r="AG106">
        <v>0</v>
      </c>
      <c r="AH106">
        <v>0</v>
      </c>
      <c r="AI106">
        <v>0</v>
      </c>
      <c r="AJ106">
        <v>0</v>
      </c>
      <c r="AK106">
        <v>1</v>
      </c>
      <c r="AL106">
        <v>1</v>
      </c>
      <c r="AM106">
        <v>1</v>
      </c>
      <c r="AN106">
        <v>1</v>
      </c>
      <c r="AO106">
        <v>0</v>
      </c>
      <c r="AP106">
        <v>1</v>
      </c>
      <c r="AQ106">
        <v>0</v>
      </c>
      <c r="AR106">
        <v>0</v>
      </c>
      <c r="AS106">
        <v>5</v>
      </c>
      <c r="AT106">
        <v>0</v>
      </c>
      <c r="AU106">
        <v>0</v>
      </c>
      <c r="AV106">
        <v>0</v>
      </c>
      <c r="AW106">
        <v>0</v>
      </c>
      <c r="AX106">
        <v>1</v>
      </c>
      <c r="AY106">
        <v>1</v>
      </c>
    </row>
    <row r="107" spans="1:51">
      <c r="A107" t="s">
        <v>272</v>
      </c>
      <c r="B107" s="82">
        <v>1</v>
      </c>
      <c r="C107" s="83" t="s">
        <v>273</v>
      </c>
      <c r="D107" s="83">
        <v>1</v>
      </c>
      <c r="E107">
        <v>1078481</v>
      </c>
      <c r="F107">
        <v>2</v>
      </c>
      <c r="G107">
        <v>53</v>
      </c>
      <c r="H107">
        <v>1.63</v>
      </c>
      <c r="I107">
        <v>62</v>
      </c>
      <c r="K107">
        <v>23.3354661447552</v>
      </c>
      <c r="L107">
        <v>90</v>
      </c>
      <c r="R107">
        <v>0</v>
      </c>
      <c r="S107">
        <v>0</v>
      </c>
      <c r="T107">
        <v>0</v>
      </c>
      <c r="U107">
        <v>0</v>
      </c>
      <c r="W107">
        <v>18.5</v>
      </c>
      <c r="X107" s="60">
        <v>0.180555555555556</v>
      </c>
      <c r="Y107">
        <v>6.5</v>
      </c>
      <c r="Z107">
        <v>5.26</v>
      </c>
      <c r="AA107">
        <v>2</v>
      </c>
      <c r="AB107">
        <v>3</v>
      </c>
      <c r="AC107">
        <v>0</v>
      </c>
      <c r="AD107">
        <v>0</v>
      </c>
      <c r="AE107">
        <v>0</v>
      </c>
      <c r="AF107">
        <v>0</v>
      </c>
      <c r="AG107">
        <v>0</v>
      </c>
      <c r="AH107">
        <v>0</v>
      </c>
      <c r="AI107">
        <v>0</v>
      </c>
      <c r="AJ107">
        <v>0</v>
      </c>
      <c r="AK107">
        <v>1</v>
      </c>
      <c r="AL107">
        <v>1</v>
      </c>
      <c r="AM107">
        <v>0</v>
      </c>
      <c r="AN107">
        <v>0</v>
      </c>
      <c r="AO107">
        <v>0</v>
      </c>
      <c r="AP107">
        <v>0.5</v>
      </c>
      <c r="AQ107">
        <v>1</v>
      </c>
      <c r="AR107">
        <v>0</v>
      </c>
      <c r="AS107">
        <v>2</v>
      </c>
      <c r="AT107">
        <v>0</v>
      </c>
      <c r="AU107">
        <v>0</v>
      </c>
      <c r="AV107">
        <v>0</v>
      </c>
      <c r="AW107">
        <v>0</v>
      </c>
      <c r="AX107">
        <v>0</v>
      </c>
      <c r="AY107">
        <v>1</v>
      </c>
    </row>
    <row r="108" spans="1:51">
      <c r="A108" t="s">
        <v>275</v>
      </c>
      <c r="B108" s="82">
        <v>5</v>
      </c>
      <c r="C108" s="1" t="s">
        <v>276</v>
      </c>
      <c r="D108" s="1">
        <v>1</v>
      </c>
      <c r="E108">
        <v>1078661</v>
      </c>
      <c r="F108">
        <v>2</v>
      </c>
      <c r="G108">
        <v>74</v>
      </c>
      <c r="M108">
        <v>116.02</v>
      </c>
      <c r="N108">
        <v>231.1195</v>
      </c>
      <c r="O108">
        <v>109.1601</v>
      </c>
      <c r="P108">
        <v>69.1461</v>
      </c>
      <c r="Q108">
        <v>0.633437492270527</v>
      </c>
      <c r="R108" t="e">
        <v>#DIV/0!</v>
      </c>
      <c r="U108">
        <v>0</v>
      </c>
      <c r="W108">
        <v>13.8</v>
      </c>
      <c r="X108" s="60">
        <v>0.486111111111111</v>
      </c>
      <c r="Y108">
        <v>17.5</v>
      </c>
      <c r="Z108">
        <v>0</v>
      </c>
      <c r="AA108">
        <v>1</v>
      </c>
      <c r="AB108">
        <v>2</v>
      </c>
      <c r="AC108">
        <v>0</v>
      </c>
      <c r="AD108">
        <v>1</v>
      </c>
      <c r="AE108">
        <v>1</v>
      </c>
      <c r="AF108">
        <v>1</v>
      </c>
      <c r="AG108">
        <v>1</v>
      </c>
      <c r="AH108">
        <v>0</v>
      </c>
      <c r="AI108">
        <v>1</v>
      </c>
      <c r="AJ108">
        <v>1</v>
      </c>
      <c r="AK108">
        <v>1</v>
      </c>
      <c r="AL108">
        <v>1</v>
      </c>
      <c r="AM108">
        <v>1</v>
      </c>
      <c r="AN108">
        <v>1</v>
      </c>
      <c r="AO108">
        <v>1</v>
      </c>
      <c r="AP108">
        <v>1</v>
      </c>
      <c r="AQ108">
        <v>1</v>
      </c>
      <c r="AR108">
        <v>0</v>
      </c>
      <c r="AS108">
        <v>2</v>
      </c>
      <c r="AT108">
        <v>1</v>
      </c>
      <c r="AU108">
        <v>0.5</v>
      </c>
      <c r="AV108">
        <v>0</v>
      </c>
      <c r="AW108">
        <v>0</v>
      </c>
      <c r="AX108">
        <v>0</v>
      </c>
      <c r="AY108">
        <v>1</v>
      </c>
    </row>
    <row r="109" spans="1:51">
      <c r="A109" t="s">
        <v>278</v>
      </c>
      <c r="B109" s="82">
        <v>5</v>
      </c>
      <c r="C109" s="71" t="s">
        <v>279</v>
      </c>
      <c r="D109">
        <v>1</v>
      </c>
      <c r="E109">
        <v>909838</v>
      </c>
      <c r="F109">
        <v>2</v>
      </c>
      <c r="G109">
        <v>74</v>
      </c>
      <c r="I109">
        <v>50</v>
      </c>
      <c r="L109">
        <v>110</v>
      </c>
      <c r="M109">
        <v>114.99</v>
      </c>
      <c r="N109">
        <v>136.0399</v>
      </c>
      <c r="O109">
        <v>209.9603</v>
      </c>
      <c r="P109">
        <v>206.1931</v>
      </c>
      <c r="Q109">
        <v>0.982057560405467</v>
      </c>
      <c r="R109" t="e">
        <v>#DIV/0!</v>
      </c>
      <c r="T109" t="e">
        <v>#DIV/0!</v>
      </c>
      <c r="U109" t="e">
        <v>#DIV/0!</v>
      </c>
      <c r="X109" s="60">
        <v>0.611111111111111</v>
      </c>
      <c r="Y109">
        <v>22</v>
      </c>
      <c r="AA109">
        <v>4</v>
      </c>
      <c r="AB109">
        <v>3</v>
      </c>
      <c r="AC109">
        <v>0</v>
      </c>
      <c r="AD109">
        <v>1</v>
      </c>
      <c r="AE109">
        <v>1</v>
      </c>
      <c r="AF109">
        <v>1</v>
      </c>
      <c r="AG109">
        <v>1</v>
      </c>
      <c r="AH109">
        <v>1</v>
      </c>
      <c r="AI109">
        <v>1</v>
      </c>
      <c r="AJ109">
        <v>1</v>
      </c>
      <c r="AK109">
        <v>1</v>
      </c>
      <c r="AL109">
        <v>1</v>
      </c>
      <c r="AM109">
        <v>1</v>
      </c>
      <c r="AN109">
        <v>1</v>
      </c>
      <c r="AO109">
        <v>0</v>
      </c>
      <c r="AP109">
        <v>1</v>
      </c>
      <c r="AQ109">
        <v>1</v>
      </c>
      <c r="AR109">
        <v>0</v>
      </c>
      <c r="AS109">
        <v>5</v>
      </c>
      <c r="AT109">
        <v>0.5</v>
      </c>
      <c r="AU109">
        <v>0.5</v>
      </c>
      <c r="AV109">
        <v>1</v>
      </c>
      <c r="AW109">
        <v>1</v>
      </c>
      <c r="AX109">
        <v>0</v>
      </c>
      <c r="AY109">
        <v>1</v>
      </c>
    </row>
    <row r="110" spans="1:51">
      <c r="A110" t="s">
        <v>281</v>
      </c>
      <c r="B110" s="82">
        <v>5</v>
      </c>
      <c r="C110" s="71" t="s">
        <v>282</v>
      </c>
      <c r="D110">
        <v>1</v>
      </c>
      <c r="E110">
        <v>976912</v>
      </c>
      <c r="F110">
        <v>2</v>
      </c>
      <c r="G110">
        <v>63</v>
      </c>
      <c r="H110">
        <v>1.6</v>
      </c>
      <c r="K110">
        <v>0</v>
      </c>
      <c r="L110">
        <v>97</v>
      </c>
      <c r="M110">
        <v>111.65</v>
      </c>
      <c r="N110">
        <v>93.9331</v>
      </c>
      <c r="O110">
        <v>129.1579</v>
      </c>
      <c r="P110">
        <v>180.7516</v>
      </c>
      <c r="Q110">
        <v>1.39946220866087</v>
      </c>
      <c r="R110">
        <v>36.6926171875</v>
      </c>
      <c r="S110">
        <v>50.4523046875</v>
      </c>
      <c r="T110">
        <v>70.60609375</v>
      </c>
      <c r="U110">
        <v>121.0583984375</v>
      </c>
      <c r="W110">
        <v>7.5</v>
      </c>
      <c r="X110" s="60">
        <v>0.458333333333333</v>
      </c>
      <c r="Y110">
        <v>16.5</v>
      </c>
      <c r="AA110">
        <v>7</v>
      </c>
      <c r="AB110">
        <v>3</v>
      </c>
      <c r="AC110">
        <v>0</v>
      </c>
      <c r="AD110">
        <v>1</v>
      </c>
      <c r="AE110">
        <v>1</v>
      </c>
      <c r="AF110">
        <v>1</v>
      </c>
      <c r="AG110">
        <v>1</v>
      </c>
      <c r="AH110">
        <v>0</v>
      </c>
      <c r="AI110">
        <v>1</v>
      </c>
      <c r="AJ110">
        <v>1</v>
      </c>
      <c r="AK110">
        <v>1</v>
      </c>
      <c r="AL110">
        <v>1</v>
      </c>
      <c r="AM110">
        <v>0</v>
      </c>
      <c r="AN110">
        <v>1</v>
      </c>
      <c r="AO110">
        <v>1</v>
      </c>
      <c r="AP110">
        <v>1</v>
      </c>
      <c r="AQ110">
        <v>1</v>
      </c>
      <c r="AR110">
        <v>0</v>
      </c>
      <c r="AS110">
        <v>1</v>
      </c>
      <c r="AT110">
        <v>1</v>
      </c>
      <c r="AU110">
        <v>0.5</v>
      </c>
      <c r="AV110">
        <v>0</v>
      </c>
      <c r="AW110">
        <v>0</v>
      </c>
      <c r="AX110">
        <v>1</v>
      </c>
      <c r="AY110">
        <v>1</v>
      </c>
    </row>
    <row r="111" spans="1:51">
      <c r="A111" t="s">
        <v>284</v>
      </c>
      <c r="B111" s="82">
        <v>1</v>
      </c>
      <c r="C111" s="71" t="s">
        <v>285</v>
      </c>
      <c r="D111">
        <v>1</v>
      </c>
      <c r="E111">
        <v>1079096</v>
      </c>
      <c r="F111">
        <v>1</v>
      </c>
      <c r="G111">
        <v>41</v>
      </c>
      <c r="H111">
        <v>1.72</v>
      </c>
      <c r="I111">
        <v>62</v>
      </c>
      <c r="K111">
        <v>20.9572742022715</v>
      </c>
      <c r="L111">
        <v>79</v>
      </c>
      <c r="M111">
        <v>82.087</v>
      </c>
      <c r="N111">
        <v>125.8061</v>
      </c>
      <c r="O111">
        <v>112.8087</v>
      </c>
      <c r="P111">
        <v>109.9314</v>
      </c>
      <c r="Q111">
        <v>0.974493988495568</v>
      </c>
      <c r="R111">
        <v>42.5250473228772</v>
      </c>
      <c r="S111">
        <v>38.1316590048675</v>
      </c>
      <c r="T111">
        <v>37.1590724716063</v>
      </c>
      <c r="U111">
        <v>75.2907314764738</v>
      </c>
      <c r="W111">
        <v>38.6</v>
      </c>
      <c r="X111" s="60">
        <v>0</v>
      </c>
      <c r="Y111">
        <v>0</v>
      </c>
      <c r="AA111">
        <v>0</v>
      </c>
      <c r="AB111">
        <v>1</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row>
    <row r="112" spans="1:51">
      <c r="A112" t="s">
        <v>286</v>
      </c>
      <c r="B112" s="82">
        <v>3</v>
      </c>
      <c r="C112" s="71" t="s">
        <v>287</v>
      </c>
      <c r="D112">
        <v>1</v>
      </c>
      <c r="E112">
        <v>1079534</v>
      </c>
      <c r="F112">
        <v>2</v>
      </c>
      <c r="H112">
        <v>1.68</v>
      </c>
      <c r="I112">
        <v>64</v>
      </c>
      <c r="K112">
        <v>22.6757369614512</v>
      </c>
      <c r="L112">
        <v>80</v>
      </c>
      <c r="M112">
        <v>90.203</v>
      </c>
      <c r="N112">
        <v>111.7461</v>
      </c>
      <c r="O112">
        <v>171.6305</v>
      </c>
      <c r="P112">
        <v>119.1025</v>
      </c>
      <c r="Q112">
        <v>0.693947171394362</v>
      </c>
      <c r="R112">
        <v>39.5925807823129</v>
      </c>
      <c r="S112">
        <v>60.8101261337869</v>
      </c>
      <c r="T112">
        <v>42.1990150226757</v>
      </c>
      <c r="U112">
        <v>103.009141156463</v>
      </c>
      <c r="W112">
        <v>16</v>
      </c>
      <c r="X112" s="60">
        <v>0.0833333333333333</v>
      </c>
      <c r="Y112">
        <v>3</v>
      </c>
      <c r="Z112">
        <v>0</v>
      </c>
      <c r="AA112">
        <v>0</v>
      </c>
      <c r="AB112">
        <v>1</v>
      </c>
      <c r="AC112">
        <v>0</v>
      </c>
      <c r="AD112">
        <v>0</v>
      </c>
      <c r="AE112">
        <v>0</v>
      </c>
      <c r="AF112">
        <v>0</v>
      </c>
      <c r="AG112">
        <v>0</v>
      </c>
      <c r="AH112">
        <v>0</v>
      </c>
      <c r="AI112">
        <v>0</v>
      </c>
      <c r="AJ112">
        <v>0</v>
      </c>
      <c r="AK112">
        <v>0</v>
      </c>
      <c r="AL112">
        <v>0</v>
      </c>
      <c r="AM112">
        <v>0</v>
      </c>
      <c r="AN112">
        <v>1</v>
      </c>
      <c r="AO112">
        <v>0</v>
      </c>
      <c r="AP112">
        <v>0</v>
      </c>
      <c r="AQ112">
        <v>0</v>
      </c>
      <c r="AR112">
        <v>0</v>
      </c>
      <c r="AS112">
        <v>1</v>
      </c>
      <c r="AT112">
        <v>0</v>
      </c>
      <c r="AU112">
        <v>0</v>
      </c>
      <c r="AV112">
        <v>0</v>
      </c>
      <c r="AW112">
        <v>0</v>
      </c>
      <c r="AX112">
        <v>0</v>
      </c>
      <c r="AY112">
        <v>1</v>
      </c>
    </row>
    <row r="113" spans="1:51">
      <c r="A113" t="s">
        <v>257</v>
      </c>
      <c r="B113" s="82">
        <v>1</v>
      </c>
      <c r="C113" s="71" t="s">
        <v>289</v>
      </c>
      <c r="D113">
        <v>1</v>
      </c>
      <c r="E113">
        <v>999989</v>
      </c>
      <c r="F113">
        <v>2</v>
      </c>
      <c r="H113">
        <v>1.55</v>
      </c>
      <c r="I113">
        <v>55</v>
      </c>
      <c r="K113">
        <v>22.8928199791883</v>
      </c>
      <c r="L113">
        <v>88</v>
      </c>
      <c r="S113">
        <v>0</v>
      </c>
      <c r="T113">
        <v>0</v>
      </c>
      <c r="U113">
        <v>0</v>
      </c>
      <c r="W113">
        <v>15.6</v>
      </c>
      <c r="X113" s="60">
        <v>0.236111111111111</v>
      </c>
      <c r="Y113">
        <v>8.5</v>
      </c>
      <c r="Z113">
        <v>0</v>
      </c>
      <c r="AA113">
        <v>3</v>
      </c>
      <c r="AB113">
        <v>3</v>
      </c>
      <c r="AC113">
        <v>0</v>
      </c>
      <c r="AD113">
        <v>0</v>
      </c>
      <c r="AE113">
        <v>0</v>
      </c>
      <c r="AF113">
        <v>0</v>
      </c>
      <c r="AG113">
        <v>0</v>
      </c>
      <c r="AH113">
        <v>0</v>
      </c>
      <c r="AI113">
        <v>0</v>
      </c>
      <c r="AJ113">
        <v>0</v>
      </c>
      <c r="AK113">
        <v>0</v>
      </c>
      <c r="AL113">
        <v>0</v>
      </c>
      <c r="AM113">
        <v>0</v>
      </c>
      <c r="AN113">
        <v>0</v>
      </c>
      <c r="AO113">
        <v>0</v>
      </c>
      <c r="AP113">
        <v>0.5</v>
      </c>
      <c r="AQ113">
        <v>1</v>
      </c>
      <c r="AR113">
        <v>0</v>
      </c>
      <c r="AS113">
        <v>4</v>
      </c>
      <c r="AT113">
        <v>0</v>
      </c>
      <c r="AU113">
        <v>0</v>
      </c>
      <c r="AV113">
        <v>0</v>
      </c>
      <c r="AW113">
        <v>1</v>
      </c>
      <c r="AX113">
        <v>1</v>
      </c>
      <c r="AY113">
        <v>1</v>
      </c>
    </row>
    <row r="114" spans="1:51">
      <c r="A114" t="s">
        <v>292</v>
      </c>
      <c r="B114" s="82">
        <v>5</v>
      </c>
      <c r="C114" s="71" t="s">
        <v>293</v>
      </c>
      <c r="D114">
        <v>1</v>
      </c>
      <c r="E114">
        <v>1077279</v>
      </c>
      <c r="F114">
        <v>2</v>
      </c>
      <c r="G114">
        <v>49</v>
      </c>
      <c r="H114">
        <v>1.64</v>
      </c>
      <c r="I114">
        <v>75</v>
      </c>
      <c r="K114">
        <v>27.8851873884593</v>
      </c>
      <c r="L114">
        <v>106</v>
      </c>
      <c r="M114">
        <v>98.376</v>
      </c>
      <c r="N114">
        <v>130.0112</v>
      </c>
      <c r="O114">
        <v>199.7483</v>
      </c>
      <c r="P114">
        <v>136.679</v>
      </c>
      <c r="Q114">
        <v>0.684256136347593</v>
      </c>
      <c r="R114">
        <v>48.3384889946461</v>
      </c>
      <c r="S114">
        <v>74.2669170136823</v>
      </c>
      <c r="T114">
        <v>50.8175936942296</v>
      </c>
      <c r="U114">
        <v>125.084510707912</v>
      </c>
      <c r="X114" s="60">
        <v>0.444444444444444</v>
      </c>
      <c r="Y114">
        <v>16</v>
      </c>
      <c r="AA114">
        <v>3</v>
      </c>
      <c r="AB114">
        <v>3</v>
      </c>
      <c r="AC114">
        <v>0</v>
      </c>
      <c r="AD114">
        <v>1</v>
      </c>
      <c r="AE114">
        <v>1</v>
      </c>
      <c r="AF114">
        <v>1</v>
      </c>
      <c r="AG114">
        <v>1</v>
      </c>
      <c r="AH114">
        <v>1</v>
      </c>
      <c r="AI114">
        <v>1</v>
      </c>
      <c r="AJ114">
        <v>1</v>
      </c>
      <c r="AK114">
        <v>1</v>
      </c>
      <c r="AL114">
        <v>1</v>
      </c>
      <c r="AM114">
        <v>1</v>
      </c>
      <c r="AN114">
        <v>1</v>
      </c>
      <c r="AO114">
        <v>1</v>
      </c>
      <c r="AP114">
        <v>0</v>
      </c>
      <c r="AQ114">
        <v>1</v>
      </c>
      <c r="AR114">
        <v>0</v>
      </c>
      <c r="AS114">
        <v>0</v>
      </c>
      <c r="AT114">
        <v>0</v>
      </c>
      <c r="AU114">
        <v>0</v>
      </c>
      <c r="AV114">
        <v>1</v>
      </c>
      <c r="AW114">
        <v>1</v>
      </c>
      <c r="AX114">
        <v>0</v>
      </c>
      <c r="AY114">
        <v>1</v>
      </c>
    </row>
    <row r="115" spans="1:51">
      <c r="A115" t="s">
        <v>295</v>
      </c>
      <c r="B115" s="82">
        <v>5</v>
      </c>
      <c r="C115" s="71" t="s">
        <v>296</v>
      </c>
      <c r="D115">
        <v>1</v>
      </c>
      <c r="E115">
        <v>979158</v>
      </c>
      <c r="F115">
        <v>1</v>
      </c>
      <c r="G115">
        <v>67</v>
      </c>
      <c r="H115">
        <v>1.67</v>
      </c>
      <c r="I115">
        <v>80</v>
      </c>
      <c r="K115">
        <v>28.6851446806985</v>
      </c>
      <c r="L115">
        <v>94</v>
      </c>
      <c r="M115">
        <v>90.526</v>
      </c>
      <c r="N115">
        <v>137.8987</v>
      </c>
      <c r="O115">
        <v>153.9514</v>
      </c>
      <c r="P115">
        <v>118.771</v>
      </c>
      <c r="Q115">
        <v>0.771483727981688</v>
      </c>
      <c r="R115">
        <v>49.4455520097529</v>
      </c>
      <c r="S115">
        <v>55.2014772849511</v>
      </c>
      <c r="T115">
        <v>42.5870414858905</v>
      </c>
      <c r="U115">
        <v>97.7885187708416</v>
      </c>
      <c r="X115" s="60">
        <v>0.0277777777777778</v>
      </c>
      <c r="Y115">
        <v>1</v>
      </c>
      <c r="Z115">
        <v>6.8</v>
      </c>
      <c r="AA115">
        <v>0</v>
      </c>
      <c r="AB115">
        <v>1</v>
      </c>
      <c r="AC115">
        <v>0</v>
      </c>
      <c r="AD115">
        <v>0</v>
      </c>
      <c r="AE115">
        <v>0</v>
      </c>
      <c r="AF115">
        <v>0</v>
      </c>
      <c r="AG115">
        <v>0</v>
      </c>
      <c r="AH115">
        <v>0</v>
      </c>
      <c r="AI115">
        <v>0</v>
      </c>
      <c r="AJ115">
        <v>0</v>
      </c>
      <c r="AK115">
        <v>0</v>
      </c>
      <c r="AL115">
        <v>0</v>
      </c>
      <c r="AM115">
        <v>0</v>
      </c>
      <c r="AN115">
        <v>0</v>
      </c>
      <c r="AO115">
        <v>0</v>
      </c>
      <c r="AP115">
        <v>0</v>
      </c>
      <c r="AQ115">
        <v>0</v>
      </c>
      <c r="AR115">
        <v>0</v>
      </c>
      <c r="AS115">
        <v>1</v>
      </c>
      <c r="AT115">
        <v>0</v>
      </c>
      <c r="AU115">
        <v>0</v>
      </c>
      <c r="AV115">
        <v>0</v>
      </c>
      <c r="AW115">
        <v>0</v>
      </c>
      <c r="AX115">
        <v>0</v>
      </c>
      <c r="AY115">
        <v>0</v>
      </c>
    </row>
    <row r="116" spans="1:51">
      <c r="A116" t="s">
        <v>3321</v>
      </c>
      <c r="B116" s="82">
        <v>3</v>
      </c>
      <c r="C116" s="71" t="s">
        <v>3322</v>
      </c>
      <c r="D116">
        <v>0</v>
      </c>
      <c r="E116">
        <v>1077683</v>
      </c>
      <c r="F116">
        <v>1</v>
      </c>
      <c r="G116">
        <v>44</v>
      </c>
      <c r="H116">
        <v>1.65</v>
      </c>
      <c r="I116">
        <v>61</v>
      </c>
      <c r="K116">
        <v>22.4058769513315</v>
      </c>
      <c r="L116">
        <v>96</v>
      </c>
      <c r="M116">
        <v>89.137</v>
      </c>
      <c r="N116">
        <v>139.7675</v>
      </c>
      <c r="O116">
        <v>94.9763</v>
      </c>
      <c r="P116">
        <v>135.6987</v>
      </c>
      <c r="Q116">
        <v>1.42876380739195</v>
      </c>
      <c r="R116">
        <v>51.3379247015611</v>
      </c>
      <c r="S116">
        <v>34.8856932966024</v>
      </c>
      <c r="T116">
        <v>49.8434159779614</v>
      </c>
      <c r="U116">
        <v>84.7291092745638</v>
      </c>
      <c r="X116" s="60">
        <v>0.111111111111111</v>
      </c>
      <c r="Y116">
        <v>4</v>
      </c>
      <c r="Z116">
        <v>7.04</v>
      </c>
      <c r="AA116">
        <v>0</v>
      </c>
      <c r="AB116">
        <v>1</v>
      </c>
      <c r="AC116">
        <v>0</v>
      </c>
      <c r="AD116">
        <v>0</v>
      </c>
      <c r="AE116">
        <v>0</v>
      </c>
      <c r="AF116">
        <v>0</v>
      </c>
      <c r="AG116">
        <v>0</v>
      </c>
      <c r="AH116">
        <v>0</v>
      </c>
      <c r="AI116">
        <v>0</v>
      </c>
      <c r="AJ116">
        <v>0</v>
      </c>
      <c r="AK116">
        <v>0</v>
      </c>
      <c r="AL116">
        <v>0</v>
      </c>
      <c r="AM116">
        <v>0</v>
      </c>
      <c r="AN116">
        <v>1</v>
      </c>
      <c r="AO116">
        <v>0</v>
      </c>
      <c r="AP116">
        <v>0</v>
      </c>
      <c r="AQ116">
        <v>1</v>
      </c>
      <c r="AR116">
        <v>0</v>
      </c>
      <c r="AS116">
        <v>0</v>
      </c>
      <c r="AT116">
        <v>0</v>
      </c>
      <c r="AU116">
        <v>0</v>
      </c>
      <c r="AV116">
        <v>1</v>
      </c>
      <c r="AW116">
        <v>1</v>
      </c>
      <c r="AX116">
        <v>0</v>
      </c>
      <c r="AY116">
        <v>0</v>
      </c>
    </row>
    <row r="117" spans="1:51">
      <c r="A117" t="s">
        <v>3323</v>
      </c>
      <c r="B117" s="82">
        <v>1</v>
      </c>
      <c r="C117" s="71" t="s">
        <v>3324</v>
      </c>
      <c r="D117">
        <v>1</v>
      </c>
      <c r="E117">
        <v>1046542</v>
      </c>
      <c r="F117">
        <v>2</v>
      </c>
      <c r="G117">
        <v>59</v>
      </c>
      <c r="H117">
        <v>1.6</v>
      </c>
      <c r="I117">
        <v>93</v>
      </c>
      <c r="K117">
        <v>36.328125</v>
      </c>
      <c r="L117">
        <v>127</v>
      </c>
      <c r="M117">
        <v>117.28</v>
      </c>
      <c r="N117">
        <v>236.3233</v>
      </c>
      <c r="O117">
        <v>276.6867</v>
      </c>
      <c r="P117">
        <v>243.5384</v>
      </c>
      <c r="Q117">
        <v>0.880195542467347</v>
      </c>
      <c r="R117">
        <v>92.3137890625</v>
      </c>
      <c r="S117">
        <v>108.0807421875</v>
      </c>
      <c r="T117">
        <v>95.1321875</v>
      </c>
      <c r="U117">
        <v>203.2129296875</v>
      </c>
      <c r="W117">
        <v>8.5</v>
      </c>
      <c r="X117" s="60">
        <v>0.0833333333333333</v>
      </c>
      <c r="Y117">
        <v>3</v>
      </c>
      <c r="Z117">
        <v>7.79</v>
      </c>
      <c r="AA117">
        <v>5</v>
      </c>
      <c r="AB117">
        <v>3</v>
      </c>
      <c r="AC117">
        <v>0</v>
      </c>
      <c r="AD117">
        <v>0</v>
      </c>
      <c r="AE117">
        <v>0</v>
      </c>
      <c r="AF117">
        <v>0</v>
      </c>
      <c r="AG117">
        <v>0</v>
      </c>
      <c r="AH117">
        <v>0</v>
      </c>
      <c r="AI117">
        <v>0</v>
      </c>
      <c r="AJ117">
        <v>0</v>
      </c>
      <c r="AK117">
        <v>0</v>
      </c>
      <c r="AL117">
        <v>0</v>
      </c>
      <c r="AM117">
        <v>0</v>
      </c>
      <c r="AN117">
        <v>1</v>
      </c>
      <c r="AO117">
        <v>0</v>
      </c>
      <c r="AP117">
        <v>0.5</v>
      </c>
      <c r="AQ117">
        <v>1</v>
      </c>
      <c r="AR117">
        <v>0</v>
      </c>
      <c r="AS117">
        <v>0</v>
      </c>
      <c r="AT117">
        <v>0</v>
      </c>
      <c r="AU117">
        <v>0</v>
      </c>
      <c r="AV117">
        <v>0</v>
      </c>
      <c r="AW117">
        <v>0</v>
      </c>
      <c r="AX117">
        <v>0</v>
      </c>
      <c r="AY117">
        <v>0.5</v>
      </c>
    </row>
    <row r="118" spans="1:51">
      <c r="A118" t="s">
        <v>1490</v>
      </c>
      <c r="B118" s="82">
        <v>1</v>
      </c>
      <c r="C118" s="71" t="s">
        <v>3325</v>
      </c>
      <c r="D118">
        <v>1</v>
      </c>
      <c r="E118">
        <v>1077685</v>
      </c>
      <c r="F118">
        <v>2</v>
      </c>
      <c r="G118">
        <v>63</v>
      </c>
      <c r="H118">
        <v>1.6</v>
      </c>
      <c r="I118">
        <v>50</v>
      </c>
      <c r="K118">
        <v>19.53125</v>
      </c>
      <c r="L118">
        <v>87</v>
      </c>
      <c r="M118">
        <v>81.675</v>
      </c>
      <c r="N118">
        <v>81.0742</v>
      </c>
      <c r="O118">
        <v>118.3656</v>
      </c>
      <c r="P118">
        <v>116.922</v>
      </c>
      <c r="Q118">
        <v>0.987803888967741</v>
      </c>
      <c r="R118">
        <v>31.669609375</v>
      </c>
      <c r="S118">
        <v>46.2365625</v>
      </c>
      <c r="T118">
        <v>45.67265625</v>
      </c>
      <c r="U118">
        <v>91.90921875</v>
      </c>
      <c r="X118" s="60">
        <v>0.305555555555556</v>
      </c>
      <c r="Y118">
        <v>11</v>
      </c>
      <c r="Z118">
        <v>0</v>
      </c>
      <c r="AA118">
        <v>4</v>
      </c>
      <c r="AB118">
        <v>3</v>
      </c>
      <c r="AC118">
        <v>0</v>
      </c>
      <c r="AD118">
        <v>0</v>
      </c>
      <c r="AE118">
        <v>0</v>
      </c>
      <c r="AF118">
        <v>0</v>
      </c>
      <c r="AG118">
        <v>0</v>
      </c>
      <c r="AH118">
        <v>0</v>
      </c>
      <c r="AI118">
        <v>0</v>
      </c>
      <c r="AJ118">
        <v>0</v>
      </c>
      <c r="AK118">
        <v>0</v>
      </c>
      <c r="AL118">
        <v>0</v>
      </c>
      <c r="AM118">
        <v>0</v>
      </c>
      <c r="AN118">
        <v>0</v>
      </c>
      <c r="AO118">
        <v>0</v>
      </c>
      <c r="AP118">
        <v>0.5</v>
      </c>
      <c r="AQ118">
        <v>1</v>
      </c>
      <c r="AR118">
        <v>1</v>
      </c>
      <c r="AS118">
        <v>4</v>
      </c>
      <c r="AT118">
        <v>1</v>
      </c>
      <c r="AU118">
        <v>0.5</v>
      </c>
      <c r="AV118">
        <v>0</v>
      </c>
      <c r="AW118">
        <v>1</v>
      </c>
      <c r="AX118">
        <v>1</v>
      </c>
      <c r="AY118">
        <v>1</v>
      </c>
    </row>
    <row r="119" spans="1:51">
      <c r="A119" t="s">
        <v>425</v>
      </c>
      <c r="B119" s="82">
        <v>1</v>
      </c>
      <c r="C119" s="71" t="s">
        <v>3326</v>
      </c>
      <c r="D119">
        <v>1</v>
      </c>
      <c r="E119">
        <v>899876</v>
      </c>
      <c r="F119">
        <v>1</v>
      </c>
      <c r="G119">
        <v>71</v>
      </c>
      <c r="H119">
        <v>1.7</v>
      </c>
      <c r="I119">
        <v>45</v>
      </c>
      <c r="K119">
        <v>15.5709342560554</v>
      </c>
      <c r="L119">
        <v>73</v>
      </c>
      <c r="M119">
        <v>74.297</v>
      </c>
      <c r="N119">
        <v>94.7928</v>
      </c>
      <c r="O119">
        <v>54.5446</v>
      </c>
      <c r="P119">
        <v>52.6261</v>
      </c>
      <c r="Q119">
        <v>0.964826948955534</v>
      </c>
      <c r="R119">
        <v>32.800276816609</v>
      </c>
      <c r="S119">
        <v>18.8735640138408</v>
      </c>
      <c r="T119">
        <v>18.209723183391</v>
      </c>
      <c r="U119">
        <v>37.0832871972318</v>
      </c>
      <c r="W119">
        <v>14.7</v>
      </c>
      <c r="X119" s="60">
        <v>0.291666666666667</v>
      </c>
      <c r="Y119">
        <v>10.5</v>
      </c>
      <c r="Z119">
        <v>0</v>
      </c>
      <c r="AA119">
        <v>0</v>
      </c>
      <c r="AB119">
        <v>1</v>
      </c>
      <c r="AC119">
        <v>0</v>
      </c>
      <c r="AD119">
        <v>1</v>
      </c>
      <c r="AE119">
        <v>1</v>
      </c>
      <c r="AF119">
        <v>0</v>
      </c>
      <c r="AG119">
        <v>0</v>
      </c>
      <c r="AH119">
        <v>0</v>
      </c>
      <c r="AI119">
        <v>0</v>
      </c>
      <c r="AJ119">
        <v>0</v>
      </c>
      <c r="AK119">
        <v>1</v>
      </c>
      <c r="AL119">
        <v>1</v>
      </c>
      <c r="AM119">
        <v>1</v>
      </c>
      <c r="AN119">
        <v>1</v>
      </c>
      <c r="AO119">
        <v>0</v>
      </c>
      <c r="AP119">
        <v>0</v>
      </c>
      <c r="AQ119">
        <v>0</v>
      </c>
      <c r="AR119">
        <v>0</v>
      </c>
      <c r="AS119">
        <v>1</v>
      </c>
      <c r="AT119">
        <v>0.5</v>
      </c>
      <c r="AU119">
        <v>0.5</v>
      </c>
      <c r="AV119">
        <v>1</v>
      </c>
      <c r="AW119">
        <v>1</v>
      </c>
      <c r="AX119">
        <v>0</v>
      </c>
      <c r="AY119">
        <v>0.5</v>
      </c>
    </row>
    <row r="120" spans="1:51">
      <c r="A120" t="s">
        <v>298</v>
      </c>
      <c r="B120" s="82">
        <v>5</v>
      </c>
      <c r="C120" s="71" t="s">
        <v>299</v>
      </c>
      <c r="D120">
        <v>1</v>
      </c>
      <c r="E120">
        <v>1042687</v>
      </c>
      <c r="F120">
        <v>2</v>
      </c>
      <c r="G120">
        <v>60</v>
      </c>
      <c r="H120">
        <v>1.58</v>
      </c>
      <c r="I120">
        <v>54</v>
      </c>
      <c r="K120">
        <v>21.6311488543503</v>
      </c>
      <c r="L120">
        <v>96</v>
      </c>
      <c r="M120">
        <v>84.831</v>
      </c>
      <c r="N120">
        <v>99.9823</v>
      </c>
      <c r="O120">
        <v>143.87</v>
      </c>
      <c r="P120">
        <v>91.1118</v>
      </c>
      <c r="Q120">
        <v>0.633292555779523</v>
      </c>
      <c r="R120">
        <v>40.0505928537093</v>
      </c>
      <c r="S120">
        <v>57.630988623618</v>
      </c>
      <c r="T120">
        <v>36.4972760775517</v>
      </c>
      <c r="U120">
        <v>94.1282647011697</v>
      </c>
      <c r="W120">
        <v>24.3</v>
      </c>
      <c r="X120" s="60">
        <v>0.0416666666666667</v>
      </c>
      <c r="Y120">
        <v>1.5</v>
      </c>
      <c r="Z120">
        <v>5.02</v>
      </c>
      <c r="AA120">
        <v>0</v>
      </c>
      <c r="AB120">
        <v>1</v>
      </c>
      <c r="AC120">
        <v>0</v>
      </c>
      <c r="AD120">
        <v>0</v>
      </c>
      <c r="AE120">
        <v>0</v>
      </c>
      <c r="AF120">
        <v>0</v>
      </c>
      <c r="AG120">
        <v>0</v>
      </c>
      <c r="AH120">
        <v>0</v>
      </c>
      <c r="AI120">
        <v>0</v>
      </c>
      <c r="AJ120">
        <v>0</v>
      </c>
      <c r="AK120">
        <v>0</v>
      </c>
      <c r="AL120">
        <v>0</v>
      </c>
      <c r="AM120">
        <v>0</v>
      </c>
      <c r="AN120">
        <v>0</v>
      </c>
      <c r="AO120">
        <v>0</v>
      </c>
      <c r="AP120">
        <v>0.5</v>
      </c>
      <c r="AQ120">
        <v>0</v>
      </c>
      <c r="AR120">
        <v>0</v>
      </c>
      <c r="AS120">
        <v>0</v>
      </c>
      <c r="AT120">
        <v>0</v>
      </c>
      <c r="AU120">
        <v>0</v>
      </c>
      <c r="AV120">
        <v>0</v>
      </c>
      <c r="AW120">
        <v>0</v>
      </c>
      <c r="AX120">
        <v>1</v>
      </c>
      <c r="AY120">
        <v>0</v>
      </c>
    </row>
    <row r="121" spans="1:51">
      <c r="A121" t="s">
        <v>302</v>
      </c>
      <c r="B121" s="82">
        <v>1</v>
      </c>
      <c r="C121" s="71" t="s">
        <v>303</v>
      </c>
      <c r="D121">
        <v>1</v>
      </c>
      <c r="E121">
        <v>1024903</v>
      </c>
      <c r="F121">
        <v>1</v>
      </c>
      <c r="G121">
        <v>66</v>
      </c>
      <c r="H121">
        <v>1.8</v>
      </c>
      <c r="I121">
        <v>80</v>
      </c>
      <c r="K121">
        <v>24.6913580246914</v>
      </c>
      <c r="L121">
        <v>95</v>
      </c>
      <c r="S121">
        <v>0</v>
      </c>
      <c r="T121">
        <v>0</v>
      </c>
      <c r="U121">
        <v>0</v>
      </c>
      <c r="W121">
        <v>34.7</v>
      </c>
      <c r="X121" s="60">
        <v>0.0555555555555556</v>
      </c>
      <c r="Y121">
        <v>2</v>
      </c>
      <c r="Z121">
        <v>0</v>
      </c>
      <c r="AA121">
        <v>0</v>
      </c>
      <c r="AB121">
        <v>1</v>
      </c>
      <c r="AC121">
        <v>0</v>
      </c>
      <c r="AD121">
        <v>0</v>
      </c>
      <c r="AE121">
        <v>0</v>
      </c>
      <c r="AF121">
        <v>0</v>
      </c>
      <c r="AG121">
        <v>0</v>
      </c>
      <c r="AH121">
        <v>0</v>
      </c>
      <c r="AI121">
        <v>0</v>
      </c>
      <c r="AJ121">
        <v>0</v>
      </c>
      <c r="AK121">
        <v>0</v>
      </c>
      <c r="AL121">
        <v>0</v>
      </c>
      <c r="AM121">
        <v>0</v>
      </c>
      <c r="AN121">
        <v>0</v>
      </c>
      <c r="AO121">
        <v>0</v>
      </c>
      <c r="AP121">
        <v>0</v>
      </c>
      <c r="AQ121">
        <v>0</v>
      </c>
      <c r="AR121">
        <v>0</v>
      </c>
      <c r="AS121">
        <v>1</v>
      </c>
      <c r="AT121">
        <v>0</v>
      </c>
      <c r="AU121">
        <v>0</v>
      </c>
      <c r="AV121">
        <v>0</v>
      </c>
      <c r="AW121">
        <v>0</v>
      </c>
      <c r="AX121">
        <v>1</v>
      </c>
      <c r="AY121">
        <v>0</v>
      </c>
    </row>
    <row r="122" spans="1:51">
      <c r="A122" t="s">
        <v>3327</v>
      </c>
      <c r="B122" s="82">
        <v>1</v>
      </c>
      <c r="C122" s="71" t="s">
        <v>306</v>
      </c>
      <c r="D122">
        <v>1</v>
      </c>
      <c r="E122">
        <v>1078834</v>
      </c>
      <c r="F122">
        <v>1</v>
      </c>
      <c r="G122">
        <v>64</v>
      </c>
      <c r="H122">
        <v>1.72</v>
      </c>
      <c r="I122">
        <v>85</v>
      </c>
      <c r="K122">
        <v>28.7317468902109</v>
      </c>
      <c r="L122">
        <v>109</v>
      </c>
      <c r="S122">
        <v>0</v>
      </c>
      <c r="T122">
        <v>0</v>
      </c>
      <c r="U122">
        <v>0</v>
      </c>
      <c r="W122">
        <v>33.4</v>
      </c>
      <c r="X122" s="60">
        <v>0</v>
      </c>
      <c r="Y122">
        <v>0</v>
      </c>
      <c r="Z122">
        <v>5.47</v>
      </c>
      <c r="AA122">
        <v>1</v>
      </c>
      <c r="AB122">
        <v>2</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row>
    <row r="123" spans="1:51">
      <c r="A123" t="s">
        <v>61</v>
      </c>
      <c r="B123" s="82">
        <v>3</v>
      </c>
      <c r="C123" s="71" t="s">
        <v>310</v>
      </c>
      <c r="D123">
        <v>1</v>
      </c>
      <c r="E123">
        <v>1059177</v>
      </c>
      <c r="F123">
        <v>2</v>
      </c>
      <c r="G123">
        <v>68</v>
      </c>
      <c r="H123">
        <v>1.65</v>
      </c>
      <c r="I123">
        <v>85</v>
      </c>
      <c r="K123">
        <v>31.2213039485767</v>
      </c>
      <c r="L123">
        <v>134</v>
      </c>
      <c r="M123">
        <v>113.83</v>
      </c>
      <c r="N123">
        <v>144.7854</v>
      </c>
      <c r="O123">
        <v>318.6883</v>
      </c>
      <c r="P123">
        <v>239.5823</v>
      </c>
      <c r="Q123">
        <v>0.751776265397882</v>
      </c>
      <c r="R123">
        <v>53.1810468319559</v>
      </c>
      <c r="S123">
        <v>117.05722681359</v>
      </c>
      <c r="T123">
        <v>88.0008448117539</v>
      </c>
      <c r="U123">
        <v>205.058071625344</v>
      </c>
      <c r="W123">
        <v>11.8</v>
      </c>
      <c r="X123" s="60">
        <v>0.375</v>
      </c>
      <c r="Y123">
        <v>13.5</v>
      </c>
      <c r="Z123">
        <v>16.9</v>
      </c>
      <c r="AA123">
        <v>5</v>
      </c>
      <c r="AB123">
        <v>3</v>
      </c>
      <c r="AC123">
        <v>0</v>
      </c>
      <c r="AD123">
        <v>0</v>
      </c>
      <c r="AE123">
        <v>1</v>
      </c>
      <c r="AF123">
        <v>1</v>
      </c>
      <c r="AG123">
        <v>1</v>
      </c>
      <c r="AH123">
        <v>0</v>
      </c>
      <c r="AI123">
        <v>0</v>
      </c>
      <c r="AJ123">
        <v>1</v>
      </c>
      <c r="AK123">
        <v>1</v>
      </c>
      <c r="AL123">
        <v>1</v>
      </c>
      <c r="AM123">
        <v>1</v>
      </c>
      <c r="AN123">
        <v>1</v>
      </c>
      <c r="AO123">
        <v>1</v>
      </c>
      <c r="AP123">
        <v>0.5</v>
      </c>
      <c r="AQ123">
        <v>1</v>
      </c>
      <c r="AR123">
        <v>0</v>
      </c>
      <c r="AS123">
        <v>2</v>
      </c>
      <c r="AT123">
        <v>0</v>
      </c>
      <c r="AU123">
        <v>0</v>
      </c>
      <c r="AV123">
        <v>0</v>
      </c>
      <c r="AW123">
        <v>0</v>
      </c>
      <c r="AX123">
        <v>0</v>
      </c>
      <c r="AY123">
        <v>1</v>
      </c>
    </row>
    <row r="124" spans="1:51">
      <c r="A124" t="s">
        <v>312</v>
      </c>
      <c r="B124" s="93" t="s">
        <v>3295</v>
      </c>
      <c r="C124" s="71" t="s">
        <v>314</v>
      </c>
      <c r="D124">
        <v>0</v>
      </c>
      <c r="E124">
        <v>1081734</v>
      </c>
      <c r="F124">
        <v>1</v>
      </c>
      <c r="G124">
        <v>49</v>
      </c>
      <c r="H124">
        <v>1.7</v>
      </c>
      <c r="I124">
        <v>70</v>
      </c>
      <c r="K124">
        <v>24.2214532871972</v>
      </c>
      <c r="L124">
        <v>104</v>
      </c>
      <c r="M124">
        <v>101.36</v>
      </c>
      <c r="N124">
        <v>171.1472</v>
      </c>
      <c r="O124">
        <v>100.1288</v>
      </c>
      <c r="P124">
        <v>237.7785</v>
      </c>
      <c r="Q124">
        <v>2.37472635245803</v>
      </c>
      <c r="R124">
        <v>59.2204844290657</v>
      </c>
      <c r="S124">
        <v>34.6466435986159</v>
      </c>
      <c r="T124">
        <v>82.2762975778547</v>
      </c>
      <c r="U124">
        <v>116.922941176471</v>
      </c>
      <c r="W124">
        <v>46.7</v>
      </c>
      <c r="X124" s="60">
        <v>0.125</v>
      </c>
      <c r="Y124">
        <v>4.5</v>
      </c>
      <c r="Z124">
        <v>6</v>
      </c>
      <c r="AA124">
        <v>6</v>
      </c>
      <c r="AB124">
        <v>3</v>
      </c>
      <c r="AC124">
        <v>0</v>
      </c>
      <c r="AD124">
        <v>0</v>
      </c>
      <c r="AE124">
        <v>0</v>
      </c>
      <c r="AF124">
        <v>0</v>
      </c>
      <c r="AG124">
        <v>0</v>
      </c>
      <c r="AH124">
        <v>0</v>
      </c>
      <c r="AI124">
        <v>0</v>
      </c>
      <c r="AJ124">
        <v>0</v>
      </c>
      <c r="AK124">
        <v>0</v>
      </c>
      <c r="AL124">
        <v>0</v>
      </c>
      <c r="AM124">
        <v>0</v>
      </c>
      <c r="AN124">
        <v>0</v>
      </c>
      <c r="AO124">
        <v>0</v>
      </c>
      <c r="AP124">
        <v>0.5</v>
      </c>
      <c r="AQ124">
        <v>0</v>
      </c>
      <c r="AR124">
        <v>0</v>
      </c>
      <c r="AS124">
        <v>2</v>
      </c>
      <c r="AT124">
        <v>0</v>
      </c>
      <c r="AU124">
        <v>0</v>
      </c>
      <c r="AV124">
        <v>1</v>
      </c>
      <c r="AW124">
        <v>1</v>
      </c>
      <c r="AX124">
        <v>0</v>
      </c>
      <c r="AY124">
        <v>0</v>
      </c>
    </row>
    <row r="125" spans="1:51">
      <c r="A125" t="s">
        <v>316</v>
      </c>
      <c r="B125" s="82">
        <v>5</v>
      </c>
      <c r="C125" s="71" t="s">
        <v>317</v>
      </c>
      <c r="D125">
        <v>1</v>
      </c>
      <c r="E125">
        <v>1081346</v>
      </c>
      <c r="F125">
        <v>2</v>
      </c>
      <c r="G125">
        <v>76</v>
      </c>
      <c r="H125">
        <v>1.6</v>
      </c>
      <c r="I125">
        <v>65</v>
      </c>
      <c r="K125">
        <v>25.390625</v>
      </c>
      <c r="L125">
        <v>93</v>
      </c>
      <c r="M125">
        <v>99.059</v>
      </c>
      <c r="N125">
        <v>124.8322</v>
      </c>
      <c r="O125">
        <v>176.7475</v>
      </c>
      <c r="P125">
        <v>165.4557</v>
      </c>
      <c r="Q125">
        <v>0.936113382084612</v>
      </c>
      <c r="R125">
        <v>48.762578125</v>
      </c>
      <c r="S125">
        <v>69.0419921875</v>
      </c>
      <c r="T125">
        <v>64.6311328125</v>
      </c>
      <c r="U125">
        <v>133.673125</v>
      </c>
      <c r="W125">
        <v>5</v>
      </c>
      <c r="X125" s="60">
        <v>0.25</v>
      </c>
      <c r="Y125">
        <v>9</v>
      </c>
      <c r="Z125">
        <v>11.05</v>
      </c>
      <c r="AA125">
        <v>0</v>
      </c>
      <c r="AB125">
        <v>1</v>
      </c>
      <c r="AC125">
        <v>0</v>
      </c>
      <c r="AD125">
        <v>0</v>
      </c>
      <c r="AE125">
        <v>0</v>
      </c>
      <c r="AF125">
        <v>1</v>
      </c>
      <c r="AG125">
        <v>0</v>
      </c>
      <c r="AH125">
        <v>0</v>
      </c>
      <c r="AI125">
        <v>0</v>
      </c>
      <c r="AJ125">
        <v>1</v>
      </c>
      <c r="AK125">
        <v>1</v>
      </c>
      <c r="AL125">
        <v>1</v>
      </c>
      <c r="AM125">
        <v>1</v>
      </c>
      <c r="AN125">
        <v>0</v>
      </c>
      <c r="AO125">
        <v>0</v>
      </c>
      <c r="AP125">
        <v>0.5</v>
      </c>
      <c r="AQ125">
        <v>1</v>
      </c>
      <c r="AR125">
        <v>0</v>
      </c>
      <c r="AS125">
        <v>1</v>
      </c>
      <c r="AT125">
        <v>0.5</v>
      </c>
      <c r="AU125">
        <v>0.5</v>
      </c>
      <c r="AV125">
        <v>0</v>
      </c>
      <c r="AW125">
        <v>0</v>
      </c>
      <c r="AX125">
        <v>0</v>
      </c>
      <c r="AY125">
        <v>0.5</v>
      </c>
    </row>
    <row r="126" spans="1:51">
      <c r="A126" t="s">
        <v>319</v>
      </c>
      <c r="B126" s="82">
        <v>1</v>
      </c>
      <c r="C126" s="71" t="s">
        <v>320</v>
      </c>
      <c r="D126">
        <v>1</v>
      </c>
      <c r="E126">
        <v>818143</v>
      </c>
      <c r="F126">
        <v>2</v>
      </c>
      <c r="G126">
        <v>71</v>
      </c>
      <c r="H126" t="s">
        <v>1571</v>
      </c>
      <c r="I126" t="s">
        <v>1571</v>
      </c>
      <c r="L126">
        <v>116</v>
      </c>
      <c r="M126">
        <v>104.27</v>
      </c>
      <c r="N126">
        <v>118.3125</v>
      </c>
      <c r="O126">
        <v>235.3043</v>
      </c>
      <c r="P126">
        <v>161.8193</v>
      </c>
      <c r="Q126">
        <v>0.687702264684496</v>
      </c>
      <c r="R126" t="e">
        <v>#VALUE!</v>
      </c>
      <c r="S126" t="e">
        <v>#VALUE!</v>
      </c>
      <c r="T126" t="e">
        <v>#VALUE!</v>
      </c>
      <c r="U126" t="e">
        <v>#VALUE!</v>
      </c>
      <c r="W126">
        <v>14.1</v>
      </c>
      <c r="X126" s="60">
        <v>0.5</v>
      </c>
      <c r="Y126">
        <v>18</v>
      </c>
      <c r="Z126">
        <v>0</v>
      </c>
      <c r="AA126">
        <v>0</v>
      </c>
      <c r="AB126">
        <v>1</v>
      </c>
      <c r="AC126">
        <v>0</v>
      </c>
      <c r="AD126">
        <v>1</v>
      </c>
      <c r="AE126">
        <v>1</v>
      </c>
      <c r="AF126">
        <v>1</v>
      </c>
      <c r="AG126">
        <v>1</v>
      </c>
      <c r="AH126">
        <v>0</v>
      </c>
      <c r="AI126">
        <v>1</v>
      </c>
      <c r="AJ126">
        <v>1</v>
      </c>
      <c r="AK126">
        <v>1</v>
      </c>
      <c r="AL126">
        <v>1</v>
      </c>
      <c r="AM126">
        <v>1</v>
      </c>
      <c r="AN126">
        <v>1</v>
      </c>
      <c r="AO126">
        <v>0</v>
      </c>
      <c r="AP126">
        <v>1</v>
      </c>
      <c r="AQ126">
        <v>1</v>
      </c>
      <c r="AR126">
        <v>0</v>
      </c>
      <c r="AS126">
        <v>3</v>
      </c>
      <c r="AT126">
        <v>0.5</v>
      </c>
      <c r="AU126">
        <v>0.5</v>
      </c>
      <c r="AV126">
        <v>0</v>
      </c>
      <c r="AW126">
        <v>1</v>
      </c>
      <c r="AX126">
        <v>0</v>
      </c>
      <c r="AY126">
        <v>1</v>
      </c>
    </row>
    <row r="127" spans="1:51">
      <c r="A127" t="s">
        <v>323</v>
      </c>
      <c r="B127" s="82">
        <v>5</v>
      </c>
      <c r="C127" s="71" t="s">
        <v>324</v>
      </c>
      <c r="D127">
        <v>0</v>
      </c>
      <c r="E127">
        <v>1079740</v>
      </c>
      <c r="F127">
        <v>1</v>
      </c>
      <c r="G127">
        <v>50</v>
      </c>
      <c r="H127">
        <v>1.78</v>
      </c>
      <c r="I127" t="s">
        <v>1571</v>
      </c>
      <c r="L127">
        <v>105</v>
      </c>
      <c r="R127">
        <v>0</v>
      </c>
      <c r="S127">
        <v>0</v>
      </c>
      <c r="T127">
        <v>0</v>
      </c>
      <c r="U127">
        <v>0</v>
      </c>
      <c r="W127">
        <v>26.9</v>
      </c>
      <c r="X127" s="60">
        <v>0.388888888888889</v>
      </c>
      <c r="Y127">
        <v>14</v>
      </c>
      <c r="Z127">
        <v>0</v>
      </c>
      <c r="AA127">
        <v>6</v>
      </c>
      <c r="AB127">
        <v>3</v>
      </c>
      <c r="AC127">
        <v>0</v>
      </c>
      <c r="AD127">
        <v>1</v>
      </c>
      <c r="AE127">
        <v>1</v>
      </c>
      <c r="AF127">
        <v>1</v>
      </c>
      <c r="AG127">
        <v>1</v>
      </c>
      <c r="AH127">
        <v>0</v>
      </c>
      <c r="AI127">
        <v>1</v>
      </c>
      <c r="AJ127">
        <v>1</v>
      </c>
      <c r="AK127">
        <v>1</v>
      </c>
      <c r="AL127">
        <v>0</v>
      </c>
      <c r="AM127">
        <v>1</v>
      </c>
      <c r="AN127">
        <v>1</v>
      </c>
      <c r="AO127">
        <v>0.5</v>
      </c>
      <c r="AP127">
        <v>0</v>
      </c>
      <c r="AQ127">
        <v>1</v>
      </c>
      <c r="AR127">
        <v>0</v>
      </c>
      <c r="AS127">
        <v>2</v>
      </c>
      <c r="AT127">
        <v>0</v>
      </c>
      <c r="AU127">
        <v>0.5</v>
      </c>
      <c r="AV127">
        <v>0</v>
      </c>
      <c r="AW127">
        <v>0</v>
      </c>
      <c r="AX127">
        <v>0</v>
      </c>
      <c r="AY127">
        <v>1</v>
      </c>
    </row>
    <row r="128" spans="1:51">
      <c r="A128" t="s">
        <v>326</v>
      </c>
      <c r="B128" s="82">
        <v>5</v>
      </c>
      <c r="C128" s="71" t="s">
        <v>327</v>
      </c>
      <c r="D128">
        <v>1</v>
      </c>
      <c r="E128">
        <v>1079704</v>
      </c>
      <c r="F128">
        <v>2</v>
      </c>
      <c r="G128">
        <v>61</v>
      </c>
      <c r="H128">
        <v>1.62</v>
      </c>
      <c r="I128">
        <v>53</v>
      </c>
      <c r="K128">
        <v>20.1950922115531</v>
      </c>
      <c r="L128">
        <v>82</v>
      </c>
      <c r="M128">
        <v>75.76</v>
      </c>
      <c r="N128">
        <v>104.0729</v>
      </c>
      <c r="O128">
        <v>47.807</v>
      </c>
      <c r="P128">
        <v>50.7535</v>
      </c>
      <c r="Q128">
        <v>1.06163323362687</v>
      </c>
      <c r="R128">
        <v>39.6558832495046</v>
      </c>
      <c r="S128">
        <v>18.2163542142966</v>
      </c>
      <c r="T128">
        <v>19.3390870294162</v>
      </c>
      <c r="U128">
        <v>37.5554412437128</v>
      </c>
      <c r="W128">
        <v>19.1</v>
      </c>
      <c r="X128" s="60">
        <v>0.152777777777778</v>
      </c>
      <c r="Y128">
        <v>5.5</v>
      </c>
      <c r="Z128">
        <v>6.41</v>
      </c>
      <c r="AA128">
        <v>0</v>
      </c>
      <c r="AB128">
        <v>1</v>
      </c>
      <c r="AC128">
        <v>0</v>
      </c>
      <c r="AD128">
        <v>0</v>
      </c>
      <c r="AE128">
        <v>0</v>
      </c>
      <c r="AF128">
        <v>0</v>
      </c>
      <c r="AG128">
        <v>0</v>
      </c>
      <c r="AH128">
        <v>0</v>
      </c>
      <c r="AI128">
        <v>0</v>
      </c>
      <c r="AJ128">
        <v>0</v>
      </c>
      <c r="AK128">
        <v>0</v>
      </c>
      <c r="AL128">
        <v>0</v>
      </c>
      <c r="AM128">
        <v>0</v>
      </c>
      <c r="AN128">
        <v>1</v>
      </c>
      <c r="AO128">
        <v>0</v>
      </c>
      <c r="AP128">
        <v>0.5</v>
      </c>
      <c r="AQ128">
        <v>1</v>
      </c>
      <c r="AR128">
        <v>1</v>
      </c>
      <c r="AS128">
        <v>1</v>
      </c>
      <c r="AT128">
        <v>0</v>
      </c>
      <c r="AU128">
        <v>0</v>
      </c>
      <c r="AV128">
        <v>0</v>
      </c>
      <c r="AW128">
        <v>1</v>
      </c>
      <c r="AX128">
        <v>0</v>
      </c>
      <c r="AY128">
        <v>0</v>
      </c>
    </row>
    <row r="129" spans="1:51">
      <c r="A129" t="s">
        <v>329</v>
      </c>
      <c r="B129" s="82">
        <v>1</v>
      </c>
      <c r="C129" s="71" t="s">
        <v>330</v>
      </c>
      <c r="D129">
        <v>1</v>
      </c>
      <c r="E129">
        <v>1079765</v>
      </c>
      <c r="F129">
        <v>2</v>
      </c>
      <c r="G129">
        <v>60</v>
      </c>
      <c r="H129">
        <v>1.6</v>
      </c>
      <c r="I129">
        <v>50</v>
      </c>
      <c r="K129">
        <v>19.53125</v>
      </c>
      <c r="L129">
        <v>85</v>
      </c>
      <c r="M129">
        <v>81.427</v>
      </c>
      <c r="N129">
        <v>86.2875</v>
      </c>
      <c r="O129">
        <v>90.2981</v>
      </c>
      <c r="P129">
        <v>50.7206</v>
      </c>
      <c r="Q129">
        <v>0.56170174123265</v>
      </c>
      <c r="R129">
        <v>33.7060546875</v>
      </c>
      <c r="S129">
        <v>35.2726953125</v>
      </c>
      <c r="T129">
        <v>19.812734375</v>
      </c>
      <c r="U129">
        <v>55.0854296875</v>
      </c>
      <c r="W129">
        <v>19.2</v>
      </c>
      <c r="X129" s="60">
        <v>0.0277777777777778</v>
      </c>
      <c r="Y129">
        <v>1</v>
      </c>
      <c r="Z129">
        <v>0</v>
      </c>
      <c r="AA129">
        <v>0</v>
      </c>
      <c r="AB129">
        <v>1</v>
      </c>
      <c r="AC129">
        <v>0</v>
      </c>
      <c r="AD129">
        <v>0</v>
      </c>
      <c r="AE129">
        <v>0</v>
      </c>
      <c r="AF129">
        <v>0</v>
      </c>
      <c r="AG129">
        <v>0</v>
      </c>
      <c r="AH129">
        <v>0</v>
      </c>
      <c r="AI129">
        <v>0</v>
      </c>
      <c r="AJ129">
        <v>0</v>
      </c>
      <c r="AK129">
        <v>0</v>
      </c>
      <c r="AL129">
        <v>0</v>
      </c>
      <c r="AM129">
        <v>0</v>
      </c>
      <c r="AN129">
        <v>0</v>
      </c>
      <c r="AO129">
        <v>0</v>
      </c>
      <c r="AP129">
        <v>0</v>
      </c>
      <c r="AQ129">
        <v>0</v>
      </c>
      <c r="AR129">
        <v>0</v>
      </c>
      <c r="AS129">
        <v>1</v>
      </c>
      <c r="AT129">
        <v>0</v>
      </c>
      <c r="AU129">
        <v>0</v>
      </c>
      <c r="AV129">
        <v>0</v>
      </c>
      <c r="AW129">
        <v>0</v>
      </c>
      <c r="AX129">
        <v>0</v>
      </c>
      <c r="AY129">
        <v>0</v>
      </c>
    </row>
    <row r="130" spans="1:51">
      <c r="A130" t="s">
        <v>331</v>
      </c>
      <c r="B130" s="82">
        <v>4</v>
      </c>
      <c r="C130" s="71" t="s">
        <v>332</v>
      </c>
      <c r="D130">
        <v>1</v>
      </c>
      <c r="E130">
        <v>798523</v>
      </c>
      <c r="F130">
        <v>2</v>
      </c>
      <c r="G130">
        <v>57</v>
      </c>
      <c r="H130">
        <v>1.53</v>
      </c>
      <c r="I130">
        <v>44</v>
      </c>
      <c r="K130">
        <v>18.796189499765</v>
      </c>
      <c r="L130">
        <v>88</v>
      </c>
      <c r="M130">
        <v>86.14</v>
      </c>
      <c r="N130">
        <v>98.661</v>
      </c>
      <c r="O130">
        <v>49.7459</v>
      </c>
      <c r="P130">
        <v>25.2472</v>
      </c>
      <c r="Q130">
        <v>0.507523233070464</v>
      </c>
      <c r="R130">
        <v>42.1466102780982</v>
      </c>
      <c r="S130">
        <v>21.2507582553719</v>
      </c>
      <c r="T130">
        <v>10.7852535349652</v>
      </c>
      <c r="U130">
        <v>32.036011790337</v>
      </c>
      <c r="W130">
        <v>13</v>
      </c>
      <c r="X130" s="60">
        <v>0.0833333333333333</v>
      </c>
      <c r="Y130">
        <v>3</v>
      </c>
      <c r="Z130">
        <v>0</v>
      </c>
      <c r="AA130">
        <v>2</v>
      </c>
      <c r="AB130">
        <v>3</v>
      </c>
      <c r="AC130">
        <v>0</v>
      </c>
      <c r="AD130">
        <v>0</v>
      </c>
      <c r="AE130">
        <v>0</v>
      </c>
      <c r="AF130">
        <v>0</v>
      </c>
      <c r="AG130">
        <v>0</v>
      </c>
      <c r="AH130">
        <v>0</v>
      </c>
      <c r="AI130">
        <v>0</v>
      </c>
      <c r="AJ130">
        <v>0</v>
      </c>
      <c r="AK130">
        <v>0</v>
      </c>
      <c r="AL130">
        <v>0</v>
      </c>
      <c r="AM130">
        <v>0</v>
      </c>
      <c r="AN130">
        <v>1</v>
      </c>
      <c r="AO130">
        <v>0</v>
      </c>
      <c r="AP130">
        <v>0.5</v>
      </c>
      <c r="AQ130">
        <v>1</v>
      </c>
      <c r="AR130">
        <v>0</v>
      </c>
      <c r="AS130">
        <v>0</v>
      </c>
      <c r="AT130">
        <v>0.5</v>
      </c>
      <c r="AU130">
        <v>0</v>
      </c>
      <c r="AV130">
        <v>0</v>
      </c>
      <c r="AW130">
        <v>0</v>
      </c>
      <c r="AX130">
        <v>0</v>
      </c>
      <c r="AY130">
        <v>0</v>
      </c>
    </row>
    <row r="131" spans="1:51">
      <c r="A131" t="s">
        <v>334</v>
      </c>
      <c r="B131" s="82">
        <v>2</v>
      </c>
      <c r="C131" s="71" t="s">
        <v>335</v>
      </c>
      <c r="D131">
        <v>0</v>
      </c>
      <c r="E131">
        <v>1080497</v>
      </c>
      <c r="F131">
        <v>1</v>
      </c>
      <c r="G131">
        <v>62</v>
      </c>
      <c r="H131">
        <v>1.64</v>
      </c>
      <c r="I131">
        <v>65</v>
      </c>
      <c r="K131">
        <v>24.1671624033314</v>
      </c>
      <c r="L131">
        <v>82</v>
      </c>
      <c r="M131">
        <v>83.939</v>
      </c>
      <c r="N131">
        <v>144.1132</v>
      </c>
      <c r="O131">
        <v>72.6214</v>
      </c>
      <c r="P131">
        <v>106.1142</v>
      </c>
      <c r="Q131">
        <v>1.46119738809772</v>
      </c>
      <c r="R131">
        <v>53.5816478286734</v>
      </c>
      <c r="S131">
        <v>27.0008179654967</v>
      </c>
      <c r="T131">
        <v>39.4535246876859</v>
      </c>
      <c r="U131">
        <v>66.4543426531826</v>
      </c>
      <c r="W131">
        <v>23.4</v>
      </c>
      <c r="X131" s="60">
        <v>0.0555555555555556</v>
      </c>
      <c r="Y131">
        <v>2</v>
      </c>
      <c r="Z131">
        <v>3.48</v>
      </c>
      <c r="AA131">
        <v>6</v>
      </c>
      <c r="AB131">
        <v>3</v>
      </c>
      <c r="AC131">
        <v>0</v>
      </c>
      <c r="AD131">
        <v>0</v>
      </c>
      <c r="AE131">
        <v>0</v>
      </c>
      <c r="AF131">
        <v>0</v>
      </c>
      <c r="AG131">
        <v>0</v>
      </c>
      <c r="AH131">
        <v>0</v>
      </c>
      <c r="AI131">
        <v>0</v>
      </c>
      <c r="AJ131">
        <v>0</v>
      </c>
      <c r="AK131">
        <v>0</v>
      </c>
      <c r="AL131">
        <v>0</v>
      </c>
      <c r="AM131">
        <v>0</v>
      </c>
      <c r="AN131">
        <v>0</v>
      </c>
      <c r="AO131">
        <v>0</v>
      </c>
      <c r="AP131">
        <v>0</v>
      </c>
      <c r="AQ131">
        <v>1</v>
      </c>
      <c r="AR131">
        <v>0</v>
      </c>
      <c r="AS131">
        <v>1</v>
      </c>
      <c r="AT131">
        <v>0</v>
      </c>
      <c r="AU131">
        <v>0</v>
      </c>
      <c r="AV131">
        <v>0</v>
      </c>
      <c r="AW131">
        <v>0</v>
      </c>
      <c r="AX131">
        <v>0</v>
      </c>
      <c r="AY131">
        <v>0</v>
      </c>
    </row>
    <row r="132" spans="1:51">
      <c r="A132" t="s">
        <v>336</v>
      </c>
      <c r="B132" s="82">
        <v>5</v>
      </c>
      <c r="C132" s="71" t="s">
        <v>337</v>
      </c>
      <c r="D132">
        <v>1</v>
      </c>
      <c r="E132">
        <v>1080405</v>
      </c>
      <c r="F132">
        <v>2</v>
      </c>
      <c r="G132">
        <v>61</v>
      </c>
      <c r="H132">
        <v>1.5</v>
      </c>
      <c r="I132">
        <v>55</v>
      </c>
      <c r="K132">
        <v>24.4444444444444</v>
      </c>
      <c r="L132">
        <v>95</v>
      </c>
      <c r="M132">
        <v>96.558</v>
      </c>
      <c r="N132">
        <v>103.9386</v>
      </c>
      <c r="O132">
        <v>132.1312</v>
      </c>
      <c r="P132">
        <v>120.292</v>
      </c>
      <c r="Q132">
        <v>0.910398149717856</v>
      </c>
      <c r="R132">
        <v>46.1949333333333</v>
      </c>
      <c r="S132">
        <v>58.7249777777778</v>
      </c>
      <c r="T132">
        <v>53.4631111111111</v>
      </c>
      <c r="U132">
        <v>112.188088888889</v>
      </c>
      <c r="W132">
        <v>17.9</v>
      </c>
      <c r="X132" s="60">
        <v>0.125</v>
      </c>
      <c r="Y132">
        <v>4.5</v>
      </c>
      <c r="Z132">
        <v>5.1</v>
      </c>
      <c r="AA132">
        <v>5</v>
      </c>
      <c r="AB132">
        <v>3</v>
      </c>
      <c r="AC132">
        <v>0</v>
      </c>
      <c r="AD132">
        <v>0</v>
      </c>
      <c r="AE132">
        <v>0</v>
      </c>
      <c r="AF132">
        <v>0</v>
      </c>
      <c r="AG132">
        <v>0</v>
      </c>
      <c r="AH132">
        <v>0</v>
      </c>
      <c r="AI132">
        <v>0</v>
      </c>
      <c r="AJ132">
        <v>0</v>
      </c>
      <c r="AK132">
        <v>0</v>
      </c>
      <c r="AL132">
        <v>0</v>
      </c>
      <c r="AM132">
        <v>0</v>
      </c>
      <c r="AN132">
        <v>1</v>
      </c>
      <c r="AO132">
        <v>0</v>
      </c>
      <c r="AP132">
        <v>0.5</v>
      </c>
      <c r="AQ132">
        <v>1</v>
      </c>
      <c r="AR132">
        <v>0</v>
      </c>
      <c r="AS132">
        <v>1</v>
      </c>
      <c r="AT132">
        <v>0</v>
      </c>
      <c r="AU132">
        <v>0.5</v>
      </c>
      <c r="AV132">
        <v>0</v>
      </c>
      <c r="AW132">
        <v>0</v>
      </c>
      <c r="AX132">
        <v>0</v>
      </c>
      <c r="AY132">
        <v>0.5</v>
      </c>
    </row>
    <row r="133" spans="1:51">
      <c r="A133" t="s">
        <v>339</v>
      </c>
      <c r="B133" s="82" t="s">
        <v>3297</v>
      </c>
      <c r="C133" s="71" t="s">
        <v>341</v>
      </c>
      <c r="D133">
        <v>1</v>
      </c>
      <c r="E133">
        <v>868634</v>
      </c>
      <c r="F133">
        <v>2</v>
      </c>
      <c r="G133">
        <v>67</v>
      </c>
      <c r="H133">
        <v>1.53</v>
      </c>
      <c r="I133">
        <v>47.5</v>
      </c>
      <c r="K133">
        <v>20.2913409372464</v>
      </c>
      <c r="L133">
        <v>70</v>
      </c>
      <c r="M133">
        <v>71.385</v>
      </c>
      <c r="N133">
        <v>90.4484</v>
      </c>
      <c r="O133">
        <v>56.8911</v>
      </c>
      <c r="P133">
        <v>47.9289</v>
      </c>
      <c r="Q133">
        <v>0.84246745097212</v>
      </c>
      <c r="R133">
        <v>38.638301507967</v>
      </c>
      <c r="S133">
        <v>24.3030885556837</v>
      </c>
      <c r="T133">
        <v>20.4745610662566</v>
      </c>
      <c r="U133">
        <v>44.7776496219403</v>
      </c>
      <c r="W133">
        <v>9</v>
      </c>
      <c r="X133" s="60">
        <v>0.0277777777777778</v>
      </c>
      <c r="Y133">
        <v>1</v>
      </c>
      <c r="Z133">
        <v>6.69</v>
      </c>
      <c r="AA133">
        <v>0</v>
      </c>
      <c r="AB133">
        <v>1</v>
      </c>
      <c r="AC133">
        <v>0</v>
      </c>
      <c r="AD133">
        <v>0</v>
      </c>
      <c r="AE133">
        <v>0</v>
      </c>
      <c r="AF133">
        <v>0</v>
      </c>
      <c r="AG133">
        <v>0</v>
      </c>
      <c r="AH133">
        <v>0</v>
      </c>
      <c r="AI133">
        <v>0</v>
      </c>
      <c r="AJ133">
        <v>0</v>
      </c>
      <c r="AK133">
        <v>0</v>
      </c>
      <c r="AL133">
        <v>0</v>
      </c>
      <c r="AM133">
        <v>0</v>
      </c>
      <c r="AN133">
        <v>0</v>
      </c>
      <c r="AO133">
        <v>0</v>
      </c>
      <c r="AP133">
        <v>0</v>
      </c>
      <c r="AQ133">
        <v>0</v>
      </c>
      <c r="AR133">
        <v>0</v>
      </c>
      <c r="AS133">
        <v>1</v>
      </c>
      <c r="AT133">
        <v>0</v>
      </c>
      <c r="AU133">
        <v>0</v>
      </c>
      <c r="AV133">
        <v>0</v>
      </c>
      <c r="AW133">
        <v>0</v>
      </c>
      <c r="AX133">
        <v>0</v>
      </c>
      <c r="AY133">
        <v>0</v>
      </c>
    </row>
    <row r="134" spans="1:51">
      <c r="A134" t="s">
        <v>342</v>
      </c>
      <c r="B134" s="82">
        <v>1</v>
      </c>
      <c r="C134" s="71" t="s">
        <v>343</v>
      </c>
      <c r="D134">
        <v>1</v>
      </c>
      <c r="E134">
        <v>829083</v>
      </c>
      <c r="F134">
        <v>1</v>
      </c>
      <c r="G134">
        <v>58</v>
      </c>
      <c r="H134">
        <v>1.73</v>
      </c>
      <c r="I134">
        <v>50</v>
      </c>
      <c r="K134">
        <v>16.7062046844198</v>
      </c>
      <c r="L134">
        <v>69</v>
      </c>
      <c r="S134">
        <v>0</v>
      </c>
      <c r="T134">
        <v>0</v>
      </c>
      <c r="U134">
        <v>0</v>
      </c>
      <c r="W134">
        <v>24</v>
      </c>
      <c r="X134" s="60">
        <v>0.0972222222222222</v>
      </c>
      <c r="Y134">
        <v>3.5</v>
      </c>
      <c r="Z134">
        <v>8.41</v>
      </c>
      <c r="AA134">
        <v>2</v>
      </c>
      <c r="AB134">
        <v>3</v>
      </c>
      <c r="AC134">
        <v>0</v>
      </c>
      <c r="AD134">
        <v>0</v>
      </c>
      <c r="AE134">
        <v>0</v>
      </c>
      <c r="AF134">
        <v>0</v>
      </c>
      <c r="AG134">
        <v>0</v>
      </c>
      <c r="AH134">
        <v>0</v>
      </c>
      <c r="AI134">
        <v>0</v>
      </c>
      <c r="AJ134">
        <v>0</v>
      </c>
      <c r="AK134">
        <v>0</v>
      </c>
      <c r="AL134">
        <v>0</v>
      </c>
      <c r="AM134">
        <v>0</v>
      </c>
      <c r="AN134">
        <v>1</v>
      </c>
      <c r="AO134">
        <v>0</v>
      </c>
      <c r="AP134">
        <v>0.5</v>
      </c>
      <c r="AQ134">
        <v>0</v>
      </c>
      <c r="AR134">
        <v>0</v>
      </c>
      <c r="AS134">
        <v>1</v>
      </c>
      <c r="AT134">
        <v>0</v>
      </c>
      <c r="AU134">
        <v>0</v>
      </c>
      <c r="AV134">
        <v>0</v>
      </c>
      <c r="AW134">
        <v>1</v>
      </c>
      <c r="AX134">
        <v>0</v>
      </c>
      <c r="AY134">
        <v>0</v>
      </c>
    </row>
    <row r="135" spans="1:51">
      <c r="A135" t="s">
        <v>345</v>
      </c>
      <c r="B135" s="82">
        <v>1</v>
      </c>
      <c r="C135" s="71" t="s">
        <v>346</v>
      </c>
      <c r="D135">
        <v>1</v>
      </c>
      <c r="E135">
        <v>1081289</v>
      </c>
      <c r="F135">
        <v>2</v>
      </c>
      <c r="G135">
        <v>56</v>
      </c>
      <c r="H135">
        <v>1.6</v>
      </c>
      <c r="I135">
        <v>50</v>
      </c>
      <c r="K135">
        <v>19.53125</v>
      </c>
      <c r="L135">
        <v>83</v>
      </c>
      <c r="M135">
        <v>87.834</v>
      </c>
      <c r="N135">
        <v>95.6397</v>
      </c>
      <c r="O135">
        <v>114.8422</v>
      </c>
      <c r="P135">
        <v>104.2584</v>
      </c>
      <c r="Q135">
        <v>0.907840497656785</v>
      </c>
      <c r="R135">
        <v>37.3592578125</v>
      </c>
      <c r="S135">
        <v>44.860234375</v>
      </c>
      <c r="T135">
        <v>40.7259375</v>
      </c>
      <c r="U135">
        <v>85.586171875</v>
      </c>
      <c r="W135">
        <v>18.5</v>
      </c>
      <c r="X135" s="60">
        <v>0.305555555555556</v>
      </c>
      <c r="Y135">
        <v>11</v>
      </c>
      <c r="Z135">
        <v>5.35</v>
      </c>
      <c r="AA135">
        <v>1</v>
      </c>
      <c r="AB135">
        <v>2</v>
      </c>
      <c r="AC135">
        <v>0</v>
      </c>
      <c r="AD135">
        <v>0</v>
      </c>
      <c r="AE135">
        <v>0</v>
      </c>
      <c r="AF135">
        <v>1</v>
      </c>
      <c r="AG135">
        <v>1</v>
      </c>
      <c r="AH135">
        <v>0</v>
      </c>
      <c r="AI135">
        <v>0</v>
      </c>
      <c r="AJ135">
        <v>1</v>
      </c>
      <c r="AK135">
        <v>1</v>
      </c>
      <c r="AL135">
        <v>1</v>
      </c>
      <c r="AM135">
        <v>1</v>
      </c>
      <c r="AN135">
        <v>0</v>
      </c>
      <c r="AO135">
        <v>1</v>
      </c>
      <c r="AP135">
        <v>0.5</v>
      </c>
      <c r="AQ135">
        <v>1</v>
      </c>
      <c r="AR135">
        <v>0</v>
      </c>
      <c r="AS135">
        <v>0</v>
      </c>
      <c r="AT135">
        <v>0</v>
      </c>
      <c r="AU135">
        <v>0.5</v>
      </c>
      <c r="AV135">
        <v>0</v>
      </c>
      <c r="AW135">
        <v>1</v>
      </c>
      <c r="AX135">
        <v>0</v>
      </c>
      <c r="AY135">
        <v>1</v>
      </c>
    </row>
    <row r="136" spans="1:51">
      <c r="A136" t="s">
        <v>348</v>
      </c>
      <c r="B136" s="82">
        <v>5</v>
      </c>
      <c r="C136" s="71" t="s">
        <v>349</v>
      </c>
      <c r="D136">
        <v>1</v>
      </c>
      <c r="E136">
        <v>1082697</v>
      </c>
      <c r="F136">
        <v>1</v>
      </c>
      <c r="G136">
        <v>57</v>
      </c>
      <c r="H136">
        <v>1.78</v>
      </c>
      <c r="I136">
        <v>82</v>
      </c>
      <c r="K136">
        <v>25.8805706350208</v>
      </c>
      <c r="L136">
        <v>94</v>
      </c>
      <c r="M136">
        <v>98.319</v>
      </c>
      <c r="N136">
        <v>131.4275</v>
      </c>
      <c r="O136">
        <v>140.0295</v>
      </c>
      <c r="P136">
        <v>239.2879</v>
      </c>
      <c r="Q136">
        <v>1.70883920888099</v>
      </c>
      <c r="R136">
        <v>41.4807158187098</v>
      </c>
      <c r="S136">
        <v>44.1956508016665</v>
      </c>
      <c r="T136">
        <v>75.5232609519</v>
      </c>
      <c r="U136">
        <v>119.718911753566</v>
      </c>
      <c r="W136">
        <v>33.7</v>
      </c>
      <c r="X136" s="60">
        <v>0.125</v>
      </c>
      <c r="Y136">
        <v>4.5</v>
      </c>
      <c r="Z136">
        <v>4.2</v>
      </c>
      <c r="AA136">
        <v>6</v>
      </c>
      <c r="AB136">
        <v>3</v>
      </c>
      <c r="AC136">
        <v>0</v>
      </c>
      <c r="AD136">
        <v>1</v>
      </c>
      <c r="AE136">
        <v>0</v>
      </c>
      <c r="AF136">
        <v>0</v>
      </c>
      <c r="AG136">
        <v>0</v>
      </c>
      <c r="AH136">
        <v>0</v>
      </c>
      <c r="AI136">
        <v>0</v>
      </c>
      <c r="AJ136">
        <v>0</v>
      </c>
      <c r="AK136">
        <v>0</v>
      </c>
      <c r="AL136">
        <v>0</v>
      </c>
      <c r="AM136">
        <v>0</v>
      </c>
      <c r="AN136">
        <v>0</v>
      </c>
      <c r="AO136">
        <v>0</v>
      </c>
      <c r="AP136">
        <v>0.5</v>
      </c>
      <c r="AQ136">
        <v>1</v>
      </c>
      <c r="AR136">
        <v>0</v>
      </c>
      <c r="AS136">
        <v>2</v>
      </c>
      <c r="AT136">
        <v>0</v>
      </c>
      <c r="AU136">
        <v>0</v>
      </c>
      <c r="AV136">
        <v>0</v>
      </c>
      <c r="AW136">
        <v>0</v>
      </c>
      <c r="AX136">
        <v>0</v>
      </c>
      <c r="AY136">
        <v>0</v>
      </c>
    </row>
    <row r="137" spans="1:51">
      <c r="A137" t="s">
        <v>351</v>
      </c>
      <c r="B137" s="82">
        <v>5</v>
      </c>
      <c r="C137" s="71" t="s">
        <v>352</v>
      </c>
      <c r="D137">
        <v>1</v>
      </c>
      <c r="E137">
        <v>1070404</v>
      </c>
      <c r="F137">
        <v>1</v>
      </c>
      <c r="G137">
        <v>57</v>
      </c>
      <c r="H137">
        <v>1.62</v>
      </c>
      <c r="I137">
        <v>57</v>
      </c>
      <c r="K137">
        <v>21.7192501143118</v>
      </c>
      <c r="L137">
        <v>86</v>
      </c>
      <c r="M137">
        <v>100.52</v>
      </c>
      <c r="N137">
        <v>161.7146</v>
      </c>
      <c r="O137">
        <v>134.0784</v>
      </c>
      <c r="P137">
        <v>98.0308</v>
      </c>
      <c r="Q137">
        <v>0.73114535972983</v>
      </c>
      <c r="R137">
        <v>61.6196463953665</v>
      </c>
      <c r="S137">
        <v>51.0891632373114</v>
      </c>
      <c r="T137">
        <v>37.35360463344</v>
      </c>
      <c r="U137">
        <v>88.4427678707514</v>
      </c>
      <c r="W137">
        <v>17</v>
      </c>
      <c r="X137" s="60">
        <v>0.263888888888889</v>
      </c>
      <c r="Y137">
        <v>9.5</v>
      </c>
      <c r="Z137">
        <v>6</v>
      </c>
      <c r="AA137">
        <v>6</v>
      </c>
      <c r="AB137">
        <v>3</v>
      </c>
      <c r="AC137">
        <v>0</v>
      </c>
      <c r="AD137">
        <v>0</v>
      </c>
      <c r="AE137">
        <v>0</v>
      </c>
      <c r="AF137">
        <v>0</v>
      </c>
      <c r="AG137">
        <v>0</v>
      </c>
      <c r="AH137">
        <v>0</v>
      </c>
      <c r="AI137">
        <v>0</v>
      </c>
      <c r="AJ137">
        <v>0</v>
      </c>
      <c r="AK137">
        <v>0</v>
      </c>
      <c r="AL137">
        <v>0</v>
      </c>
      <c r="AM137">
        <v>0</v>
      </c>
      <c r="AN137">
        <v>0</v>
      </c>
      <c r="AO137">
        <v>0</v>
      </c>
      <c r="AP137">
        <v>0.5</v>
      </c>
      <c r="AQ137">
        <v>0</v>
      </c>
      <c r="AR137">
        <v>0</v>
      </c>
      <c r="AS137">
        <v>4</v>
      </c>
      <c r="AT137">
        <v>1</v>
      </c>
      <c r="AU137">
        <v>1</v>
      </c>
      <c r="AV137">
        <v>0</v>
      </c>
      <c r="AW137">
        <v>1</v>
      </c>
      <c r="AX137">
        <v>1</v>
      </c>
      <c r="AY137">
        <v>1</v>
      </c>
    </row>
    <row r="138" spans="1:51">
      <c r="A138" t="s">
        <v>209</v>
      </c>
      <c r="B138" s="82">
        <v>2</v>
      </c>
      <c r="C138" s="71" t="s">
        <v>354</v>
      </c>
      <c r="D138">
        <v>0</v>
      </c>
      <c r="E138">
        <v>1045528</v>
      </c>
      <c r="F138">
        <v>1</v>
      </c>
      <c r="G138">
        <v>65</v>
      </c>
      <c r="H138">
        <v>1.65</v>
      </c>
      <c r="I138">
        <v>65</v>
      </c>
      <c r="K138">
        <v>23.8751147842057</v>
      </c>
      <c r="L138">
        <v>97</v>
      </c>
      <c r="M138">
        <v>101.68</v>
      </c>
      <c r="N138">
        <v>170.3959</v>
      </c>
      <c r="O138">
        <v>170.2564</v>
      </c>
      <c r="P138">
        <v>199.7647</v>
      </c>
      <c r="Q138">
        <v>1.17331683272993</v>
      </c>
      <c r="R138">
        <v>62.5880257116621</v>
      </c>
      <c r="S138">
        <v>62.5367860422406</v>
      </c>
      <c r="T138">
        <v>73.375463728191</v>
      </c>
      <c r="U138">
        <v>135.912249770432</v>
      </c>
      <c r="W138">
        <v>37.7</v>
      </c>
      <c r="X138" s="60">
        <v>0.0833333333333333</v>
      </c>
      <c r="Y138">
        <v>3</v>
      </c>
      <c r="Z138">
        <v>5.22</v>
      </c>
      <c r="AA138">
        <v>6</v>
      </c>
      <c r="AB138">
        <v>3</v>
      </c>
      <c r="AC138">
        <v>0</v>
      </c>
      <c r="AD138">
        <v>0</v>
      </c>
      <c r="AE138">
        <v>0</v>
      </c>
      <c r="AF138">
        <v>0</v>
      </c>
      <c r="AG138">
        <v>0</v>
      </c>
      <c r="AH138">
        <v>0</v>
      </c>
      <c r="AI138">
        <v>0</v>
      </c>
      <c r="AJ138">
        <v>0</v>
      </c>
      <c r="AK138">
        <v>0</v>
      </c>
      <c r="AL138">
        <v>0</v>
      </c>
      <c r="AM138">
        <v>0</v>
      </c>
      <c r="AN138">
        <v>0</v>
      </c>
      <c r="AO138">
        <v>0</v>
      </c>
      <c r="AP138">
        <v>0</v>
      </c>
      <c r="AQ138">
        <v>0</v>
      </c>
      <c r="AR138">
        <v>0</v>
      </c>
      <c r="AS138">
        <v>1</v>
      </c>
      <c r="AT138">
        <v>0</v>
      </c>
      <c r="AU138">
        <v>0</v>
      </c>
      <c r="AV138">
        <v>1</v>
      </c>
      <c r="AW138">
        <v>1</v>
      </c>
      <c r="AX138">
        <v>0</v>
      </c>
      <c r="AY138">
        <v>0</v>
      </c>
    </row>
    <row r="139" spans="1:51">
      <c r="A139" t="s">
        <v>356</v>
      </c>
      <c r="B139" s="82">
        <v>1</v>
      </c>
      <c r="C139" s="71" t="s">
        <v>357</v>
      </c>
      <c r="D139">
        <v>1</v>
      </c>
      <c r="E139">
        <v>1083116</v>
      </c>
      <c r="F139">
        <v>1</v>
      </c>
      <c r="G139">
        <v>67</v>
      </c>
      <c r="H139">
        <v>1.7</v>
      </c>
      <c r="I139">
        <v>72.5</v>
      </c>
      <c r="K139">
        <v>25.0865051903114</v>
      </c>
      <c r="L139">
        <v>83</v>
      </c>
      <c r="M139">
        <v>90.973</v>
      </c>
      <c r="N139">
        <v>139.1268</v>
      </c>
      <c r="O139">
        <v>107.8274</v>
      </c>
      <c r="P139">
        <v>106.2359</v>
      </c>
      <c r="Q139">
        <v>0.98524030070279</v>
      </c>
      <c r="R139">
        <v>48.1407612456747</v>
      </c>
      <c r="S139">
        <v>37.3105190311419</v>
      </c>
      <c r="T139">
        <v>36.7598269896194</v>
      </c>
      <c r="U139">
        <v>74.0703460207613</v>
      </c>
      <c r="W139">
        <v>32.5</v>
      </c>
      <c r="X139" s="60">
        <v>0</v>
      </c>
      <c r="Y139">
        <v>0</v>
      </c>
      <c r="Z139">
        <v>5.35</v>
      </c>
      <c r="AA139">
        <v>0</v>
      </c>
      <c r="AB139">
        <v>1</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row>
    <row r="140" spans="1:51">
      <c r="A140" t="s">
        <v>231</v>
      </c>
      <c r="B140" s="82">
        <v>5</v>
      </c>
      <c r="C140" s="71" t="s">
        <v>359</v>
      </c>
      <c r="D140">
        <v>1</v>
      </c>
      <c r="E140">
        <v>1074806</v>
      </c>
      <c r="F140">
        <v>2</v>
      </c>
      <c r="G140">
        <v>54</v>
      </c>
      <c r="H140">
        <v>1.63</v>
      </c>
      <c r="I140">
        <v>48.5</v>
      </c>
      <c r="K140">
        <v>18.2543565809778</v>
      </c>
      <c r="L140">
        <v>92</v>
      </c>
      <c r="S140">
        <v>0</v>
      </c>
      <c r="T140">
        <v>0</v>
      </c>
      <c r="U140">
        <v>0</v>
      </c>
      <c r="W140">
        <v>5.1</v>
      </c>
      <c r="X140" s="60">
        <v>0.361111111111111</v>
      </c>
      <c r="Y140">
        <v>13</v>
      </c>
      <c r="Z140">
        <v>0</v>
      </c>
      <c r="AA140">
        <v>6</v>
      </c>
      <c r="AB140">
        <v>3</v>
      </c>
      <c r="AC140">
        <v>0</v>
      </c>
      <c r="AD140">
        <v>0</v>
      </c>
      <c r="AE140">
        <v>1</v>
      </c>
      <c r="AF140">
        <v>1</v>
      </c>
      <c r="AG140">
        <v>1</v>
      </c>
      <c r="AH140">
        <v>1</v>
      </c>
      <c r="AI140">
        <v>1</v>
      </c>
      <c r="AJ140">
        <v>1</v>
      </c>
      <c r="AK140">
        <v>1</v>
      </c>
      <c r="AL140">
        <v>1</v>
      </c>
      <c r="AM140">
        <v>1</v>
      </c>
      <c r="AN140">
        <v>1</v>
      </c>
      <c r="AO140">
        <v>0</v>
      </c>
      <c r="AP140">
        <v>1</v>
      </c>
      <c r="AQ140">
        <v>1</v>
      </c>
      <c r="AR140">
        <v>0</v>
      </c>
      <c r="AS140">
        <v>0</v>
      </c>
      <c r="AT140">
        <v>0</v>
      </c>
      <c r="AU140">
        <v>0</v>
      </c>
      <c r="AV140">
        <v>0</v>
      </c>
      <c r="AW140">
        <v>0</v>
      </c>
      <c r="AX140">
        <v>0</v>
      </c>
      <c r="AY140">
        <v>1</v>
      </c>
    </row>
    <row r="141" spans="1:51">
      <c r="A141" t="s">
        <v>361</v>
      </c>
      <c r="B141" s="82">
        <v>5</v>
      </c>
      <c r="C141" s="71" t="s">
        <v>362</v>
      </c>
      <c r="D141">
        <v>1</v>
      </c>
      <c r="E141">
        <v>1083410</v>
      </c>
      <c r="F141">
        <v>2</v>
      </c>
      <c r="G141">
        <v>73</v>
      </c>
      <c r="H141">
        <v>1.65</v>
      </c>
      <c r="I141">
        <v>67</v>
      </c>
      <c r="K141">
        <v>24.6097337006428</v>
      </c>
      <c r="L141">
        <v>90</v>
      </c>
      <c r="M141">
        <v>90.719</v>
      </c>
      <c r="N141">
        <v>106.3967</v>
      </c>
      <c r="O141">
        <v>103.9345</v>
      </c>
      <c r="P141">
        <v>59.3657</v>
      </c>
      <c r="Q141">
        <v>0.571183774396375</v>
      </c>
      <c r="R141">
        <v>39.0805142332415</v>
      </c>
      <c r="S141">
        <v>38.1761248852158</v>
      </c>
      <c r="T141">
        <v>21.8055831037649</v>
      </c>
      <c r="U141">
        <v>59.9817079889807</v>
      </c>
      <c r="W141">
        <v>15.5</v>
      </c>
      <c r="X141" s="60">
        <v>0.111111111111111</v>
      </c>
      <c r="Y141">
        <v>4</v>
      </c>
      <c r="Z141">
        <v>5.51</v>
      </c>
      <c r="AA141">
        <v>4</v>
      </c>
      <c r="AB141">
        <v>3</v>
      </c>
      <c r="AC141">
        <v>0</v>
      </c>
      <c r="AD141">
        <v>0</v>
      </c>
      <c r="AE141">
        <v>0</v>
      </c>
      <c r="AF141">
        <v>0</v>
      </c>
      <c r="AG141">
        <v>0</v>
      </c>
      <c r="AH141">
        <v>0</v>
      </c>
      <c r="AI141">
        <v>0</v>
      </c>
      <c r="AJ141">
        <v>0</v>
      </c>
      <c r="AK141">
        <v>0</v>
      </c>
      <c r="AL141">
        <v>0</v>
      </c>
      <c r="AM141">
        <v>0</v>
      </c>
      <c r="AN141">
        <v>0</v>
      </c>
      <c r="AO141">
        <v>0</v>
      </c>
      <c r="AP141">
        <v>0.5</v>
      </c>
      <c r="AQ141">
        <v>1</v>
      </c>
      <c r="AR141">
        <v>0</v>
      </c>
      <c r="AS141">
        <v>0</v>
      </c>
      <c r="AT141">
        <v>1</v>
      </c>
      <c r="AU141">
        <v>0.5</v>
      </c>
      <c r="AV141">
        <v>1</v>
      </c>
      <c r="AW141">
        <v>0</v>
      </c>
      <c r="AX141">
        <v>0</v>
      </c>
      <c r="AY141">
        <v>0</v>
      </c>
    </row>
    <row r="142" spans="1:51">
      <c r="A142" t="s">
        <v>278</v>
      </c>
      <c r="B142" s="82">
        <v>5</v>
      </c>
      <c r="C142" s="71" t="s">
        <v>364</v>
      </c>
      <c r="D142">
        <v>1</v>
      </c>
      <c r="E142">
        <v>909838</v>
      </c>
      <c r="F142">
        <v>2</v>
      </c>
      <c r="G142">
        <v>74</v>
      </c>
      <c r="H142">
        <v>1.67</v>
      </c>
      <c r="I142">
        <v>55</v>
      </c>
      <c r="K142">
        <v>19.7210369679802</v>
      </c>
      <c r="L142">
        <v>111</v>
      </c>
      <c r="S142">
        <v>0</v>
      </c>
      <c r="T142">
        <v>0</v>
      </c>
      <c r="U142">
        <v>0</v>
      </c>
      <c r="W142">
        <v>15.8</v>
      </c>
      <c r="X142" s="60">
        <v>0.527777777777778</v>
      </c>
      <c r="Y142">
        <v>19</v>
      </c>
      <c r="AA142">
        <v>1</v>
      </c>
      <c r="AB142">
        <v>2</v>
      </c>
      <c r="AC142">
        <v>0</v>
      </c>
      <c r="AD142">
        <v>1</v>
      </c>
      <c r="AE142">
        <v>1</v>
      </c>
      <c r="AF142">
        <v>1</v>
      </c>
      <c r="AG142">
        <v>1</v>
      </c>
      <c r="AH142">
        <v>1</v>
      </c>
      <c r="AI142">
        <v>1</v>
      </c>
      <c r="AJ142">
        <v>1</v>
      </c>
      <c r="AK142">
        <v>1</v>
      </c>
      <c r="AL142">
        <v>1</v>
      </c>
      <c r="AM142">
        <v>1</v>
      </c>
      <c r="AN142">
        <v>1</v>
      </c>
      <c r="AO142">
        <v>1</v>
      </c>
      <c r="AP142">
        <v>1</v>
      </c>
      <c r="AQ142">
        <v>1</v>
      </c>
      <c r="AR142">
        <v>0</v>
      </c>
      <c r="AS142">
        <v>2</v>
      </c>
      <c r="AT142">
        <v>0</v>
      </c>
      <c r="AU142">
        <v>0</v>
      </c>
      <c r="AV142">
        <v>1</v>
      </c>
      <c r="AW142">
        <v>1</v>
      </c>
      <c r="AX142">
        <v>0</v>
      </c>
      <c r="AY142">
        <v>1</v>
      </c>
    </row>
    <row r="143" spans="1:51">
      <c r="A143" t="s">
        <v>366</v>
      </c>
      <c r="B143" s="82">
        <v>2</v>
      </c>
      <c r="C143" s="71" t="s">
        <v>367</v>
      </c>
      <c r="D143">
        <v>0</v>
      </c>
      <c r="E143">
        <v>1082863</v>
      </c>
      <c r="F143">
        <v>1</v>
      </c>
      <c r="G143">
        <v>74</v>
      </c>
      <c r="H143">
        <v>1.65</v>
      </c>
      <c r="I143">
        <v>77</v>
      </c>
      <c r="K143">
        <v>28.2828282828283</v>
      </c>
      <c r="L143">
        <v>109</v>
      </c>
      <c r="M143">
        <v>97.444</v>
      </c>
      <c r="N143">
        <v>128.4729</v>
      </c>
      <c r="O143">
        <v>114.0015</v>
      </c>
      <c r="P143">
        <v>226.3062</v>
      </c>
      <c r="Q143">
        <v>1.98511598531598</v>
      </c>
      <c r="R143">
        <v>47.1893112947659</v>
      </c>
      <c r="S143">
        <v>41.8738292011019</v>
      </c>
      <c r="T143">
        <v>83.1244077134986</v>
      </c>
      <c r="U143">
        <v>124.998236914601</v>
      </c>
      <c r="W143">
        <v>22.1</v>
      </c>
      <c r="X143" s="60">
        <v>0.0972222222222222</v>
      </c>
      <c r="Y143">
        <v>3.5</v>
      </c>
      <c r="Z143">
        <v>8.08</v>
      </c>
      <c r="AA143">
        <v>6</v>
      </c>
      <c r="AB143">
        <v>3</v>
      </c>
      <c r="AC143">
        <v>0</v>
      </c>
      <c r="AD143">
        <v>0</v>
      </c>
      <c r="AE143">
        <v>0</v>
      </c>
      <c r="AF143">
        <v>0</v>
      </c>
      <c r="AG143">
        <v>0</v>
      </c>
      <c r="AH143">
        <v>0</v>
      </c>
      <c r="AI143">
        <v>0</v>
      </c>
      <c r="AJ143">
        <v>0</v>
      </c>
      <c r="AK143">
        <v>1</v>
      </c>
      <c r="AL143">
        <v>0</v>
      </c>
      <c r="AM143">
        <v>0</v>
      </c>
      <c r="AN143">
        <v>1</v>
      </c>
      <c r="AO143">
        <v>0</v>
      </c>
      <c r="AP143">
        <v>0.5</v>
      </c>
      <c r="AQ143">
        <v>1</v>
      </c>
      <c r="AR143">
        <v>0</v>
      </c>
      <c r="AS143">
        <v>0</v>
      </c>
      <c r="AT143">
        <v>0</v>
      </c>
      <c r="AU143">
        <v>0</v>
      </c>
      <c r="AV143">
        <v>0</v>
      </c>
      <c r="AW143">
        <v>0</v>
      </c>
      <c r="AX143">
        <v>0</v>
      </c>
      <c r="AY143">
        <v>0</v>
      </c>
    </row>
    <row r="144" spans="1:51">
      <c r="A144" t="s">
        <v>425</v>
      </c>
      <c r="B144" s="82">
        <v>1</v>
      </c>
      <c r="C144" s="71" t="s">
        <v>3328</v>
      </c>
      <c r="D144">
        <v>1</v>
      </c>
      <c r="E144">
        <v>899876</v>
      </c>
      <c r="S144" t="e">
        <v>#DIV/0!</v>
      </c>
      <c r="T144" t="e">
        <v>#DIV/0!</v>
      </c>
      <c r="U144" t="e">
        <v>#DIV/0!</v>
      </c>
      <c r="W144">
        <v>15.5</v>
      </c>
      <c r="X144" s="60">
        <v>0.375</v>
      </c>
      <c r="Y144">
        <v>13.5</v>
      </c>
      <c r="Z144">
        <v>0</v>
      </c>
      <c r="AA144">
        <v>4</v>
      </c>
      <c r="AB144">
        <v>3</v>
      </c>
      <c r="AC144">
        <v>0</v>
      </c>
      <c r="AD144">
        <v>1</v>
      </c>
      <c r="AE144">
        <v>1</v>
      </c>
      <c r="AF144">
        <v>1</v>
      </c>
      <c r="AG144">
        <v>1</v>
      </c>
      <c r="AH144">
        <v>1</v>
      </c>
      <c r="AI144">
        <v>1</v>
      </c>
      <c r="AJ144">
        <v>0</v>
      </c>
      <c r="AK144">
        <v>1</v>
      </c>
      <c r="AL144">
        <v>1</v>
      </c>
      <c r="AM144">
        <v>0</v>
      </c>
      <c r="AN144">
        <v>1</v>
      </c>
      <c r="AO144">
        <v>0</v>
      </c>
      <c r="AP144">
        <v>0.5</v>
      </c>
      <c r="AQ144">
        <v>1</v>
      </c>
      <c r="AR144">
        <v>0</v>
      </c>
      <c r="AS144">
        <v>1</v>
      </c>
      <c r="AT144">
        <v>0</v>
      </c>
      <c r="AU144">
        <v>0</v>
      </c>
      <c r="AV144">
        <v>1</v>
      </c>
      <c r="AW144">
        <v>0</v>
      </c>
      <c r="AX144">
        <v>0</v>
      </c>
      <c r="AY144">
        <v>1</v>
      </c>
    </row>
    <row r="145" spans="1:51">
      <c r="A145" t="s">
        <v>3106</v>
      </c>
      <c r="B145" s="82">
        <v>2</v>
      </c>
      <c r="C145" s="71" t="s">
        <v>3329</v>
      </c>
      <c r="D145">
        <v>0</v>
      </c>
      <c r="E145">
        <v>1063663</v>
      </c>
      <c r="F145">
        <v>1</v>
      </c>
      <c r="G145">
        <v>65</v>
      </c>
      <c r="H145">
        <v>1.7</v>
      </c>
      <c r="I145">
        <v>70</v>
      </c>
      <c r="K145">
        <v>24.2214532871972</v>
      </c>
      <c r="L145">
        <v>98</v>
      </c>
      <c r="M145">
        <v>95.554</v>
      </c>
      <c r="N145">
        <v>182.8594</v>
      </c>
      <c r="O145">
        <v>143.0244</v>
      </c>
      <c r="P145">
        <v>143.4225</v>
      </c>
      <c r="Q145">
        <v>1.00278344114711</v>
      </c>
      <c r="R145">
        <v>63.2731487889273</v>
      </c>
      <c r="S145">
        <v>49.4894117647059</v>
      </c>
      <c r="T145">
        <v>49.6271626297578</v>
      </c>
      <c r="U145">
        <v>99.1165743944637</v>
      </c>
      <c r="W145">
        <v>20.6</v>
      </c>
      <c r="X145" s="60">
        <v>0.111111111111111</v>
      </c>
      <c r="Y145">
        <v>4</v>
      </c>
      <c r="Z145">
        <v>6.69</v>
      </c>
      <c r="AA145">
        <v>6</v>
      </c>
      <c r="AB145">
        <v>3</v>
      </c>
      <c r="AC145">
        <v>0</v>
      </c>
      <c r="AD145">
        <v>0</v>
      </c>
      <c r="AE145">
        <v>0</v>
      </c>
      <c r="AF145">
        <v>0</v>
      </c>
      <c r="AG145">
        <v>0</v>
      </c>
      <c r="AH145">
        <v>0</v>
      </c>
      <c r="AI145">
        <v>0</v>
      </c>
      <c r="AJ145">
        <v>0</v>
      </c>
      <c r="AK145">
        <v>0</v>
      </c>
      <c r="AL145">
        <v>0</v>
      </c>
      <c r="AM145">
        <v>0</v>
      </c>
      <c r="AN145">
        <v>0</v>
      </c>
      <c r="AO145">
        <v>0</v>
      </c>
      <c r="AP145">
        <v>0</v>
      </c>
      <c r="AQ145">
        <v>0</v>
      </c>
      <c r="AR145">
        <v>0</v>
      </c>
      <c r="AS145">
        <v>2</v>
      </c>
      <c r="AT145">
        <v>0</v>
      </c>
      <c r="AU145">
        <v>0</v>
      </c>
      <c r="AV145">
        <v>0</v>
      </c>
      <c r="AW145">
        <v>1</v>
      </c>
      <c r="AX145">
        <v>1</v>
      </c>
      <c r="AY145">
        <v>0</v>
      </c>
    </row>
    <row r="146" spans="1:51">
      <c r="A146" t="s">
        <v>369</v>
      </c>
      <c r="B146" s="82">
        <v>1</v>
      </c>
      <c r="C146" s="71" t="s">
        <v>370</v>
      </c>
      <c r="D146">
        <v>1</v>
      </c>
      <c r="E146">
        <v>1083722</v>
      </c>
      <c r="F146">
        <v>2</v>
      </c>
      <c r="G146">
        <v>69</v>
      </c>
      <c r="H146">
        <v>1.52</v>
      </c>
      <c r="I146">
        <v>60</v>
      </c>
      <c r="K146">
        <v>25.9695290858726</v>
      </c>
      <c r="L146">
        <v>94</v>
      </c>
      <c r="M146">
        <v>87.662</v>
      </c>
      <c r="N146">
        <v>96.3405</v>
      </c>
      <c r="O146">
        <v>78.7622</v>
      </c>
      <c r="P146">
        <v>96.5353</v>
      </c>
      <c r="Q146">
        <v>1.22565520008329</v>
      </c>
      <c r="R146">
        <v>41.6986236149584</v>
      </c>
      <c r="S146">
        <v>34.0902873961219</v>
      </c>
      <c r="T146">
        <v>41.7829380193906</v>
      </c>
      <c r="U146">
        <v>75.8732254155125</v>
      </c>
      <c r="W146">
        <v>12.3</v>
      </c>
      <c r="X146" s="60">
        <v>0.152777777777778</v>
      </c>
      <c r="Y146">
        <v>5.5</v>
      </c>
      <c r="Z146">
        <v>6.29</v>
      </c>
      <c r="AA146">
        <v>4</v>
      </c>
      <c r="AB146">
        <v>3</v>
      </c>
      <c r="AC146">
        <v>0</v>
      </c>
      <c r="AD146">
        <v>1</v>
      </c>
      <c r="AE146">
        <v>0</v>
      </c>
      <c r="AF146">
        <v>0</v>
      </c>
      <c r="AG146">
        <v>0</v>
      </c>
      <c r="AH146">
        <v>0</v>
      </c>
      <c r="AI146">
        <v>0</v>
      </c>
      <c r="AJ146">
        <v>0</v>
      </c>
      <c r="AK146">
        <v>0</v>
      </c>
      <c r="AL146">
        <v>0</v>
      </c>
      <c r="AM146">
        <v>0</v>
      </c>
      <c r="AN146">
        <v>1</v>
      </c>
      <c r="AO146">
        <v>0</v>
      </c>
      <c r="AP146">
        <v>0</v>
      </c>
      <c r="AQ146">
        <v>0</v>
      </c>
      <c r="AR146">
        <v>0</v>
      </c>
      <c r="AS146">
        <v>0</v>
      </c>
      <c r="AT146">
        <v>0</v>
      </c>
      <c r="AU146">
        <v>0</v>
      </c>
      <c r="AV146">
        <v>1</v>
      </c>
      <c r="AW146">
        <v>1</v>
      </c>
      <c r="AX146">
        <v>1</v>
      </c>
      <c r="AY146">
        <v>0.5</v>
      </c>
    </row>
  </sheetData>
  <sheetProtection formatCells="0" insertHyperlinks="0" autoFilter="0"/>
  <pageMargins left="0.75" right="0.75" top="1" bottom="1" header="0.5" footer="0.5"/>
  <pageSetup paperSize="1" fitToWidth="0"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9"/>
  <sheetViews>
    <sheetView topLeftCell="A63" workbookViewId="0">
      <selection activeCell="O7" sqref="O7"/>
    </sheetView>
  </sheetViews>
  <sheetFormatPr defaultColWidth="9" defaultRowHeight="14.25"/>
  <sheetData>
    <row r="1" spans="1:15">
      <c r="A1" t="s">
        <v>9</v>
      </c>
      <c r="B1" t="s">
        <v>3050</v>
      </c>
      <c r="C1" s="45" t="s">
        <v>3051</v>
      </c>
      <c r="D1" s="45" t="s">
        <v>3052</v>
      </c>
      <c r="E1" s="45" t="s">
        <v>3053</v>
      </c>
      <c r="F1" s="45" t="s">
        <v>3054</v>
      </c>
      <c r="G1" t="s">
        <v>3055</v>
      </c>
      <c r="H1" t="s">
        <v>3056</v>
      </c>
      <c r="I1">
        <v>2</v>
      </c>
      <c r="J1">
        <v>3</v>
      </c>
      <c r="K1">
        <v>4</v>
      </c>
      <c r="L1" t="s">
        <v>3053</v>
      </c>
      <c r="M1" t="s">
        <v>3057</v>
      </c>
      <c r="N1">
        <v>2</v>
      </c>
      <c r="O1" s="45" t="s">
        <v>3058</v>
      </c>
    </row>
    <row r="2" spans="1:15">
      <c r="A2" t="s">
        <v>3063</v>
      </c>
      <c r="B2" t="s">
        <v>3064</v>
      </c>
      <c r="C2">
        <v>86.593</v>
      </c>
      <c r="D2">
        <v>130.6295</v>
      </c>
      <c r="E2">
        <v>71.6652</v>
      </c>
      <c r="F2">
        <v>58.9094</v>
      </c>
      <c r="G2">
        <f>AVERAGE(H2,I2,J2,K2)</f>
        <v>54.375</v>
      </c>
      <c r="H2">
        <v>49.1</v>
      </c>
      <c r="I2">
        <v>56.7</v>
      </c>
      <c r="J2">
        <v>56.2</v>
      </c>
      <c r="K2">
        <v>55.5</v>
      </c>
      <c r="L2">
        <f>AVERAGE(M2:N2)</f>
        <v>-60.85</v>
      </c>
      <c r="M2">
        <v>-54.8</v>
      </c>
      <c r="N2">
        <v>-66.9</v>
      </c>
      <c r="O2">
        <f>G2/L2</f>
        <v>-0.893590797041906</v>
      </c>
    </row>
    <row r="3" spans="1:15">
      <c r="A3" t="s">
        <v>133</v>
      </c>
      <c r="B3" t="s">
        <v>3065</v>
      </c>
      <c r="C3">
        <v>99.016</v>
      </c>
      <c r="D3">
        <v>124.4353</v>
      </c>
      <c r="E3">
        <v>61.2702</v>
      </c>
      <c r="F3">
        <v>183.9868</v>
      </c>
      <c r="G3">
        <f t="shared" ref="G3:G56" si="0">AVERAGE(H3,I3,J3,K3)</f>
        <v>52.025</v>
      </c>
      <c r="H3">
        <v>50.2</v>
      </c>
      <c r="I3">
        <v>57.8</v>
      </c>
      <c r="J3">
        <v>55.6</v>
      </c>
      <c r="K3">
        <v>44.5</v>
      </c>
      <c r="L3">
        <f t="shared" ref="L3:L56" si="1">AVERAGE(M3:N3)</f>
        <v>-92.25</v>
      </c>
      <c r="M3">
        <v>-92.3</v>
      </c>
      <c r="N3">
        <v>-92.2</v>
      </c>
      <c r="O3">
        <f t="shared" ref="O3:O56" si="2">G3/L3</f>
        <v>-0.563956639566396</v>
      </c>
    </row>
    <row r="4" spans="1:15">
      <c r="A4" t="s">
        <v>3066</v>
      </c>
      <c r="B4" t="s">
        <v>3067</v>
      </c>
      <c r="C4">
        <v>96.542</v>
      </c>
      <c r="D4">
        <v>131.4273</v>
      </c>
      <c r="E4">
        <v>128.8495</v>
      </c>
      <c r="F4">
        <v>100.3918</v>
      </c>
      <c r="G4">
        <f t="shared" si="0"/>
        <v>53.075</v>
      </c>
      <c r="H4">
        <v>52.8</v>
      </c>
      <c r="I4">
        <v>58</v>
      </c>
      <c r="J4">
        <v>52.3</v>
      </c>
      <c r="K4">
        <v>49.2</v>
      </c>
      <c r="L4">
        <f t="shared" si="1"/>
        <v>-86.6</v>
      </c>
      <c r="M4">
        <v>-85.6</v>
      </c>
      <c r="N4">
        <v>-87.6</v>
      </c>
      <c r="O4">
        <f t="shared" si="2"/>
        <v>-0.612875288683603</v>
      </c>
    </row>
    <row r="5" spans="1:15">
      <c r="A5" t="s">
        <v>112</v>
      </c>
      <c r="B5" t="s">
        <v>3068</v>
      </c>
      <c r="C5">
        <v>97.553</v>
      </c>
      <c r="D5">
        <v>158.8083</v>
      </c>
      <c r="E5">
        <v>151.2466</v>
      </c>
      <c r="F5">
        <v>145.4141</v>
      </c>
      <c r="G5">
        <f t="shared" si="0"/>
        <v>39.825</v>
      </c>
      <c r="H5">
        <v>44.4</v>
      </c>
      <c r="I5">
        <v>27.4</v>
      </c>
      <c r="J5">
        <v>38.1</v>
      </c>
      <c r="K5">
        <v>49.4</v>
      </c>
      <c r="L5">
        <f t="shared" si="1"/>
        <v>-105.4</v>
      </c>
      <c r="M5">
        <v>-103.1</v>
      </c>
      <c r="N5">
        <v>-107.7</v>
      </c>
      <c r="O5">
        <f t="shared" si="2"/>
        <v>-0.377846299810247</v>
      </c>
    </row>
    <row r="6" spans="1:15">
      <c r="A6" t="s">
        <v>118</v>
      </c>
      <c r="B6" t="s">
        <v>3069</v>
      </c>
      <c r="C6">
        <v>83.655</v>
      </c>
      <c r="D6">
        <v>104.9183</v>
      </c>
      <c r="E6">
        <v>163.7667</v>
      </c>
      <c r="F6">
        <v>76.4499</v>
      </c>
      <c r="G6">
        <f t="shared" si="0"/>
        <v>52.225</v>
      </c>
      <c r="H6">
        <v>43.7</v>
      </c>
      <c r="I6">
        <v>56</v>
      </c>
      <c r="J6">
        <v>55.2</v>
      </c>
      <c r="K6">
        <v>54</v>
      </c>
      <c r="L6">
        <f t="shared" si="1"/>
        <v>-104.1</v>
      </c>
      <c r="M6">
        <v>-105.5</v>
      </c>
      <c r="N6">
        <v>-102.7</v>
      </c>
      <c r="O6">
        <f t="shared" si="2"/>
        <v>-0.501681075888569</v>
      </c>
    </row>
    <row r="7" spans="1:15">
      <c r="A7" t="s">
        <v>130</v>
      </c>
      <c r="B7" t="s">
        <v>3070</v>
      </c>
      <c r="C7">
        <v>96.236</v>
      </c>
      <c r="D7">
        <v>120.9014</v>
      </c>
      <c r="E7">
        <v>205.8137</v>
      </c>
      <c r="F7">
        <v>115.5622</v>
      </c>
      <c r="G7">
        <f t="shared" si="0"/>
        <v>50.2</v>
      </c>
      <c r="H7">
        <v>49.5</v>
      </c>
      <c r="I7">
        <v>55.4</v>
      </c>
      <c r="J7">
        <v>52.4</v>
      </c>
      <c r="K7">
        <v>43.5</v>
      </c>
      <c r="L7">
        <f t="shared" si="1"/>
        <v>-103.6</v>
      </c>
      <c r="M7">
        <v>-101.4</v>
      </c>
      <c r="N7">
        <v>-105.8</v>
      </c>
      <c r="O7">
        <f t="shared" si="2"/>
        <v>-0.484555984555985</v>
      </c>
    </row>
    <row r="8" spans="1:15">
      <c r="A8" t="s">
        <v>124</v>
      </c>
      <c r="B8" t="s">
        <v>3071</v>
      </c>
      <c r="C8">
        <v>80.203</v>
      </c>
      <c r="D8">
        <v>83.828</v>
      </c>
      <c r="E8">
        <v>84.9843</v>
      </c>
      <c r="F8">
        <v>39.0325</v>
      </c>
      <c r="G8">
        <f t="shared" si="0"/>
        <v>40.675</v>
      </c>
      <c r="H8">
        <v>40.6</v>
      </c>
      <c r="I8">
        <v>48</v>
      </c>
      <c r="J8">
        <v>47.9</v>
      </c>
      <c r="K8">
        <v>26.2</v>
      </c>
      <c r="L8">
        <f t="shared" si="1"/>
        <v>-67</v>
      </c>
      <c r="M8">
        <v>-68.7</v>
      </c>
      <c r="N8">
        <v>-65.3</v>
      </c>
      <c r="O8">
        <f t="shared" si="2"/>
        <v>-0.607089552238806</v>
      </c>
    </row>
    <row r="9" spans="1:15">
      <c r="A9" t="s">
        <v>70</v>
      </c>
      <c r="B9" t="s">
        <v>3072</v>
      </c>
      <c r="C9">
        <v>91.768</v>
      </c>
      <c r="D9">
        <v>91.6628</v>
      </c>
      <c r="E9">
        <v>69.5598</v>
      </c>
      <c r="F9">
        <v>76.5891</v>
      </c>
      <c r="G9">
        <f t="shared" si="0"/>
        <v>26.6</v>
      </c>
      <c r="H9">
        <v>31.6</v>
      </c>
      <c r="I9">
        <v>21.2</v>
      </c>
      <c r="J9">
        <v>22.9</v>
      </c>
      <c r="K9">
        <v>30.7</v>
      </c>
      <c r="L9">
        <f t="shared" si="1"/>
        <v>-75.8</v>
      </c>
      <c r="M9">
        <v>-79.3</v>
      </c>
      <c r="N9">
        <v>-72.3</v>
      </c>
      <c r="O9">
        <f t="shared" si="2"/>
        <v>-0.350923482849604</v>
      </c>
    </row>
    <row r="10" spans="1:15">
      <c r="A10" t="s">
        <v>3073</v>
      </c>
      <c r="B10" t="s">
        <v>3074</v>
      </c>
      <c r="C10">
        <v>76.454</v>
      </c>
      <c r="D10">
        <v>123.4744</v>
      </c>
      <c r="E10">
        <v>58.23</v>
      </c>
      <c r="F10">
        <v>34.2731</v>
      </c>
      <c r="G10">
        <f t="shared" si="0"/>
        <v>53.625</v>
      </c>
      <c r="H10">
        <v>50.8</v>
      </c>
      <c r="I10">
        <v>51.6</v>
      </c>
      <c r="J10">
        <v>55.4</v>
      </c>
      <c r="K10">
        <v>56.7</v>
      </c>
      <c r="L10">
        <f t="shared" si="1"/>
        <v>-78.85</v>
      </c>
      <c r="M10">
        <v>-80.9</v>
      </c>
      <c r="N10">
        <v>-76.8</v>
      </c>
      <c r="O10">
        <f t="shared" si="2"/>
        <v>-0.680088776157261</v>
      </c>
    </row>
    <row r="11" spans="1:15">
      <c r="A11" t="s">
        <v>79</v>
      </c>
      <c r="B11" t="s">
        <v>3074</v>
      </c>
      <c r="C11">
        <v>94.086</v>
      </c>
      <c r="D11">
        <v>151.8119</v>
      </c>
      <c r="E11">
        <v>98.9789</v>
      </c>
      <c r="F11">
        <v>138.0966</v>
      </c>
      <c r="G11">
        <f t="shared" si="0"/>
        <v>57.85</v>
      </c>
      <c r="H11">
        <v>54.2</v>
      </c>
      <c r="I11">
        <v>52.1</v>
      </c>
      <c r="J11">
        <v>63.5</v>
      </c>
      <c r="K11">
        <v>61.6</v>
      </c>
      <c r="L11">
        <f t="shared" si="1"/>
        <v>-96.7</v>
      </c>
      <c r="M11">
        <v>-100.8</v>
      </c>
      <c r="N11">
        <v>-92.6</v>
      </c>
      <c r="O11">
        <f t="shared" si="2"/>
        <v>-0.598241985522234</v>
      </c>
    </row>
    <row r="12" spans="1:15">
      <c r="A12" t="s">
        <v>109</v>
      </c>
      <c r="B12" t="s">
        <v>3075</v>
      </c>
      <c r="C12">
        <v>90.548</v>
      </c>
      <c r="D12">
        <v>97.3645</v>
      </c>
      <c r="E12">
        <v>170.5695</v>
      </c>
      <c r="F12">
        <v>111.2768</v>
      </c>
      <c r="G12">
        <f t="shared" si="0"/>
        <v>52.925</v>
      </c>
      <c r="H12">
        <v>53.2</v>
      </c>
      <c r="I12">
        <v>50.3</v>
      </c>
      <c r="J12">
        <v>56.9</v>
      </c>
      <c r="K12">
        <v>51.3</v>
      </c>
      <c r="L12">
        <f t="shared" si="1"/>
        <v>-105.05</v>
      </c>
      <c r="M12">
        <v>-105.4</v>
      </c>
      <c r="N12">
        <v>-104.7</v>
      </c>
      <c r="O12">
        <f t="shared" si="2"/>
        <v>-0.503807710613993</v>
      </c>
    </row>
    <row r="13" spans="1:15">
      <c r="A13" t="s">
        <v>3076</v>
      </c>
      <c r="B13" t="s">
        <v>3072</v>
      </c>
      <c r="C13">
        <v>107.49</v>
      </c>
      <c r="D13">
        <v>167.6827</v>
      </c>
      <c r="E13">
        <v>131.8196</v>
      </c>
      <c r="F13">
        <v>20.1535</v>
      </c>
      <c r="G13">
        <f t="shared" si="0"/>
        <v>54.1</v>
      </c>
      <c r="H13">
        <v>54.6</v>
      </c>
      <c r="I13">
        <v>58.2</v>
      </c>
      <c r="J13">
        <v>52.9</v>
      </c>
      <c r="K13">
        <v>50.7</v>
      </c>
      <c r="L13">
        <f t="shared" si="1"/>
        <v>-39.35</v>
      </c>
      <c r="M13">
        <v>-40.2</v>
      </c>
      <c r="N13">
        <v>-38.5</v>
      </c>
      <c r="O13">
        <f t="shared" si="2"/>
        <v>-1.37484116899619</v>
      </c>
    </row>
    <row r="14" spans="1:15">
      <c r="A14" t="s">
        <v>127</v>
      </c>
      <c r="B14" t="s">
        <v>3077</v>
      </c>
      <c r="C14">
        <v>104.54</v>
      </c>
      <c r="D14">
        <v>142.6147</v>
      </c>
      <c r="E14">
        <v>307.7454</v>
      </c>
      <c r="F14">
        <v>122.5342</v>
      </c>
      <c r="G14">
        <f t="shared" si="0"/>
        <v>49.375</v>
      </c>
      <c r="H14">
        <v>43</v>
      </c>
      <c r="I14">
        <v>46.9</v>
      </c>
      <c r="J14">
        <v>55.1</v>
      </c>
      <c r="K14">
        <v>52.5</v>
      </c>
      <c r="L14">
        <f t="shared" si="1"/>
        <v>-99.65</v>
      </c>
      <c r="M14">
        <v>-100.3</v>
      </c>
      <c r="N14">
        <v>-99</v>
      </c>
      <c r="O14">
        <f t="shared" si="2"/>
        <v>-0.495484194681385</v>
      </c>
    </row>
    <row r="15" spans="1:15">
      <c r="A15" t="s">
        <v>85</v>
      </c>
      <c r="B15" t="s">
        <v>3078</v>
      </c>
      <c r="C15">
        <v>85.082</v>
      </c>
      <c r="D15">
        <v>126.8259</v>
      </c>
      <c r="E15">
        <v>60.8434</v>
      </c>
      <c r="F15">
        <v>3.8027</v>
      </c>
      <c r="G15">
        <f t="shared" si="0"/>
        <v>55.85</v>
      </c>
      <c r="H15">
        <v>52</v>
      </c>
      <c r="I15">
        <v>56.1</v>
      </c>
      <c r="J15">
        <v>58.2</v>
      </c>
      <c r="K15">
        <v>57.1</v>
      </c>
      <c r="L15">
        <f t="shared" si="1"/>
        <v>-53.65</v>
      </c>
      <c r="M15">
        <v>-50.7</v>
      </c>
      <c r="N15">
        <v>-56.6</v>
      </c>
      <c r="O15">
        <f t="shared" si="2"/>
        <v>-1.04100652376514</v>
      </c>
    </row>
    <row r="16" spans="1:15">
      <c r="A16" t="s">
        <v>135</v>
      </c>
      <c r="B16" t="s">
        <v>3079</v>
      </c>
      <c r="C16">
        <v>109.69</v>
      </c>
      <c r="D16">
        <v>118.3859</v>
      </c>
      <c r="E16">
        <v>132.2974</v>
      </c>
      <c r="F16">
        <v>377.4993</v>
      </c>
      <c r="G16">
        <f t="shared" si="0"/>
        <v>47.85</v>
      </c>
      <c r="H16">
        <v>39</v>
      </c>
      <c r="I16">
        <v>54.5</v>
      </c>
      <c r="J16">
        <v>58.7</v>
      </c>
      <c r="K16">
        <v>39.2</v>
      </c>
      <c r="L16">
        <f t="shared" si="1"/>
        <v>-102.4</v>
      </c>
      <c r="M16">
        <v>-105.4</v>
      </c>
      <c r="N16">
        <v>-99.4</v>
      </c>
      <c r="O16">
        <f t="shared" si="2"/>
        <v>-0.46728515625</v>
      </c>
    </row>
    <row r="17" spans="1:15">
      <c r="A17" t="s">
        <v>3080</v>
      </c>
      <c r="B17" t="s">
        <v>3081</v>
      </c>
      <c r="C17">
        <v>99.512</v>
      </c>
      <c r="D17">
        <v>106.3155</v>
      </c>
      <c r="E17">
        <v>149.6002</v>
      </c>
      <c r="F17">
        <v>186.0177</v>
      </c>
      <c r="G17">
        <f t="shared" si="0"/>
        <v>48.6</v>
      </c>
      <c r="H17">
        <v>56.6</v>
      </c>
      <c r="I17">
        <v>53</v>
      </c>
      <c r="J17">
        <v>35.3</v>
      </c>
      <c r="K17">
        <v>49.5</v>
      </c>
      <c r="L17">
        <f t="shared" si="1"/>
        <v>-100.15</v>
      </c>
      <c r="M17">
        <v>-96.1</v>
      </c>
      <c r="N17">
        <v>-104.2</v>
      </c>
      <c r="O17">
        <f t="shared" si="2"/>
        <v>-0.485272091862207</v>
      </c>
    </row>
    <row r="18" spans="1:15">
      <c r="A18" t="s">
        <v>3082</v>
      </c>
      <c r="B18" t="s">
        <v>3083</v>
      </c>
      <c r="C18">
        <v>93.82</v>
      </c>
      <c r="D18">
        <v>183.0007</v>
      </c>
      <c r="E18">
        <v>121.6751</v>
      </c>
      <c r="F18">
        <v>73.1222</v>
      </c>
      <c r="G18">
        <f t="shared" si="0"/>
        <v>48.675</v>
      </c>
      <c r="H18">
        <v>47.7</v>
      </c>
      <c r="I18">
        <v>51.1</v>
      </c>
      <c r="J18">
        <v>51.3</v>
      </c>
      <c r="K18">
        <v>44.6</v>
      </c>
      <c r="L18">
        <f t="shared" si="1"/>
        <v>-93.1</v>
      </c>
      <c r="M18">
        <v>-90.9</v>
      </c>
      <c r="N18">
        <v>-95.3</v>
      </c>
      <c r="O18">
        <f t="shared" si="2"/>
        <v>-0.522824919441461</v>
      </c>
    </row>
    <row r="19" spans="1:15">
      <c r="A19" t="s">
        <v>3084</v>
      </c>
      <c r="B19" t="s">
        <v>3085</v>
      </c>
      <c r="C19">
        <v>94.086</v>
      </c>
      <c r="D19">
        <v>151.4053</v>
      </c>
      <c r="E19">
        <v>98.7967</v>
      </c>
      <c r="F19">
        <v>138.9004</v>
      </c>
      <c r="G19">
        <f t="shared" si="0"/>
        <v>46.45</v>
      </c>
      <c r="H19">
        <v>45.1</v>
      </c>
      <c r="I19">
        <v>51.9</v>
      </c>
      <c r="J19">
        <v>48.3</v>
      </c>
      <c r="K19">
        <v>40.5</v>
      </c>
      <c r="L19">
        <f t="shared" si="1"/>
        <v>-78.45</v>
      </c>
      <c r="M19">
        <v>-76.7</v>
      </c>
      <c r="N19">
        <v>-80.2</v>
      </c>
      <c r="O19">
        <f t="shared" si="2"/>
        <v>-0.592096876991715</v>
      </c>
    </row>
    <row r="20" spans="1:15">
      <c r="A20" t="s">
        <v>52</v>
      </c>
      <c r="B20" t="s">
        <v>3086</v>
      </c>
      <c r="C20">
        <v>112.81</v>
      </c>
      <c r="D20">
        <v>120.5394</v>
      </c>
      <c r="E20">
        <v>209.9316</v>
      </c>
      <c r="F20">
        <v>141.4871</v>
      </c>
      <c r="G20">
        <f t="shared" si="0"/>
        <v>25.025</v>
      </c>
      <c r="H20">
        <v>10.3</v>
      </c>
      <c r="I20">
        <v>42.2</v>
      </c>
      <c r="J20">
        <v>29.2</v>
      </c>
      <c r="K20">
        <v>18.4</v>
      </c>
      <c r="L20">
        <f t="shared" si="1"/>
        <v>-95.8</v>
      </c>
      <c r="M20">
        <v>-95.8</v>
      </c>
      <c r="N20">
        <v>-95.8</v>
      </c>
      <c r="O20">
        <f t="shared" si="2"/>
        <v>-0.261221294363257</v>
      </c>
    </row>
    <row r="21" spans="1:15">
      <c r="A21" t="s">
        <v>56</v>
      </c>
      <c r="B21" t="s">
        <v>3087</v>
      </c>
      <c r="C21">
        <v>99.951</v>
      </c>
      <c r="D21">
        <v>118.2755</v>
      </c>
      <c r="E21">
        <v>192.1786</v>
      </c>
      <c r="F21">
        <v>178.5981</v>
      </c>
      <c r="G21">
        <f t="shared" si="0"/>
        <v>28.675</v>
      </c>
      <c r="H21">
        <v>43.1</v>
      </c>
      <c r="I21">
        <v>25.6</v>
      </c>
      <c r="J21">
        <v>27.8</v>
      </c>
      <c r="K21">
        <v>18.2</v>
      </c>
      <c r="L21">
        <f t="shared" si="1"/>
        <v>-110.65</v>
      </c>
      <c r="M21">
        <v>-108.1</v>
      </c>
      <c r="N21">
        <v>-113.2</v>
      </c>
      <c r="O21">
        <f t="shared" si="2"/>
        <v>-0.259150474469047</v>
      </c>
    </row>
    <row r="22" spans="1:15">
      <c r="A22" t="s">
        <v>3088</v>
      </c>
      <c r="B22" t="s">
        <v>3089</v>
      </c>
      <c r="C22">
        <v>120.28</v>
      </c>
      <c r="D22">
        <v>152.3056</v>
      </c>
      <c r="E22">
        <v>360.3079</v>
      </c>
      <c r="F22">
        <v>301.2442</v>
      </c>
      <c r="G22">
        <f t="shared" si="0"/>
        <v>36.175</v>
      </c>
      <c r="H22">
        <v>40.1</v>
      </c>
      <c r="I22">
        <v>33.4</v>
      </c>
      <c r="J22">
        <v>44.2</v>
      </c>
      <c r="K22">
        <v>27</v>
      </c>
      <c r="L22">
        <f t="shared" si="1"/>
        <v>-102.75</v>
      </c>
      <c r="M22">
        <v>-98.4</v>
      </c>
      <c r="N22">
        <v>-107.1</v>
      </c>
      <c r="O22">
        <f t="shared" si="2"/>
        <v>-0.352068126520681</v>
      </c>
    </row>
    <row r="23" spans="1:15">
      <c r="A23" t="s">
        <v>76</v>
      </c>
      <c r="B23" t="s">
        <v>3090</v>
      </c>
      <c r="C23">
        <v>97.809</v>
      </c>
      <c r="D23">
        <v>140.6806</v>
      </c>
      <c r="E23">
        <v>140.8421</v>
      </c>
      <c r="F23">
        <v>175.5412</v>
      </c>
      <c r="G23">
        <f t="shared" si="0"/>
        <v>51.375</v>
      </c>
      <c r="H23">
        <v>51.2</v>
      </c>
      <c r="I23">
        <v>54.9</v>
      </c>
      <c r="J23">
        <v>51.1</v>
      </c>
      <c r="K23">
        <v>48.3</v>
      </c>
      <c r="L23">
        <f t="shared" si="1"/>
        <v>-109.2</v>
      </c>
      <c r="M23">
        <v>-112.5</v>
      </c>
      <c r="N23">
        <v>-105.9</v>
      </c>
      <c r="O23">
        <f t="shared" si="2"/>
        <v>-0.470467032967033</v>
      </c>
    </row>
    <row r="24" spans="1:15">
      <c r="A24" t="s">
        <v>3091</v>
      </c>
      <c r="B24" t="s">
        <v>3092</v>
      </c>
      <c r="C24">
        <v>100.95</v>
      </c>
      <c r="D24">
        <v>108.807</v>
      </c>
      <c r="E24">
        <v>57.0543</v>
      </c>
      <c r="F24">
        <v>153.2484</v>
      </c>
      <c r="G24">
        <f t="shared" si="0"/>
        <v>18.2</v>
      </c>
      <c r="H24">
        <v>15.8</v>
      </c>
      <c r="I24">
        <v>19.1</v>
      </c>
      <c r="J24">
        <v>21.8</v>
      </c>
      <c r="K24">
        <v>16.1</v>
      </c>
      <c r="L24">
        <f t="shared" si="1"/>
        <v>-97.65</v>
      </c>
      <c r="M24">
        <v>-92.2</v>
      </c>
      <c r="N24">
        <v>-103.1</v>
      </c>
      <c r="O24">
        <f t="shared" si="2"/>
        <v>-0.186379928315412</v>
      </c>
    </row>
    <row r="25" spans="1:15">
      <c r="A25" t="s">
        <v>3093</v>
      </c>
      <c r="B25" t="s">
        <v>3094</v>
      </c>
      <c r="C25">
        <v>119.73</v>
      </c>
      <c r="D25">
        <v>142.9543</v>
      </c>
      <c r="E25">
        <v>181.8607</v>
      </c>
      <c r="F25">
        <v>204.7809</v>
      </c>
      <c r="G25">
        <f t="shared" si="0"/>
        <v>41.675</v>
      </c>
      <c r="H25">
        <v>39.3</v>
      </c>
      <c r="I25">
        <v>37.3</v>
      </c>
      <c r="J25">
        <v>46.9</v>
      </c>
      <c r="K25">
        <v>43.2</v>
      </c>
      <c r="L25">
        <f t="shared" si="1"/>
        <v>-95.2</v>
      </c>
      <c r="M25">
        <v>-100.8</v>
      </c>
      <c r="N25">
        <v>-89.6</v>
      </c>
      <c r="O25">
        <f t="shared" si="2"/>
        <v>-0.437762605042017</v>
      </c>
    </row>
    <row r="26" spans="1:15">
      <c r="A26" t="s">
        <v>106</v>
      </c>
      <c r="B26" t="s">
        <v>3095</v>
      </c>
      <c r="C26">
        <v>80.149</v>
      </c>
      <c r="D26">
        <v>126.6267</v>
      </c>
      <c r="E26">
        <v>78.9847</v>
      </c>
      <c r="F26">
        <v>74.1307</v>
      </c>
      <c r="G26">
        <f t="shared" si="0"/>
        <v>50.2</v>
      </c>
      <c r="H26">
        <v>53.2</v>
      </c>
      <c r="I26">
        <v>51.9</v>
      </c>
      <c r="J26">
        <v>50.4</v>
      </c>
      <c r="K26">
        <v>45.3</v>
      </c>
      <c r="L26">
        <f t="shared" si="1"/>
        <v>-98.85</v>
      </c>
      <c r="M26">
        <v>-98.5</v>
      </c>
      <c r="N26">
        <v>-99.2</v>
      </c>
      <c r="O26">
        <f t="shared" si="2"/>
        <v>-0.507840161861406</v>
      </c>
    </row>
    <row r="27" spans="1:15">
      <c r="A27" t="s">
        <v>103</v>
      </c>
      <c r="B27" t="s">
        <v>3096</v>
      </c>
      <c r="C27">
        <v>91.167</v>
      </c>
      <c r="D27">
        <v>183.5989</v>
      </c>
      <c r="E27">
        <v>124.6075</v>
      </c>
      <c r="F27">
        <v>104.2363</v>
      </c>
      <c r="G27">
        <f t="shared" si="0"/>
        <v>44.2</v>
      </c>
      <c r="H27">
        <v>39.1</v>
      </c>
      <c r="I27">
        <v>44</v>
      </c>
      <c r="J27">
        <v>48.6</v>
      </c>
      <c r="K27">
        <v>45.1</v>
      </c>
      <c r="L27">
        <f t="shared" si="1"/>
        <v>-105.25</v>
      </c>
      <c r="M27">
        <v>-111.6</v>
      </c>
      <c r="N27">
        <v>-98.9</v>
      </c>
      <c r="O27">
        <f t="shared" si="2"/>
        <v>-0.419952494061758</v>
      </c>
    </row>
    <row r="28" spans="1:15">
      <c r="A28" t="s">
        <v>3097</v>
      </c>
      <c r="B28" t="s">
        <v>3098</v>
      </c>
      <c r="C28">
        <v>89.148</v>
      </c>
      <c r="D28">
        <v>100.9275</v>
      </c>
      <c r="E28">
        <v>28.9539</v>
      </c>
      <c r="F28">
        <v>93.0489</v>
      </c>
      <c r="G28">
        <f t="shared" si="0"/>
        <v>43.4</v>
      </c>
      <c r="H28">
        <v>46.9</v>
      </c>
      <c r="I28">
        <v>47.4</v>
      </c>
      <c r="J28">
        <v>27.7</v>
      </c>
      <c r="K28">
        <v>51.6</v>
      </c>
      <c r="L28">
        <f t="shared" si="1"/>
        <v>-97.2</v>
      </c>
      <c r="M28">
        <v>-94.2</v>
      </c>
      <c r="N28">
        <v>-100.2</v>
      </c>
      <c r="O28">
        <f t="shared" si="2"/>
        <v>-0.446502057613169</v>
      </c>
    </row>
    <row r="29" spans="1:15">
      <c r="A29" t="s">
        <v>3099</v>
      </c>
      <c r="B29" t="s">
        <v>3100</v>
      </c>
      <c r="C29">
        <v>110.39</v>
      </c>
      <c r="D29">
        <v>173.9568</v>
      </c>
      <c r="E29">
        <v>88.5026</v>
      </c>
      <c r="F29">
        <v>270.974</v>
      </c>
      <c r="G29">
        <f t="shared" si="0"/>
        <v>55.2</v>
      </c>
      <c r="H29">
        <v>56</v>
      </c>
      <c r="I29">
        <v>58.8</v>
      </c>
      <c r="J29">
        <v>54.7</v>
      </c>
      <c r="K29">
        <v>51.3</v>
      </c>
      <c r="L29">
        <f t="shared" si="1"/>
        <v>-86.85</v>
      </c>
      <c r="M29">
        <v>-85</v>
      </c>
      <c r="N29">
        <v>-88.7</v>
      </c>
      <c r="O29">
        <f t="shared" si="2"/>
        <v>-0.635578583765112</v>
      </c>
    </row>
    <row r="30" spans="1:15">
      <c r="A30" t="s">
        <v>91</v>
      </c>
      <c r="B30" t="s">
        <v>3101</v>
      </c>
      <c r="C30">
        <v>89.539</v>
      </c>
      <c r="D30">
        <v>159.5656</v>
      </c>
      <c r="E30">
        <v>116.6571</v>
      </c>
      <c r="F30">
        <v>66.3685</v>
      </c>
      <c r="G30">
        <f t="shared" si="0"/>
        <v>53.575</v>
      </c>
      <c r="H30">
        <v>49.5</v>
      </c>
      <c r="I30">
        <v>54.2</v>
      </c>
      <c r="J30">
        <v>58.9</v>
      </c>
      <c r="K30">
        <v>51.7</v>
      </c>
      <c r="L30">
        <f t="shared" si="1"/>
        <v>-90.05</v>
      </c>
      <c r="M30">
        <v>-88.5</v>
      </c>
      <c r="N30">
        <v>-91.6</v>
      </c>
      <c r="O30">
        <f t="shared" si="2"/>
        <v>-0.59494725152693</v>
      </c>
    </row>
    <row r="31" spans="1:15">
      <c r="A31" t="s">
        <v>88</v>
      </c>
      <c r="B31" t="s">
        <v>3101</v>
      </c>
      <c r="C31">
        <v>98.423</v>
      </c>
      <c r="D31">
        <v>116.5544</v>
      </c>
      <c r="E31">
        <v>178.672</v>
      </c>
      <c r="F31">
        <v>207.2842</v>
      </c>
      <c r="G31">
        <f t="shared" si="0"/>
        <v>7.15</v>
      </c>
      <c r="H31">
        <v>42.6</v>
      </c>
      <c r="I31">
        <v>-1.8</v>
      </c>
      <c r="J31">
        <v>26.2</v>
      </c>
      <c r="K31">
        <v>-38.4</v>
      </c>
      <c r="L31">
        <f t="shared" si="1"/>
        <v>-126.4</v>
      </c>
      <c r="M31">
        <v>-125.9</v>
      </c>
      <c r="N31">
        <v>-126.9</v>
      </c>
      <c r="O31">
        <f t="shared" si="2"/>
        <v>-0.0565664556962025</v>
      </c>
    </row>
    <row r="32" spans="1:15">
      <c r="A32" t="s">
        <v>65</v>
      </c>
      <c r="C32">
        <v>143.9</v>
      </c>
      <c r="D32">
        <v>199.1717</v>
      </c>
      <c r="E32">
        <v>202.0952</v>
      </c>
      <c r="F32">
        <v>314.1823</v>
      </c>
      <c r="G32">
        <f t="shared" si="0"/>
        <v>51.6</v>
      </c>
      <c r="H32">
        <v>48.4</v>
      </c>
      <c r="I32">
        <v>50.4</v>
      </c>
      <c r="J32">
        <v>52.4</v>
      </c>
      <c r="K32">
        <v>55.2</v>
      </c>
      <c r="L32">
        <f t="shared" si="1"/>
        <v>-102.45</v>
      </c>
      <c r="M32">
        <v>-102.9</v>
      </c>
      <c r="N32">
        <v>-102</v>
      </c>
      <c r="O32">
        <f t="shared" si="2"/>
        <v>-0.503660322108345</v>
      </c>
    </row>
    <row r="33" spans="1:15">
      <c r="A33" t="s">
        <v>67</v>
      </c>
      <c r="C33">
        <v>118.09</v>
      </c>
      <c r="D33">
        <v>122.1943</v>
      </c>
      <c r="E33">
        <v>415.287</v>
      </c>
      <c r="F33">
        <v>200.2716</v>
      </c>
      <c r="G33">
        <f t="shared" si="0"/>
        <v>11.05</v>
      </c>
      <c r="H33">
        <v>5.9</v>
      </c>
      <c r="I33">
        <v>-3.3</v>
      </c>
      <c r="J33">
        <v>14</v>
      </c>
      <c r="K33">
        <v>27.6</v>
      </c>
      <c r="L33">
        <f t="shared" si="1"/>
        <v>-103.15</v>
      </c>
      <c r="M33">
        <v>-108.1</v>
      </c>
      <c r="N33">
        <v>-98.2</v>
      </c>
      <c r="O33">
        <f t="shared" si="2"/>
        <v>-0.107125545322346</v>
      </c>
    </row>
    <row r="34" spans="1:15">
      <c r="A34" t="s">
        <v>73</v>
      </c>
      <c r="G34">
        <f t="shared" si="0"/>
        <v>31.225</v>
      </c>
      <c r="H34">
        <v>40.3</v>
      </c>
      <c r="I34">
        <v>28.3</v>
      </c>
      <c r="J34">
        <v>23.4</v>
      </c>
      <c r="K34">
        <v>32.9</v>
      </c>
      <c r="L34">
        <f t="shared" si="1"/>
        <v>-85.9</v>
      </c>
      <c r="M34">
        <v>-82.8</v>
      </c>
      <c r="N34">
        <v>-89</v>
      </c>
      <c r="O34">
        <f t="shared" si="2"/>
        <v>-0.363504074505239</v>
      </c>
    </row>
    <row r="35" spans="1:15">
      <c r="A35" t="s">
        <v>141</v>
      </c>
      <c r="C35">
        <v>94.08</v>
      </c>
      <c r="D35">
        <v>89.1718</v>
      </c>
      <c r="E35">
        <v>201.6174</v>
      </c>
      <c r="F35">
        <v>189.7979</v>
      </c>
      <c r="G35">
        <f t="shared" si="0"/>
        <v>41.65</v>
      </c>
      <c r="H35">
        <v>30.9</v>
      </c>
      <c r="I35">
        <v>52.4</v>
      </c>
      <c r="J35">
        <v>51.1</v>
      </c>
      <c r="K35">
        <v>32.2</v>
      </c>
      <c r="L35">
        <f t="shared" si="1"/>
        <v>-108.55</v>
      </c>
      <c r="M35">
        <v>-111.4</v>
      </c>
      <c r="N35">
        <v>-105.7</v>
      </c>
      <c r="O35">
        <f t="shared" si="2"/>
        <v>-0.383694150161216</v>
      </c>
    </row>
    <row r="36" spans="1:15">
      <c r="A36" t="s">
        <v>144</v>
      </c>
      <c r="C36">
        <v>84.977</v>
      </c>
      <c r="D36">
        <v>149.6857</v>
      </c>
      <c r="E36">
        <v>105.0351</v>
      </c>
      <c r="F36">
        <v>35.0475</v>
      </c>
      <c r="G36">
        <f t="shared" si="0"/>
        <v>65.725</v>
      </c>
      <c r="H36">
        <v>64.2</v>
      </c>
      <c r="I36">
        <v>69.9</v>
      </c>
      <c r="J36">
        <v>65.3</v>
      </c>
      <c r="K36">
        <v>63.5</v>
      </c>
      <c r="L36">
        <f t="shared" si="1"/>
        <v>-101.85</v>
      </c>
      <c r="M36">
        <v>-103</v>
      </c>
      <c r="N36">
        <v>-100.7</v>
      </c>
      <c r="O36">
        <f t="shared" si="2"/>
        <v>-0.645311732940599</v>
      </c>
    </row>
    <row r="37" spans="1:15">
      <c r="A37" t="s">
        <v>147</v>
      </c>
      <c r="C37">
        <v>74.255</v>
      </c>
      <c r="D37">
        <v>83.7194</v>
      </c>
      <c r="E37">
        <v>77.818</v>
      </c>
      <c r="F37">
        <v>41.9077</v>
      </c>
      <c r="G37">
        <f t="shared" si="0"/>
        <v>57.2</v>
      </c>
      <c r="H37">
        <v>52.9</v>
      </c>
      <c r="I37">
        <v>57.5</v>
      </c>
      <c r="J37">
        <v>60.8</v>
      </c>
      <c r="K37">
        <v>57.6</v>
      </c>
      <c r="L37">
        <f t="shared" si="1"/>
        <v>-86.7</v>
      </c>
      <c r="M37">
        <v>-88.5</v>
      </c>
      <c r="N37">
        <v>-84.9</v>
      </c>
      <c r="O37">
        <f t="shared" si="2"/>
        <v>-0.659746251441753</v>
      </c>
    </row>
    <row r="38" spans="1:15">
      <c r="A38" t="s">
        <v>150</v>
      </c>
      <c r="G38">
        <f t="shared" si="0"/>
        <v>51.125</v>
      </c>
      <c r="H38">
        <v>48.7</v>
      </c>
      <c r="I38">
        <v>55.7</v>
      </c>
      <c r="J38">
        <v>49.4</v>
      </c>
      <c r="K38">
        <v>50.7</v>
      </c>
      <c r="L38">
        <f t="shared" si="1"/>
        <v>-94.2</v>
      </c>
      <c r="M38">
        <v>-100.5</v>
      </c>
      <c r="N38">
        <v>-87.9</v>
      </c>
      <c r="O38">
        <f t="shared" si="2"/>
        <v>-0.542728237791932</v>
      </c>
    </row>
    <row r="39" spans="1:15">
      <c r="A39" t="s">
        <v>3102</v>
      </c>
      <c r="C39">
        <v>88.943</v>
      </c>
      <c r="D39">
        <v>89.7172</v>
      </c>
      <c r="E39">
        <v>28.2919</v>
      </c>
      <c r="F39">
        <v>6.9438</v>
      </c>
      <c r="G39">
        <f t="shared" si="0"/>
        <v>44.05</v>
      </c>
      <c r="H39">
        <v>42.5</v>
      </c>
      <c r="I39">
        <v>43.7</v>
      </c>
      <c r="J39">
        <v>40.4</v>
      </c>
      <c r="K39">
        <v>49.6</v>
      </c>
      <c r="L39">
        <f t="shared" si="1"/>
        <v>-104.7</v>
      </c>
      <c r="M39">
        <v>-107.4</v>
      </c>
      <c r="N39">
        <v>-102</v>
      </c>
      <c r="O39">
        <f t="shared" si="2"/>
        <v>-0.4207258834766</v>
      </c>
    </row>
    <row r="40" spans="1:15">
      <c r="A40" t="s">
        <v>121</v>
      </c>
      <c r="C40">
        <v>80.603</v>
      </c>
      <c r="D40">
        <v>106.7145</v>
      </c>
      <c r="E40">
        <v>105.2718</v>
      </c>
      <c r="F40">
        <v>93.1427</v>
      </c>
      <c r="G40">
        <f t="shared" si="0"/>
        <v>19.15</v>
      </c>
      <c r="H40">
        <v>36.2</v>
      </c>
      <c r="I40">
        <v>36.9</v>
      </c>
      <c r="J40">
        <v>31.6</v>
      </c>
      <c r="K40">
        <v>-28.1</v>
      </c>
      <c r="L40">
        <f t="shared" si="1"/>
        <v>-82.5</v>
      </c>
      <c r="M40">
        <v>-78.5</v>
      </c>
      <c r="N40">
        <v>-86.5</v>
      </c>
      <c r="O40">
        <f t="shared" si="2"/>
        <v>-0.232121212121212</v>
      </c>
    </row>
    <row r="41" spans="1:15">
      <c r="A41" t="s">
        <v>160</v>
      </c>
      <c r="C41">
        <v>103.32</v>
      </c>
      <c r="D41">
        <v>163.6574</v>
      </c>
      <c r="E41">
        <v>164.4858</v>
      </c>
      <c r="F41">
        <v>212.8788</v>
      </c>
      <c r="G41">
        <f t="shared" si="0"/>
        <v>41.75</v>
      </c>
      <c r="H41">
        <v>33.9</v>
      </c>
      <c r="I41">
        <v>41.6</v>
      </c>
      <c r="J41">
        <v>54.7</v>
      </c>
      <c r="K41">
        <v>36.8</v>
      </c>
      <c r="L41">
        <f t="shared" si="1"/>
        <v>-94.5</v>
      </c>
      <c r="M41">
        <v>-90</v>
      </c>
      <c r="N41">
        <v>-99</v>
      </c>
      <c r="O41">
        <f t="shared" si="2"/>
        <v>-0.441798941798942</v>
      </c>
    </row>
    <row r="42" spans="1:15">
      <c r="A42" t="s">
        <v>158</v>
      </c>
      <c r="C42">
        <v>99.273</v>
      </c>
      <c r="D42">
        <v>127.0722</v>
      </c>
      <c r="E42">
        <v>147.7121</v>
      </c>
      <c r="F42">
        <v>127.3142</v>
      </c>
      <c r="G42">
        <f t="shared" si="0"/>
        <v>43.65</v>
      </c>
      <c r="H42">
        <v>42.6</v>
      </c>
      <c r="I42">
        <v>47.9</v>
      </c>
      <c r="J42">
        <v>45.9</v>
      </c>
      <c r="K42">
        <v>38.2</v>
      </c>
      <c r="L42">
        <f t="shared" si="1"/>
        <v>-110.05</v>
      </c>
      <c r="M42">
        <v>-112.3</v>
      </c>
      <c r="N42">
        <v>-107.8</v>
      </c>
      <c r="O42">
        <f t="shared" si="2"/>
        <v>-0.396637891867333</v>
      </c>
    </row>
    <row r="43" spans="1:15">
      <c r="A43" t="s">
        <v>153</v>
      </c>
      <c r="C43">
        <v>105.59</v>
      </c>
      <c r="D43">
        <v>140.3334</v>
      </c>
      <c r="E43">
        <v>92.8888</v>
      </c>
      <c r="F43">
        <v>222.4458</v>
      </c>
      <c r="G43">
        <f t="shared" si="0"/>
        <v>36.125</v>
      </c>
      <c r="H43">
        <v>38.3</v>
      </c>
      <c r="I43">
        <v>48.8</v>
      </c>
      <c r="J43">
        <v>20.6</v>
      </c>
      <c r="K43">
        <v>36.8</v>
      </c>
      <c r="L43">
        <f t="shared" si="1"/>
        <v>-74.5</v>
      </c>
      <c r="M43">
        <v>-71.8</v>
      </c>
      <c r="N43">
        <v>-77.2</v>
      </c>
      <c r="O43">
        <f t="shared" si="2"/>
        <v>-0.48489932885906</v>
      </c>
    </row>
    <row r="44" spans="1:15">
      <c r="A44" t="s">
        <v>351</v>
      </c>
      <c r="C44">
        <v>99.832</v>
      </c>
      <c r="D44">
        <v>174.2643</v>
      </c>
      <c r="E44">
        <v>129.1889</v>
      </c>
      <c r="F44">
        <v>51.8853</v>
      </c>
      <c r="G44">
        <f t="shared" si="0"/>
        <v>47.125</v>
      </c>
      <c r="H44">
        <v>51.9</v>
      </c>
      <c r="I44">
        <v>50</v>
      </c>
      <c r="J44">
        <v>39.4</v>
      </c>
      <c r="K44">
        <v>47.2</v>
      </c>
      <c r="L44">
        <f t="shared" si="1"/>
        <v>-67.2</v>
      </c>
      <c r="M44">
        <v>-57.9</v>
      </c>
      <c r="N44">
        <v>-76.5</v>
      </c>
      <c r="O44">
        <f t="shared" si="2"/>
        <v>-0.701264880952381</v>
      </c>
    </row>
    <row r="45" spans="1:15">
      <c r="A45" t="s">
        <v>218</v>
      </c>
      <c r="C45">
        <v>105.34</v>
      </c>
      <c r="D45">
        <v>120.7567</v>
      </c>
      <c r="E45">
        <v>185.9269</v>
      </c>
      <c r="F45">
        <v>247.5211</v>
      </c>
      <c r="G45">
        <f t="shared" si="0"/>
        <v>34.9</v>
      </c>
      <c r="H45">
        <v>17.3</v>
      </c>
      <c r="I45">
        <v>33.8</v>
      </c>
      <c r="J45">
        <v>61.6</v>
      </c>
      <c r="K45">
        <v>26.9</v>
      </c>
      <c r="L45">
        <f t="shared" si="1"/>
        <v>-107.4</v>
      </c>
      <c r="M45">
        <v>-115.1</v>
      </c>
      <c r="N45">
        <v>-99.7</v>
      </c>
      <c r="O45">
        <f t="shared" si="2"/>
        <v>-0.324953445065177</v>
      </c>
    </row>
    <row r="46" spans="1:15">
      <c r="A46" t="s">
        <v>212</v>
      </c>
      <c r="C46">
        <v>82.037</v>
      </c>
      <c r="D46">
        <v>136.2086</v>
      </c>
      <c r="E46">
        <v>112.0933</v>
      </c>
      <c r="F46">
        <v>93.1211</v>
      </c>
      <c r="G46">
        <f t="shared" si="0"/>
        <v>65.075</v>
      </c>
      <c r="H46">
        <v>59.8</v>
      </c>
      <c r="I46">
        <v>68.1</v>
      </c>
      <c r="J46">
        <v>67.6</v>
      </c>
      <c r="K46">
        <v>64.8</v>
      </c>
      <c r="L46">
        <f t="shared" si="1"/>
        <v>-106.85</v>
      </c>
      <c r="M46">
        <v>-108.9</v>
      </c>
      <c r="N46">
        <v>-104.8</v>
      </c>
      <c r="O46">
        <f t="shared" si="2"/>
        <v>-0.609031352363126</v>
      </c>
    </row>
    <row r="47" spans="1:15">
      <c r="A47" t="s">
        <v>222</v>
      </c>
      <c r="C47">
        <v>102.3</v>
      </c>
      <c r="D47">
        <v>156.7756</v>
      </c>
      <c r="E47">
        <v>179.3892</v>
      </c>
      <c r="F47">
        <v>193.5475</v>
      </c>
      <c r="G47">
        <f t="shared" si="0"/>
        <v>40.1</v>
      </c>
      <c r="H47">
        <v>38.1</v>
      </c>
      <c r="I47">
        <v>46.1</v>
      </c>
      <c r="J47">
        <v>46.9</v>
      </c>
      <c r="K47">
        <v>29.3</v>
      </c>
      <c r="L47">
        <f t="shared" si="1"/>
        <v>-99.65</v>
      </c>
      <c r="M47">
        <v>-97.2</v>
      </c>
      <c r="N47">
        <v>-102.1</v>
      </c>
      <c r="O47">
        <f t="shared" si="2"/>
        <v>-0.402408429503261</v>
      </c>
    </row>
    <row r="48" spans="1:15">
      <c r="A48" t="s">
        <v>416</v>
      </c>
      <c r="C48">
        <v>87.959</v>
      </c>
      <c r="D48">
        <v>100.3995</v>
      </c>
      <c r="E48">
        <v>129.9235</v>
      </c>
      <c r="F48">
        <v>98.8995</v>
      </c>
      <c r="G48">
        <f t="shared" si="0"/>
        <v>53.125</v>
      </c>
      <c r="H48">
        <v>52.7</v>
      </c>
      <c r="I48">
        <v>48.2</v>
      </c>
      <c r="J48">
        <v>54.8</v>
      </c>
      <c r="K48">
        <v>56.8</v>
      </c>
      <c r="L48">
        <f t="shared" si="1"/>
        <v>-105.7</v>
      </c>
      <c r="M48">
        <v>-104.4</v>
      </c>
      <c r="N48">
        <v>-107</v>
      </c>
      <c r="O48">
        <f t="shared" si="2"/>
        <v>-0.502601702932829</v>
      </c>
    </row>
    <row r="49" spans="1:15">
      <c r="A49" t="s">
        <v>206</v>
      </c>
      <c r="C49">
        <v>75.193</v>
      </c>
      <c r="D49">
        <v>77.0664</v>
      </c>
      <c r="E49">
        <v>77.6953</v>
      </c>
      <c r="F49">
        <v>62.9219</v>
      </c>
      <c r="G49">
        <f t="shared" si="0"/>
        <v>24.5</v>
      </c>
      <c r="H49">
        <v>36.9</v>
      </c>
      <c r="I49">
        <v>1</v>
      </c>
      <c r="J49">
        <v>42.1</v>
      </c>
      <c r="K49">
        <v>18</v>
      </c>
      <c r="L49">
        <f t="shared" si="1"/>
        <v>-109.05</v>
      </c>
      <c r="M49">
        <v>-105.1</v>
      </c>
      <c r="N49">
        <v>-113</v>
      </c>
      <c r="O49">
        <f t="shared" si="2"/>
        <v>-0.224667583677212</v>
      </c>
    </row>
    <row r="50" spans="1:15">
      <c r="A50" t="s">
        <v>204</v>
      </c>
      <c r="C50">
        <v>97.447</v>
      </c>
      <c r="D50">
        <v>81.0742</v>
      </c>
      <c r="E50">
        <v>33.6001</v>
      </c>
      <c r="F50">
        <v>72.1865</v>
      </c>
      <c r="G50">
        <f t="shared" si="0"/>
        <v>42.925</v>
      </c>
      <c r="H50">
        <v>45.3</v>
      </c>
      <c r="I50">
        <v>44.3</v>
      </c>
      <c r="J50">
        <v>40.2</v>
      </c>
      <c r="K50">
        <v>41.9</v>
      </c>
      <c r="L50">
        <f t="shared" si="1"/>
        <v>-44.5</v>
      </c>
      <c r="M50">
        <v>-39</v>
      </c>
      <c r="N50">
        <v>-50</v>
      </c>
      <c r="O50">
        <f t="shared" si="2"/>
        <v>-0.964606741573034</v>
      </c>
    </row>
    <row r="51" spans="1:15">
      <c r="A51" t="s">
        <v>3103</v>
      </c>
      <c r="C51">
        <v>118.15</v>
      </c>
      <c r="D51">
        <v>191.6181</v>
      </c>
      <c r="E51">
        <v>400.6638</v>
      </c>
      <c r="F51">
        <v>188.1552</v>
      </c>
      <c r="G51">
        <f t="shared" si="0"/>
        <v>50.85</v>
      </c>
      <c r="H51">
        <v>51.2</v>
      </c>
      <c r="I51">
        <v>53.2</v>
      </c>
      <c r="J51">
        <v>54.1</v>
      </c>
      <c r="K51">
        <v>44.9</v>
      </c>
      <c r="L51">
        <f t="shared" si="1"/>
        <v>-106.1</v>
      </c>
      <c r="M51">
        <v>-106.8</v>
      </c>
      <c r="N51">
        <v>-105.4</v>
      </c>
      <c r="O51">
        <f t="shared" si="2"/>
        <v>-0.479264844486334</v>
      </c>
    </row>
    <row r="52" spans="1:15">
      <c r="A52" t="s">
        <v>201</v>
      </c>
      <c r="C52">
        <v>98.247</v>
      </c>
      <c r="D52">
        <v>96.6256</v>
      </c>
      <c r="E52">
        <v>230.1063</v>
      </c>
      <c r="F52">
        <v>202.8645</v>
      </c>
      <c r="G52">
        <f t="shared" si="0"/>
        <v>42.575</v>
      </c>
      <c r="H52">
        <v>49.5</v>
      </c>
      <c r="I52">
        <v>44.3</v>
      </c>
      <c r="J52">
        <v>45.1</v>
      </c>
      <c r="K52">
        <v>31.4</v>
      </c>
      <c r="L52">
        <f t="shared" si="1"/>
        <v>-107.65</v>
      </c>
      <c r="M52">
        <v>-102.4</v>
      </c>
      <c r="N52">
        <v>-112.9</v>
      </c>
      <c r="O52">
        <f t="shared" si="2"/>
        <v>-0.395494658615885</v>
      </c>
    </row>
    <row r="53" spans="1:15">
      <c r="A53" t="s">
        <v>198</v>
      </c>
      <c r="C53">
        <v>95.844</v>
      </c>
      <c r="D53">
        <v>80.9715</v>
      </c>
      <c r="E53">
        <v>87.9869</v>
      </c>
      <c r="F53">
        <v>96.6195</v>
      </c>
      <c r="G53">
        <f t="shared" si="0"/>
        <v>38.3</v>
      </c>
      <c r="H53">
        <v>32.8</v>
      </c>
      <c r="I53">
        <v>35.9</v>
      </c>
      <c r="J53">
        <v>46.3</v>
      </c>
      <c r="K53">
        <v>38.2</v>
      </c>
      <c r="L53">
        <f t="shared" si="1"/>
        <v>-95.3</v>
      </c>
      <c r="M53">
        <v>-98.8</v>
      </c>
      <c r="N53">
        <v>-91.8</v>
      </c>
      <c r="O53">
        <f t="shared" si="2"/>
        <v>-0.401888772298006</v>
      </c>
    </row>
    <row r="54" spans="1:15">
      <c r="A54" t="s">
        <v>190</v>
      </c>
      <c r="C54">
        <v>80.794</v>
      </c>
      <c r="D54">
        <v>69.5739</v>
      </c>
      <c r="E54">
        <v>55.7752</v>
      </c>
      <c r="F54">
        <v>30.5576</v>
      </c>
      <c r="G54">
        <f t="shared" si="0"/>
        <v>54.4</v>
      </c>
      <c r="H54">
        <v>50.2</v>
      </c>
      <c r="I54">
        <v>60.5</v>
      </c>
      <c r="J54">
        <v>50.5</v>
      </c>
      <c r="K54">
        <v>56.4</v>
      </c>
      <c r="L54">
        <f t="shared" si="1"/>
        <v>-88.45</v>
      </c>
      <c r="M54">
        <v>-83.4</v>
      </c>
      <c r="N54">
        <v>-93.5</v>
      </c>
      <c r="O54">
        <f t="shared" si="2"/>
        <v>-0.61503674392312</v>
      </c>
    </row>
    <row r="55" spans="1:15">
      <c r="A55" t="s">
        <v>3104</v>
      </c>
      <c r="C55">
        <v>77.773</v>
      </c>
      <c r="D55">
        <v>86.6041</v>
      </c>
      <c r="E55">
        <v>109.6833</v>
      </c>
      <c r="F55">
        <v>84.9253</v>
      </c>
      <c r="G55">
        <f t="shared" si="0"/>
        <v>53.025</v>
      </c>
      <c r="H55">
        <v>49.2</v>
      </c>
      <c r="I55">
        <v>49.1</v>
      </c>
      <c r="J55">
        <v>56.5</v>
      </c>
      <c r="K55">
        <v>57.3</v>
      </c>
      <c r="L55">
        <f t="shared" si="1"/>
        <v>-105.55</v>
      </c>
      <c r="M55">
        <v>-106.4</v>
      </c>
      <c r="N55">
        <v>-104.7</v>
      </c>
      <c r="O55">
        <f t="shared" si="2"/>
        <v>-0.502368545712932</v>
      </c>
    </row>
    <row r="56" spans="1:15">
      <c r="A56" t="s">
        <v>163</v>
      </c>
      <c r="C56">
        <v>80.441</v>
      </c>
      <c r="D56">
        <v>104.1167</v>
      </c>
      <c r="E56">
        <v>113.0888</v>
      </c>
      <c r="F56">
        <v>47.1384</v>
      </c>
      <c r="G56">
        <f t="shared" si="0"/>
        <v>53</v>
      </c>
      <c r="H56">
        <v>47.7</v>
      </c>
      <c r="I56">
        <v>50.8</v>
      </c>
      <c r="J56">
        <v>55.6</v>
      </c>
      <c r="K56">
        <v>57.9</v>
      </c>
      <c r="L56">
        <f t="shared" si="1"/>
        <v>-91</v>
      </c>
      <c r="M56">
        <v>-94.8</v>
      </c>
      <c r="N56">
        <v>-87.2</v>
      </c>
      <c r="O56">
        <f t="shared" si="2"/>
        <v>-0.582417582417582</v>
      </c>
    </row>
    <row r="99" spans="46:46">
      <c r="AT99">
        <v>1</v>
      </c>
    </row>
  </sheetData>
  <sheetProtection formatCells="0" insertHyperlinks="0" autoFilter="0"/>
  <pageMargins left="0.699305555555556" right="0.699305555555556" top="0.75" bottom="0.75" header="0.3" footer="0.3"/>
  <pageSetup paperSize="1" fitToWidth="0"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G81"/>
  <sheetViews>
    <sheetView workbookViewId="0">
      <pane xSplit="4" ySplit="1" topLeftCell="E16" activePane="bottomRight" state="frozen"/>
      <selection/>
      <selection pane="topRight"/>
      <selection pane="bottomLeft"/>
      <selection pane="bottomRight" activeCell="A77" sqref="$A77:$XFD77"/>
    </sheetView>
  </sheetViews>
  <sheetFormatPr defaultColWidth="10" defaultRowHeight="14.25"/>
  <cols>
    <col min="2" max="9" width="8.63333333333333" customWidth="1"/>
    <col min="10" max="12" width="9.38333333333333" customWidth="1"/>
    <col min="13" max="14" width="8.63333333333333" customWidth="1"/>
    <col min="15" max="17" width="9.38333333333333" customWidth="1"/>
    <col min="18" max="18" width="13.5" customWidth="1"/>
    <col min="24" max="24" width="11.6333333333333" customWidth="1"/>
    <col min="25" max="26" width="12.1333333333333" customWidth="1"/>
    <col min="30" max="30" width="14.6333333333333" customWidth="1"/>
  </cols>
  <sheetData>
    <row r="1" s="44" customFormat="1" spans="1:137">
      <c r="A1" s="44" t="s">
        <v>9</v>
      </c>
      <c r="B1" s="44" t="s">
        <v>3261</v>
      </c>
      <c r="C1" s="44" t="s">
        <v>10</v>
      </c>
      <c r="D1" s="44" t="s">
        <v>11</v>
      </c>
      <c r="E1" s="46" t="s">
        <v>3262</v>
      </c>
      <c r="F1" s="44" t="s">
        <v>13</v>
      </c>
      <c r="G1" s="46" t="s">
        <v>14</v>
      </c>
      <c r="H1" s="47" t="s">
        <v>3264</v>
      </c>
      <c r="I1" s="48" t="s">
        <v>3265</v>
      </c>
      <c r="J1" s="49" t="s">
        <v>3266</v>
      </c>
      <c r="K1" s="49" t="s">
        <v>3053</v>
      </c>
      <c r="L1" s="49" t="s">
        <v>3267</v>
      </c>
      <c r="M1" s="49" t="s">
        <v>3268</v>
      </c>
      <c r="N1" s="49" t="s">
        <v>3269</v>
      </c>
      <c r="O1" s="49" t="s">
        <v>3270</v>
      </c>
      <c r="P1" s="49" t="s">
        <v>3271</v>
      </c>
      <c r="Q1" s="49" t="s">
        <v>3272</v>
      </c>
      <c r="R1" s="50" t="s">
        <v>3058</v>
      </c>
      <c r="S1" s="46" t="s">
        <v>3273</v>
      </c>
      <c r="T1" s="44" t="s">
        <v>3276</v>
      </c>
      <c r="U1" s="44" t="s">
        <v>0</v>
      </c>
      <c r="V1" s="44" t="s">
        <v>36</v>
      </c>
      <c r="W1" s="51" t="s">
        <v>3330</v>
      </c>
      <c r="X1" s="44" t="s">
        <v>15</v>
      </c>
      <c r="Y1" s="44" t="s">
        <v>16</v>
      </c>
      <c r="Z1" s="44" t="s">
        <v>17</v>
      </c>
      <c r="AA1" s="52" t="s">
        <v>19</v>
      </c>
      <c r="AB1" s="52" t="s">
        <v>20</v>
      </c>
      <c r="AC1" s="44" t="s">
        <v>21</v>
      </c>
      <c r="AD1" s="44" t="s">
        <v>3331</v>
      </c>
      <c r="AE1" s="44" t="s">
        <v>31</v>
      </c>
      <c r="AF1" s="44" t="s">
        <v>32</v>
      </c>
      <c r="AG1" s="44" t="s">
        <v>27</v>
      </c>
      <c r="AH1" s="44" t="s">
        <v>33</v>
      </c>
      <c r="AI1" s="44" t="s">
        <v>34</v>
      </c>
      <c r="AJ1" s="44" t="s">
        <v>35</v>
      </c>
      <c r="AK1" s="44" t="s">
        <v>3</v>
      </c>
      <c r="AL1" s="44" t="s">
        <v>36</v>
      </c>
      <c r="AM1" s="44" t="s">
        <v>37</v>
      </c>
      <c r="AN1" s="44" t="s">
        <v>38</v>
      </c>
      <c r="AO1" s="44" t="s">
        <v>35</v>
      </c>
      <c r="AP1" s="52" t="s">
        <v>3332</v>
      </c>
      <c r="AQ1" s="44" t="s">
        <v>42</v>
      </c>
      <c r="AR1" s="44" t="s">
        <v>36</v>
      </c>
      <c r="AS1" s="44" t="s">
        <v>43</v>
      </c>
      <c r="AT1" s="44" t="s">
        <v>3333</v>
      </c>
      <c r="AU1" s="44" t="s">
        <v>44</v>
      </c>
      <c r="AV1" s="44" t="s">
        <v>3334</v>
      </c>
      <c r="AW1" s="44" t="s">
        <v>3335</v>
      </c>
      <c r="AX1" s="44" t="s">
        <v>3336</v>
      </c>
      <c r="AY1" s="44" t="s">
        <v>3337</v>
      </c>
      <c r="AZ1" s="44" t="s">
        <v>3183</v>
      </c>
      <c r="BA1" s="44" t="s">
        <v>3184</v>
      </c>
      <c r="BB1" s="44" t="s">
        <v>3185</v>
      </c>
      <c r="BC1" s="44" t="s">
        <v>3338</v>
      </c>
      <c r="BD1" s="44" t="s">
        <v>3339</v>
      </c>
      <c r="BE1" s="46" t="s">
        <v>3340</v>
      </c>
      <c r="BF1" s="44" t="s">
        <v>3341</v>
      </c>
      <c r="BG1" s="44" t="s">
        <v>3342</v>
      </c>
      <c r="BH1" s="44" t="s">
        <v>3343</v>
      </c>
      <c r="BI1" s="44" t="s">
        <v>3344</v>
      </c>
      <c r="BJ1" s="44" t="s">
        <v>3345</v>
      </c>
      <c r="BK1" s="44" t="s">
        <v>3346</v>
      </c>
      <c r="BL1" s="44" t="s">
        <v>3347</v>
      </c>
      <c r="BM1" s="44" t="s">
        <v>3348</v>
      </c>
      <c r="BN1" s="44" t="s">
        <v>3349</v>
      </c>
      <c r="BO1" s="44" t="s">
        <v>3350</v>
      </c>
      <c r="BP1" s="44" t="s">
        <v>3351</v>
      </c>
      <c r="BQ1" s="44" t="s">
        <v>3352</v>
      </c>
      <c r="BR1" s="44" t="s">
        <v>3353</v>
      </c>
      <c r="BS1" s="44" t="s">
        <v>35</v>
      </c>
      <c r="BT1" s="44" t="s">
        <v>3354</v>
      </c>
      <c r="BU1" s="44" t="s">
        <v>3355</v>
      </c>
      <c r="BV1" s="44" t="s">
        <v>3356</v>
      </c>
      <c r="BW1" s="44" t="s">
        <v>3357</v>
      </c>
      <c r="BX1" s="44" t="s">
        <v>3358</v>
      </c>
      <c r="BY1" s="53" t="s">
        <v>45</v>
      </c>
      <c r="BZ1" s="44" t="s">
        <v>3359</v>
      </c>
      <c r="CA1" s="44" t="s">
        <v>3360</v>
      </c>
      <c r="CB1" s="44" t="s">
        <v>3361</v>
      </c>
      <c r="CC1" s="44" t="s">
        <v>3362</v>
      </c>
      <c r="CD1" s="44" t="s">
        <v>3363</v>
      </c>
      <c r="CE1" s="44" t="s">
        <v>3364</v>
      </c>
      <c r="CF1" s="44" t="s">
        <v>37</v>
      </c>
      <c r="CG1" s="44" t="s">
        <v>3365</v>
      </c>
      <c r="CH1" s="49" t="s">
        <v>3366</v>
      </c>
      <c r="CI1" s="49" t="s">
        <v>3367</v>
      </c>
      <c r="CJ1" s="49" t="s">
        <v>3368</v>
      </c>
      <c r="CK1" s="44" t="s">
        <v>3369</v>
      </c>
      <c r="CL1" s="44" t="s">
        <v>3370</v>
      </c>
      <c r="CM1" s="44" t="s">
        <v>3371</v>
      </c>
      <c r="CN1" s="44" t="s">
        <v>3372</v>
      </c>
      <c r="CO1" s="44" t="s">
        <v>3373</v>
      </c>
      <c r="CP1" s="44" t="s">
        <v>38</v>
      </c>
      <c r="CQ1" s="44" t="s">
        <v>3374</v>
      </c>
      <c r="CR1" s="44" t="s">
        <v>3375</v>
      </c>
      <c r="CS1" s="44" t="s">
        <v>3376</v>
      </c>
      <c r="CT1" s="44" t="s">
        <v>3377</v>
      </c>
      <c r="CU1" s="44" t="s">
        <v>41</v>
      </c>
      <c r="CV1" s="44" t="s">
        <v>3378</v>
      </c>
      <c r="CW1" s="44" t="s">
        <v>3379</v>
      </c>
      <c r="CX1" s="44" t="s">
        <v>3380</v>
      </c>
      <c r="CY1" s="44" t="s">
        <v>3381</v>
      </c>
      <c r="CZ1" s="44" t="s">
        <v>3382</v>
      </c>
      <c r="DA1" s="44" t="s">
        <v>3383</v>
      </c>
      <c r="DB1" s="44" t="s">
        <v>3384</v>
      </c>
      <c r="DC1" s="44" t="s">
        <v>3385</v>
      </c>
      <c r="DD1" s="44" t="s">
        <v>3386</v>
      </c>
      <c r="DE1" s="44" t="s">
        <v>3387</v>
      </c>
      <c r="DF1" s="44" t="s">
        <v>3388</v>
      </c>
      <c r="DG1" s="44" t="s">
        <v>3389</v>
      </c>
      <c r="DH1" s="44" t="s">
        <v>3390</v>
      </c>
      <c r="DI1" s="44" t="s">
        <v>3391</v>
      </c>
      <c r="DJ1" s="44" t="s">
        <v>3392</v>
      </c>
      <c r="DK1" s="44" t="s">
        <v>3393</v>
      </c>
      <c r="DL1" s="44" t="s">
        <v>3394</v>
      </c>
      <c r="DM1" s="44" t="s">
        <v>3395</v>
      </c>
      <c r="DN1" s="44" t="s">
        <v>3396</v>
      </c>
      <c r="DO1" s="44" t="s">
        <v>3165</v>
      </c>
      <c r="DP1" s="44" t="s">
        <v>3397</v>
      </c>
      <c r="DQ1" s="44" t="s">
        <v>3398</v>
      </c>
      <c r="DR1" s="44" t="s">
        <v>3399</v>
      </c>
      <c r="DS1" s="44" t="s">
        <v>3400</v>
      </c>
      <c r="DT1" s="44" t="s">
        <v>3401</v>
      </c>
      <c r="DU1" s="44" t="s">
        <v>3402</v>
      </c>
      <c r="DV1" s="44" t="s">
        <v>3403</v>
      </c>
      <c r="DW1" s="44" t="s">
        <v>3404</v>
      </c>
      <c r="DX1" s="44" t="s">
        <v>3405</v>
      </c>
      <c r="DY1" s="52" t="s">
        <v>3164</v>
      </c>
      <c r="DZ1" s="44" t="s">
        <v>3406</v>
      </c>
      <c r="EA1" s="44" t="s">
        <v>3364</v>
      </c>
      <c r="EB1" s="44" t="s">
        <v>3407</v>
      </c>
      <c r="EC1" s="44" t="s">
        <v>3408</v>
      </c>
      <c r="ED1" s="44" t="s">
        <v>3375</v>
      </c>
      <c r="EE1" s="44" t="s">
        <v>3378</v>
      </c>
      <c r="EF1" s="44" t="s">
        <v>3409</v>
      </c>
      <c r="EG1" s="44" t="s">
        <v>3166</v>
      </c>
    </row>
    <row r="2" spans="1:137">
      <c r="A2" s="45" t="s">
        <v>47</v>
      </c>
      <c r="B2">
        <v>1058452</v>
      </c>
      <c r="C2">
        <v>1</v>
      </c>
      <c r="D2">
        <v>60</v>
      </c>
      <c r="E2" s="54">
        <v>1.77</v>
      </c>
      <c r="F2">
        <v>70</v>
      </c>
      <c r="G2" s="54">
        <f t="shared" ref="G2:G7" si="0">F2/(E2*E2)</f>
        <v>22.343515592582</v>
      </c>
      <c r="H2" s="55">
        <v>86</v>
      </c>
      <c r="I2" s="56">
        <v>96.542</v>
      </c>
      <c r="J2" s="57">
        <v>131.4273</v>
      </c>
      <c r="K2" s="57">
        <v>128.8495</v>
      </c>
      <c r="L2" s="57">
        <v>100.3918</v>
      </c>
      <c r="M2" s="57">
        <f t="shared" ref="M2:M11" si="1">P2/O2</f>
        <v>0.779140004423766</v>
      </c>
      <c r="N2" s="57">
        <f t="shared" ref="N2:N11" si="2">J2/(E2*E2)</f>
        <v>41.9506846691564</v>
      </c>
      <c r="O2" s="57">
        <f t="shared" ref="O2:O11" si="3">K2/(E2*E2)</f>
        <v>41.1278687478055</v>
      </c>
      <c r="P2" s="57">
        <f t="shared" ref="P2:P11" si="4">L2/(E2*E2)</f>
        <v>32.0443678381053</v>
      </c>
      <c r="Q2" s="57">
        <f t="shared" ref="Q2:Q11" si="5">O2+P2</f>
        <v>73.1722365859108</v>
      </c>
      <c r="R2" s="58">
        <v>-0.612875288683603</v>
      </c>
      <c r="S2" s="54"/>
      <c r="T2">
        <v>10.5</v>
      </c>
      <c r="U2" s="59">
        <v>4</v>
      </c>
      <c r="V2" s="59">
        <v>3</v>
      </c>
      <c r="W2" s="60">
        <f t="shared" ref="W2:W65" si="6">BY2+5*AX2</f>
        <v>27.15</v>
      </c>
      <c r="X2" s="61">
        <v>43748</v>
      </c>
      <c r="Y2" s="61">
        <v>43752</v>
      </c>
      <c r="Z2" s="61">
        <v>43774</v>
      </c>
      <c r="AA2" s="62">
        <v>1</v>
      </c>
      <c r="AB2" s="62">
        <f t="shared" ref="AB2:AB8" si="7">DATEDIF(Y2,Z2,"D")</f>
        <v>22</v>
      </c>
      <c r="AC2" t="s">
        <v>49</v>
      </c>
      <c r="AD2">
        <v>18649065213</v>
      </c>
      <c r="AE2">
        <v>1</v>
      </c>
      <c r="AF2">
        <v>1</v>
      </c>
      <c r="AG2">
        <v>2</v>
      </c>
      <c r="AH2">
        <f>_xlfn.IFS(CF2&lt;34,1,CF2=34-51,2,CF2&gt;51,3)</f>
        <v>3</v>
      </c>
      <c r="AI2">
        <f>_xlfn.IFS(BY2&lt;28,1,BY2=28-35,2,BY2&gt;35,3)</f>
        <v>1</v>
      </c>
      <c r="AJ2">
        <v>2</v>
      </c>
      <c r="AK2">
        <f t="shared" ref="AK2:AK9" si="8">AF2+AG2+AH2+AI2+AJ2</f>
        <v>9</v>
      </c>
      <c r="AL2">
        <v>2</v>
      </c>
      <c r="AM2" s="1">
        <f t="shared" ref="AM2:AM65" si="9">CF2</f>
        <v>141.9</v>
      </c>
      <c r="AN2" s="1">
        <f t="shared" ref="AN2:AN65" si="10">CP2</f>
        <v>65</v>
      </c>
      <c r="AO2" s="1">
        <f t="shared" ref="AO2:AO9" si="11">BS2</f>
        <v>1.8</v>
      </c>
      <c r="AP2" s="62">
        <f t="shared" ref="AP2:AP9" si="12">LN(IF(CF2/17.1&gt;1,CF2/17.1,1))*3.8+LN(IF(CP2/88.4&gt;1,CP2/88.4,1))*9.6+11.2*LN(BS2)+6.4*AQ2</f>
        <v>21.0241783054018</v>
      </c>
      <c r="AQ2">
        <v>1</v>
      </c>
      <c r="AR2">
        <f>_xlfn.IFS(AP2&lt;15,1,AP2=15-18,2,AP2&gt;18,3)</f>
        <v>3</v>
      </c>
      <c r="AS2">
        <v>4.23</v>
      </c>
      <c r="AT2">
        <v>3.81</v>
      </c>
      <c r="AU2">
        <v>126</v>
      </c>
      <c r="AV2">
        <v>109</v>
      </c>
      <c r="AW2">
        <v>2.41</v>
      </c>
      <c r="AX2">
        <v>1.23</v>
      </c>
      <c r="AY2">
        <v>0.48</v>
      </c>
      <c r="AZ2">
        <f t="shared" ref="AZ2:AZ65" si="13">AW2/AX2</f>
        <v>1.95934959349594</v>
      </c>
      <c r="BA2">
        <f t="shared" ref="BA2:BA65" si="14">AV2/AX2</f>
        <v>88.6178861788618</v>
      </c>
      <c r="BB2">
        <f t="shared" ref="BB2:BB65" si="15">AX2/AY2</f>
        <v>2.5625</v>
      </c>
      <c r="BC2">
        <v>69.43</v>
      </c>
      <c r="BD2" t="s">
        <v>3410</v>
      </c>
      <c r="BE2" s="54">
        <v>3.81</v>
      </c>
      <c r="BF2">
        <v>24.04</v>
      </c>
      <c r="BM2">
        <v>0.243</v>
      </c>
      <c r="BN2">
        <v>18</v>
      </c>
      <c r="BO2">
        <v>83</v>
      </c>
      <c r="BQ2">
        <v>210</v>
      </c>
      <c r="BR2">
        <v>19.7</v>
      </c>
      <c r="BS2">
        <v>1.8</v>
      </c>
      <c r="BT2">
        <v>37.3</v>
      </c>
      <c r="BU2">
        <v>26.6</v>
      </c>
      <c r="BV2">
        <v>1.38</v>
      </c>
      <c r="BW2">
        <v>2609</v>
      </c>
      <c r="BX2">
        <v>57</v>
      </c>
      <c r="BY2" s="63">
        <v>21</v>
      </c>
      <c r="BZ2">
        <v>36</v>
      </c>
      <c r="CA2">
        <v>149</v>
      </c>
      <c r="CB2">
        <v>71</v>
      </c>
      <c r="CC2">
        <v>183</v>
      </c>
      <c r="CD2">
        <v>101</v>
      </c>
      <c r="CE2">
        <v>247.8</v>
      </c>
      <c r="CF2">
        <v>141.9</v>
      </c>
      <c r="CG2">
        <v>113.8</v>
      </c>
      <c r="CH2" s="57">
        <f t="shared" ref="CH2:CH65" si="16">CA2/CB2</f>
        <v>2.09859154929577</v>
      </c>
      <c r="CI2" s="57">
        <f t="shared" ref="CI2:CI65" si="17">CC2/CD2</f>
        <v>1.81188118811881</v>
      </c>
      <c r="CJ2" s="57">
        <f t="shared" ref="CJ2:CJ65" si="18">CF2/CG2</f>
        <v>1.2469244288225</v>
      </c>
      <c r="CK2">
        <v>1.91</v>
      </c>
      <c r="CL2">
        <v>0.99</v>
      </c>
      <c r="CM2">
        <v>0.11</v>
      </c>
      <c r="CN2">
        <v>0.74</v>
      </c>
      <c r="CO2">
        <v>3.3</v>
      </c>
      <c r="CP2">
        <v>65</v>
      </c>
      <c r="CQ2">
        <v>168</v>
      </c>
      <c r="CR2">
        <v>5.2</v>
      </c>
      <c r="CS2">
        <v>1.88</v>
      </c>
      <c r="CT2">
        <v>3.4</v>
      </c>
      <c r="CU2">
        <v>140</v>
      </c>
      <c r="CV2">
        <v>109</v>
      </c>
      <c r="CW2">
        <v>27</v>
      </c>
      <c r="CX2">
        <v>7.4</v>
      </c>
      <c r="DD2">
        <v>47.2</v>
      </c>
      <c r="DE2">
        <v>1.72</v>
      </c>
      <c r="DF2">
        <v>10.04</v>
      </c>
      <c r="DG2">
        <v>1.43</v>
      </c>
      <c r="DH2">
        <v>45.1</v>
      </c>
      <c r="DI2">
        <v>3.3</v>
      </c>
      <c r="DJ2">
        <v>5.1</v>
      </c>
      <c r="DK2">
        <v>3.1</v>
      </c>
      <c r="DL2">
        <v>6.2</v>
      </c>
      <c r="DM2">
        <v>37.2</v>
      </c>
      <c r="DN2">
        <v>0.82</v>
      </c>
      <c r="DO2">
        <v>1</v>
      </c>
      <c r="DP2">
        <v>2440</v>
      </c>
      <c r="DQ2">
        <v>417</v>
      </c>
      <c r="DR2">
        <v>169</v>
      </c>
      <c r="DS2">
        <v>33.6</v>
      </c>
      <c r="DT2">
        <v>13.1</v>
      </c>
      <c r="DU2">
        <v>72.1</v>
      </c>
      <c r="DV2">
        <v>0.86</v>
      </c>
      <c r="DW2">
        <v>2.11</v>
      </c>
      <c r="DY2" s="62">
        <v>4</v>
      </c>
      <c r="EG2">
        <f t="shared" ref="EG2:EG65" si="19">(CA2/40)/(CC2/160)</f>
        <v>3.2568306010929</v>
      </c>
    </row>
    <row r="3" spans="1:137">
      <c r="A3" s="45" t="s">
        <v>52</v>
      </c>
      <c r="B3">
        <v>832230</v>
      </c>
      <c r="C3">
        <v>2</v>
      </c>
      <c r="D3">
        <v>68</v>
      </c>
      <c r="E3" s="54">
        <v>1.6</v>
      </c>
      <c r="F3">
        <v>75</v>
      </c>
      <c r="G3" s="54">
        <f t="shared" si="0"/>
        <v>29.296875</v>
      </c>
      <c r="H3" s="55">
        <v>118</v>
      </c>
      <c r="I3" s="56">
        <v>112.81</v>
      </c>
      <c r="J3" s="57">
        <v>120.5394</v>
      </c>
      <c r="K3" s="57">
        <v>209.9316</v>
      </c>
      <c r="L3" s="57">
        <v>141.4871</v>
      </c>
      <c r="M3" s="57">
        <f t="shared" si="1"/>
        <v>0.673967616118774</v>
      </c>
      <c r="N3" s="57">
        <f t="shared" si="2"/>
        <v>47.085703125</v>
      </c>
      <c r="O3" s="57">
        <f t="shared" si="3"/>
        <v>82.00453125</v>
      </c>
      <c r="P3" s="57">
        <f t="shared" si="4"/>
        <v>55.2683984375</v>
      </c>
      <c r="Q3" s="57">
        <f t="shared" si="5"/>
        <v>137.2729296875</v>
      </c>
      <c r="R3" s="58">
        <v>-0.261221294363257</v>
      </c>
      <c r="S3" s="54"/>
      <c r="T3">
        <v>9.95</v>
      </c>
      <c r="U3" s="59">
        <v>4</v>
      </c>
      <c r="V3" s="59">
        <v>3</v>
      </c>
      <c r="W3" s="60">
        <f t="shared" si="6"/>
        <v>24.3</v>
      </c>
      <c r="X3" s="61">
        <v>43754</v>
      </c>
      <c r="Y3" s="61">
        <v>43754</v>
      </c>
      <c r="Z3" s="61">
        <v>43766</v>
      </c>
      <c r="AA3" s="62">
        <v>1</v>
      </c>
      <c r="AB3" s="62">
        <f t="shared" si="7"/>
        <v>12</v>
      </c>
      <c r="AC3" t="s">
        <v>3278</v>
      </c>
      <c r="AD3">
        <v>13512883003</v>
      </c>
      <c r="AE3">
        <v>1</v>
      </c>
      <c r="AF3">
        <v>1</v>
      </c>
      <c r="AG3">
        <v>2</v>
      </c>
      <c r="AH3">
        <f>_xlfn.IFS(CF3&lt;34,1,CF3=34-51,2,CF3&gt;51,3)</f>
        <v>3</v>
      </c>
      <c r="AI3">
        <f>_xlfn.IFS(BY3&lt;28,1,BY3=28-35,2,BY3&gt;35,3)</f>
        <v>1</v>
      </c>
      <c r="AJ3">
        <v>2</v>
      </c>
      <c r="AK3">
        <f t="shared" si="8"/>
        <v>9</v>
      </c>
      <c r="AL3">
        <v>2</v>
      </c>
      <c r="AM3" s="1">
        <f t="shared" si="9"/>
        <v>56.5</v>
      </c>
      <c r="AN3" s="1">
        <f t="shared" si="10"/>
        <v>85</v>
      </c>
      <c r="AO3" s="1">
        <f t="shared" si="11"/>
        <v>1.76</v>
      </c>
      <c r="AP3" s="62">
        <f t="shared" si="12"/>
        <v>17.273130925007</v>
      </c>
      <c r="AQ3">
        <v>1</v>
      </c>
      <c r="AR3">
        <v>2</v>
      </c>
      <c r="AS3">
        <v>4.4</v>
      </c>
      <c r="AT3">
        <v>2.88</v>
      </c>
      <c r="AU3">
        <v>105</v>
      </c>
      <c r="AV3">
        <v>34</v>
      </c>
      <c r="AW3">
        <v>3.23</v>
      </c>
      <c r="AX3">
        <v>0.46</v>
      </c>
      <c r="AY3">
        <v>0.61</v>
      </c>
      <c r="AZ3">
        <f t="shared" si="13"/>
        <v>7.02173913043478</v>
      </c>
      <c r="BA3">
        <f t="shared" si="14"/>
        <v>73.9130434782609</v>
      </c>
      <c r="BB3">
        <f t="shared" si="15"/>
        <v>0.754098360655738</v>
      </c>
      <c r="BC3">
        <v>2.13</v>
      </c>
      <c r="BD3">
        <v>145.32</v>
      </c>
      <c r="BE3" s="54">
        <v>7.41</v>
      </c>
      <c r="BF3" t="s">
        <v>3411</v>
      </c>
      <c r="BG3">
        <v>27.5</v>
      </c>
      <c r="BI3">
        <v>383.02</v>
      </c>
      <c r="BN3">
        <v>12</v>
      </c>
      <c r="BR3">
        <v>19.3</v>
      </c>
      <c r="BS3">
        <v>1.76</v>
      </c>
      <c r="BT3">
        <v>34.9</v>
      </c>
      <c r="BU3">
        <v>23.9</v>
      </c>
      <c r="BV3">
        <v>1.57</v>
      </c>
      <c r="BW3">
        <v>5691</v>
      </c>
      <c r="BX3">
        <v>57</v>
      </c>
      <c r="BY3" s="63">
        <v>22</v>
      </c>
      <c r="BZ3">
        <v>35</v>
      </c>
      <c r="CA3">
        <v>36</v>
      </c>
      <c r="CB3">
        <v>43</v>
      </c>
      <c r="CC3">
        <v>175</v>
      </c>
      <c r="CD3">
        <v>83</v>
      </c>
      <c r="CE3">
        <v>230</v>
      </c>
      <c r="CF3">
        <v>56.5</v>
      </c>
      <c r="CG3">
        <v>45.8</v>
      </c>
      <c r="CH3" s="57">
        <f t="shared" si="16"/>
        <v>0.837209302325581</v>
      </c>
      <c r="CI3" s="57">
        <f t="shared" si="17"/>
        <v>2.10843373493976</v>
      </c>
      <c r="CJ3" s="57">
        <f t="shared" si="18"/>
        <v>1.23362445414847</v>
      </c>
      <c r="CO3">
        <v>13.2</v>
      </c>
      <c r="CP3">
        <v>85</v>
      </c>
      <c r="CQ3">
        <v>768</v>
      </c>
      <c r="CR3">
        <v>5.9</v>
      </c>
      <c r="CS3">
        <v>1.86</v>
      </c>
      <c r="CT3">
        <v>3.2</v>
      </c>
      <c r="CU3">
        <v>138</v>
      </c>
      <c r="CV3">
        <v>103</v>
      </c>
      <c r="CW3">
        <v>29</v>
      </c>
      <c r="CX3">
        <v>9.2</v>
      </c>
      <c r="CZ3">
        <v>72</v>
      </c>
      <c r="DA3">
        <v>47</v>
      </c>
      <c r="DB3">
        <v>0.016</v>
      </c>
      <c r="DC3">
        <v>534.6</v>
      </c>
      <c r="DE3">
        <v>2.59</v>
      </c>
      <c r="DF3">
        <v>9.37</v>
      </c>
      <c r="DG3">
        <v>3.153</v>
      </c>
      <c r="DH3">
        <v>39.8</v>
      </c>
      <c r="DI3">
        <v>6</v>
      </c>
      <c r="DJ3">
        <v>8.8</v>
      </c>
      <c r="DK3">
        <v>4.5</v>
      </c>
      <c r="DL3">
        <v>10</v>
      </c>
      <c r="DM3">
        <v>30.9</v>
      </c>
      <c r="DN3">
        <v>0.66</v>
      </c>
      <c r="DO3">
        <v>1</v>
      </c>
      <c r="DP3">
        <v>1420</v>
      </c>
      <c r="DQ3">
        <v>809</v>
      </c>
      <c r="DR3">
        <v>207</v>
      </c>
      <c r="DS3">
        <v>35.5</v>
      </c>
      <c r="DT3">
        <v>12.7</v>
      </c>
      <c r="DU3">
        <v>50.7</v>
      </c>
      <c r="DV3">
        <v>0.37</v>
      </c>
      <c r="DW3">
        <v>9.35</v>
      </c>
      <c r="DY3" s="62" t="s">
        <v>3412</v>
      </c>
      <c r="DZ3">
        <v>5</v>
      </c>
      <c r="EA3">
        <v>33.7</v>
      </c>
      <c r="EB3">
        <v>2.8</v>
      </c>
      <c r="EC3">
        <v>7.03</v>
      </c>
      <c r="ED3">
        <v>8.4</v>
      </c>
      <c r="EE3">
        <v>110</v>
      </c>
      <c r="EF3">
        <v>1.6</v>
      </c>
      <c r="EG3">
        <f t="shared" si="19"/>
        <v>0.822857142857143</v>
      </c>
    </row>
    <row r="4" spans="1:137">
      <c r="A4" t="s">
        <v>56</v>
      </c>
      <c r="B4">
        <v>914864</v>
      </c>
      <c r="C4">
        <v>2</v>
      </c>
      <c r="D4">
        <v>70</v>
      </c>
      <c r="E4" s="54">
        <v>1.65</v>
      </c>
      <c r="F4">
        <v>70</v>
      </c>
      <c r="G4" s="54">
        <f t="shared" si="0"/>
        <v>25.7116620752984</v>
      </c>
      <c r="H4" s="55">
        <v>88</v>
      </c>
      <c r="I4" s="56">
        <v>99.951</v>
      </c>
      <c r="J4" s="57">
        <v>118.2755</v>
      </c>
      <c r="K4" s="57">
        <v>192.1786</v>
      </c>
      <c r="L4" s="57">
        <v>178.5981</v>
      </c>
      <c r="M4" s="57">
        <f t="shared" si="1"/>
        <v>0.929333963302886</v>
      </c>
      <c r="N4" s="57">
        <f t="shared" si="2"/>
        <v>43.443709825528</v>
      </c>
      <c r="O4" s="57">
        <f t="shared" si="3"/>
        <v>70.5890174471993</v>
      </c>
      <c r="P4" s="57">
        <f t="shared" si="4"/>
        <v>65.6007713498623</v>
      </c>
      <c r="Q4" s="57">
        <f t="shared" si="5"/>
        <v>136.189788797062</v>
      </c>
      <c r="R4" s="58">
        <v>-0.259150474469047</v>
      </c>
      <c r="S4" s="54"/>
      <c r="T4">
        <v>6.91</v>
      </c>
      <c r="U4" s="64">
        <v>0</v>
      </c>
      <c r="V4" s="64">
        <v>1</v>
      </c>
      <c r="W4" s="60">
        <f t="shared" si="6"/>
        <v>41.65</v>
      </c>
      <c r="X4" s="61">
        <v>43756</v>
      </c>
      <c r="Y4" s="61">
        <v>43756</v>
      </c>
      <c r="Z4" s="61">
        <v>43760</v>
      </c>
      <c r="AA4" s="62">
        <v>1</v>
      </c>
      <c r="AB4" s="62">
        <f t="shared" si="7"/>
        <v>4</v>
      </c>
      <c r="AC4" t="s">
        <v>57</v>
      </c>
      <c r="AD4">
        <v>13612039253</v>
      </c>
      <c r="AE4">
        <v>1</v>
      </c>
      <c r="AF4">
        <v>1</v>
      </c>
      <c r="AG4">
        <v>1</v>
      </c>
      <c r="AH4">
        <v>2</v>
      </c>
      <c r="AI4">
        <f>_xlfn.IFS(BY4&lt;28,1,BY4=28-35,2,BY4&gt;35,3)</f>
        <v>3</v>
      </c>
      <c r="AJ4">
        <f t="shared" ref="AJ4:AJ9" si="20">_xlfn.IFS(BS4&lt;1.7,1,BS4=1.7-2.3,2,BS4&gt;2.3,3)</f>
        <v>1</v>
      </c>
      <c r="AK4">
        <f t="shared" si="8"/>
        <v>8</v>
      </c>
      <c r="AL4">
        <v>2</v>
      </c>
      <c r="AM4" s="1">
        <f t="shared" si="9"/>
        <v>36.4</v>
      </c>
      <c r="AN4" s="1">
        <f t="shared" si="10"/>
        <v>52</v>
      </c>
      <c r="AO4" s="1">
        <f t="shared" si="11"/>
        <v>1.16</v>
      </c>
      <c r="AP4" s="62">
        <f t="shared" si="12"/>
        <v>4.53316723963417</v>
      </c>
      <c r="AQ4">
        <v>0</v>
      </c>
      <c r="AR4">
        <f t="shared" ref="AR4:AR11" si="21">_xlfn.IFS(AP4&lt;15,1,AP4=15-18,2,AP4&gt;18,3)</f>
        <v>1</v>
      </c>
      <c r="AS4">
        <v>2.5</v>
      </c>
      <c r="AT4">
        <v>3.68</v>
      </c>
      <c r="AU4">
        <v>100</v>
      </c>
      <c r="AV4">
        <v>76</v>
      </c>
      <c r="AW4">
        <v>1.41</v>
      </c>
      <c r="AX4">
        <v>0.73</v>
      </c>
      <c r="AY4">
        <v>0.26</v>
      </c>
      <c r="AZ4">
        <f t="shared" si="13"/>
        <v>1.93150684931507</v>
      </c>
      <c r="BA4">
        <f t="shared" si="14"/>
        <v>104.109589041096</v>
      </c>
      <c r="BB4">
        <f t="shared" si="15"/>
        <v>2.80769230769231</v>
      </c>
      <c r="BC4">
        <v>1.37</v>
      </c>
      <c r="BD4">
        <v>38.29</v>
      </c>
      <c r="BE4" s="54">
        <v>2.19</v>
      </c>
      <c r="BF4">
        <v>4.12</v>
      </c>
      <c r="BG4">
        <v>10.9</v>
      </c>
      <c r="BI4">
        <v>47.3</v>
      </c>
      <c r="BN4">
        <v>37</v>
      </c>
      <c r="BR4">
        <v>12.7</v>
      </c>
      <c r="BS4">
        <v>1.16</v>
      </c>
      <c r="BT4">
        <v>29.7</v>
      </c>
      <c r="BU4">
        <v>21</v>
      </c>
      <c r="BV4">
        <v>2.66</v>
      </c>
      <c r="BW4">
        <v>1718</v>
      </c>
      <c r="BX4">
        <v>63</v>
      </c>
      <c r="BY4" s="63">
        <v>38</v>
      </c>
      <c r="BZ4">
        <v>25</v>
      </c>
      <c r="CA4">
        <v>18</v>
      </c>
      <c r="CB4">
        <v>19</v>
      </c>
      <c r="CC4">
        <v>82</v>
      </c>
      <c r="CD4">
        <v>14</v>
      </c>
      <c r="CE4">
        <v>245.6</v>
      </c>
      <c r="CF4">
        <v>36.4</v>
      </c>
      <c r="CG4">
        <v>9.7</v>
      </c>
      <c r="CH4" s="57">
        <f t="shared" si="16"/>
        <v>0.947368421052632</v>
      </c>
      <c r="CI4" s="57">
        <f t="shared" si="17"/>
        <v>5.85714285714286</v>
      </c>
      <c r="CJ4" s="57">
        <f t="shared" si="18"/>
        <v>3.75257731958763</v>
      </c>
      <c r="CK4">
        <v>5.82</v>
      </c>
      <c r="CL4">
        <v>0.86</v>
      </c>
      <c r="CM4">
        <v>1.98</v>
      </c>
      <c r="CN4">
        <v>3.02</v>
      </c>
      <c r="CO4">
        <v>3.9</v>
      </c>
      <c r="CP4">
        <v>52</v>
      </c>
      <c r="CQ4">
        <v>216</v>
      </c>
      <c r="CS4">
        <v>2</v>
      </c>
      <c r="CT4">
        <v>3.1</v>
      </c>
      <c r="CU4">
        <v>140</v>
      </c>
      <c r="CV4">
        <v>105</v>
      </c>
      <c r="CW4">
        <v>26</v>
      </c>
      <c r="CX4">
        <v>12.1</v>
      </c>
      <c r="CZ4">
        <v>74</v>
      </c>
      <c r="DA4">
        <v>48</v>
      </c>
      <c r="DB4">
        <v>0.011</v>
      </c>
      <c r="DC4">
        <v>139.4</v>
      </c>
      <c r="DE4">
        <v>3.59</v>
      </c>
      <c r="DF4">
        <v>11.09</v>
      </c>
      <c r="DG4">
        <v>0.938</v>
      </c>
      <c r="DH4">
        <v>57.8</v>
      </c>
      <c r="DI4">
        <v>4.3</v>
      </c>
      <c r="DJ4">
        <v>9.6</v>
      </c>
      <c r="DK4">
        <v>6</v>
      </c>
      <c r="DL4">
        <v>4.9</v>
      </c>
      <c r="DM4">
        <v>17.4</v>
      </c>
      <c r="DN4">
        <v>1.37</v>
      </c>
      <c r="DO4">
        <v>1</v>
      </c>
      <c r="DP4">
        <v>1140</v>
      </c>
      <c r="DQ4">
        <v>176</v>
      </c>
      <c r="DR4">
        <v>71.1</v>
      </c>
      <c r="DS4">
        <v>72</v>
      </c>
      <c r="DT4">
        <v>16.5</v>
      </c>
      <c r="DU4">
        <v>18</v>
      </c>
      <c r="DV4">
        <v>0.5</v>
      </c>
      <c r="DW4">
        <v>1.44</v>
      </c>
      <c r="DY4" s="62">
        <v>4</v>
      </c>
      <c r="EG4">
        <f t="shared" si="19"/>
        <v>0.878048780487805</v>
      </c>
    </row>
    <row r="5" spans="1:137">
      <c r="A5" s="45" t="s">
        <v>61</v>
      </c>
      <c r="B5">
        <v>1059177</v>
      </c>
      <c r="C5">
        <v>2</v>
      </c>
      <c r="D5">
        <v>67</v>
      </c>
      <c r="E5" s="54">
        <v>1.65</v>
      </c>
      <c r="F5">
        <v>93</v>
      </c>
      <c r="G5" s="54">
        <f t="shared" si="0"/>
        <v>34.1597796143251</v>
      </c>
      <c r="H5" s="55">
        <v>128</v>
      </c>
      <c r="I5" s="56">
        <v>120.28</v>
      </c>
      <c r="J5" s="57">
        <v>152.3056</v>
      </c>
      <c r="K5" s="57">
        <v>360.3079</v>
      </c>
      <c r="L5" s="57">
        <v>301.2442</v>
      </c>
      <c r="M5" s="57">
        <f t="shared" si="1"/>
        <v>0.836074368616397</v>
      </c>
      <c r="N5" s="57">
        <f t="shared" si="2"/>
        <v>55.9432874196511</v>
      </c>
      <c r="O5" s="57">
        <f t="shared" si="3"/>
        <v>132.344499540863</v>
      </c>
      <c r="P5" s="57">
        <f t="shared" si="4"/>
        <v>110.64984389348</v>
      </c>
      <c r="Q5" s="57">
        <f t="shared" si="5"/>
        <v>242.994343434343</v>
      </c>
      <c r="R5" s="58">
        <v>-0.352068126520681</v>
      </c>
      <c r="S5" s="54"/>
      <c r="T5">
        <v>10.65</v>
      </c>
      <c r="U5" s="59">
        <v>5</v>
      </c>
      <c r="V5" s="59">
        <v>3</v>
      </c>
      <c r="W5" s="60">
        <f t="shared" si="6"/>
        <v>29.35</v>
      </c>
      <c r="X5" s="61">
        <v>43756</v>
      </c>
      <c r="Y5" s="61">
        <v>43756</v>
      </c>
      <c r="Z5" s="61">
        <v>43767</v>
      </c>
      <c r="AA5" s="62">
        <v>1</v>
      </c>
      <c r="AB5" s="62">
        <f t="shared" si="7"/>
        <v>11</v>
      </c>
      <c r="AC5" t="s">
        <v>62</v>
      </c>
      <c r="AD5">
        <v>18202590747</v>
      </c>
      <c r="AE5">
        <v>1</v>
      </c>
      <c r="AF5">
        <v>1</v>
      </c>
      <c r="AG5">
        <v>3</v>
      </c>
      <c r="AH5">
        <f t="shared" ref="AH5:AH10" si="22">_xlfn.IFS(CF5&lt;34,1,CF5=34-51,2,CF5&gt;51,3)</f>
        <v>1</v>
      </c>
      <c r="AI5">
        <f>_xlfn.IFS(BY5&lt;28,1,BY5=28-35,2,BY5&gt;35,3)</f>
        <v>1</v>
      </c>
      <c r="AJ5">
        <f t="shared" si="20"/>
        <v>1</v>
      </c>
      <c r="AK5">
        <f t="shared" si="8"/>
        <v>7</v>
      </c>
      <c r="AL5">
        <v>2</v>
      </c>
      <c r="AM5" s="1">
        <f t="shared" si="9"/>
        <v>8</v>
      </c>
      <c r="AN5" s="1">
        <f t="shared" si="10"/>
        <v>142</v>
      </c>
      <c r="AO5" s="1">
        <f t="shared" si="11"/>
        <v>1.09</v>
      </c>
      <c r="AP5" s="62">
        <f t="shared" si="12"/>
        <v>11.9151590422934</v>
      </c>
      <c r="AQ5">
        <v>1</v>
      </c>
      <c r="AR5">
        <f t="shared" si="21"/>
        <v>1</v>
      </c>
      <c r="AS5">
        <v>3.93</v>
      </c>
      <c r="AT5">
        <v>2.06</v>
      </c>
      <c r="AU5">
        <v>55</v>
      </c>
      <c r="AV5">
        <v>135</v>
      </c>
      <c r="AW5">
        <v>2.87</v>
      </c>
      <c r="AX5">
        <v>0.67</v>
      </c>
      <c r="AY5">
        <v>0.31</v>
      </c>
      <c r="AZ5">
        <f t="shared" si="13"/>
        <v>4.28358208955224</v>
      </c>
      <c r="BA5">
        <f t="shared" si="14"/>
        <v>201.492537313433</v>
      </c>
      <c r="BB5">
        <f t="shared" si="15"/>
        <v>2.16129032258065</v>
      </c>
      <c r="BC5">
        <v>1.47</v>
      </c>
      <c r="BD5">
        <v>17.98</v>
      </c>
      <c r="BE5" s="54">
        <v>3</v>
      </c>
      <c r="BF5">
        <v>6.82</v>
      </c>
      <c r="BG5">
        <v>9.6</v>
      </c>
      <c r="BH5">
        <v>631.3</v>
      </c>
      <c r="BI5">
        <v>253.51</v>
      </c>
      <c r="BR5">
        <v>11.9</v>
      </c>
      <c r="BS5">
        <v>1.09</v>
      </c>
      <c r="BT5">
        <v>26.8</v>
      </c>
      <c r="BU5">
        <v>24.4</v>
      </c>
      <c r="BV5">
        <v>2.18</v>
      </c>
      <c r="BW5">
        <v>4072</v>
      </c>
      <c r="BX5">
        <v>54</v>
      </c>
      <c r="BY5" s="63">
        <v>26</v>
      </c>
      <c r="BZ5">
        <v>28</v>
      </c>
      <c r="CA5">
        <v>18</v>
      </c>
      <c r="CB5">
        <v>23</v>
      </c>
      <c r="CC5">
        <v>84</v>
      </c>
      <c r="CD5">
        <v>53</v>
      </c>
      <c r="CE5">
        <v>204.2</v>
      </c>
      <c r="CF5">
        <v>8</v>
      </c>
      <c r="CG5">
        <v>1.7</v>
      </c>
      <c r="CH5" s="57">
        <f t="shared" si="16"/>
        <v>0.782608695652174</v>
      </c>
      <c r="CI5" s="57">
        <f t="shared" si="17"/>
        <v>1.58490566037736</v>
      </c>
      <c r="CJ5" s="57">
        <f t="shared" si="18"/>
        <v>4.70588235294118</v>
      </c>
      <c r="CK5">
        <v>4.25</v>
      </c>
      <c r="CL5">
        <v>1.3</v>
      </c>
      <c r="CM5">
        <v>0.77</v>
      </c>
      <c r="CN5">
        <v>2.58</v>
      </c>
      <c r="CO5">
        <v>13.9</v>
      </c>
      <c r="CP5">
        <v>142</v>
      </c>
      <c r="CQ5">
        <v>667</v>
      </c>
      <c r="CR5">
        <v>10.4</v>
      </c>
      <c r="CS5">
        <v>1.98</v>
      </c>
      <c r="CT5">
        <v>4.1</v>
      </c>
      <c r="CU5">
        <v>141</v>
      </c>
      <c r="CV5">
        <v>102</v>
      </c>
      <c r="CW5">
        <v>26</v>
      </c>
      <c r="CX5">
        <v>10.8</v>
      </c>
      <c r="CY5">
        <v>17.7</v>
      </c>
      <c r="CZ5">
        <v>54</v>
      </c>
      <c r="DA5">
        <v>33</v>
      </c>
      <c r="DB5">
        <v>0.028</v>
      </c>
      <c r="DC5">
        <v>200.4</v>
      </c>
      <c r="DE5">
        <v>3.95</v>
      </c>
      <c r="DF5">
        <v>12.64</v>
      </c>
      <c r="DG5">
        <v>1.653</v>
      </c>
      <c r="DH5">
        <v>49.2</v>
      </c>
      <c r="DI5">
        <v>4.5</v>
      </c>
      <c r="DJ5">
        <v>8.3</v>
      </c>
      <c r="DK5">
        <v>7.5</v>
      </c>
      <c r="DL5">
        <v>7.4</v>
      </c>
      <c r="DM5">
        <v>23.1</v>
      </c>
      <c r="DN5">
        <v>0.97</v>
      </c>
      <c r="DO5">
        <v>1</v>
      </c>
      <c r="DP5">
        <v>1270</v>
      </c>
      <c r="DQ5">
        <v>613</v>
      </c>
      <c r="DR5">
        <v>43.5</v>
      </c>
      <c r="DS5">
        <v>63.1</v>
      </c>
      <c r="DT5">
        <v>12.6</v>
      </c>
      <c r="DU5">
        <v>47.8</v>
      </c>
      <c r="DV5">
        <v>0.15</v>
      </c>
      <c r="DW5">
        <v>0.59</v>
      </c>
      <c r="DY5" s="62"/>
      <c r="DZ5">
        <v>16</v>
      </c>
      <c r="EA5">
        <v>70.8</v>
      </c>
      <c r="EB5">
        <v>2.8</v>
      </c>
      <c r="EC5">
        <v>1.54</v>
      </c>
      <c r="ED5">
        <v>12.4</v>
      </c>
      <c r="EE5">
        <v>113</v>
      </c>
      <c r="EF5">
        <v>1.26</v>
      </c>
      <c r="EG5">
        <f t="shared" si="19"/>
        <v>0.857142857142857</v>
      </c>
    </row>
    <row r="6" spans="1:137">
      <c r="A6" s="1" t="s">
        <v>65</v>
      </c>
      <c r="B6">
        <v>809933</v>
      </c>
      <c r="C6">
        <v>1</v>
      </c>
      <c r="D6">
        <v>55</v>
      </c>
      <c r="E6" s="54">
        <v>1.75</v>
      </c>
      <c r="F6">
        <v>93</v>
      </c>
      <c r="G6" s="54">
        <f t="shared" si="0"/>
        <v>30.3673469387755</v>
      </c>
      <c r="H6" s="55">
        <v>107</v>
      </c>
      <c r="I6" s="56">
        <v>143.9</v>
      </c>
      <c r="J6" s="1">
        <v>199.1717</v>
      </c>
      <c r="K6" s="1">
        <v>202.0952</v>
      </c>
      <c r="L6" s="1">
        <v>314.1823</v>
      </c>
      <c r="M6" s="57">
        <f t="shared" si="1"/>
        <v>1.5546252459237</v>
      </c>
      <c r="N6" s="57">
        <f t="shared" si="2"/>
        <v>65.0356571428571</v>
      </c>
      <c r="O6" s="57">
        <f t="shared" si="3"/>
        <v>65.9902693877551</v>
      </c>
      <c r="P6" s="57">
        <f t="shared" si="4"/>
        <v>102.59013877551</v>
      </c>
      <c r="Q6" s="57">
        <f t="shared" si="5"/>
        <v>168.580408163265</v>
      </c>
      <c r="R6" s="58">
        <v>-0.503660322108345</v>
      </c>
      <c r="S6" s="54"/>
      <c r="T6">
        <v>5.705</v>
      </c>
      <c r="U6" s="59">
        <v>6</v>
      </c>
      <c r="V6" s="59">
        <v>3</v>
      </c>
      <c r="W6" s="60">
        <f t="shared" si="6"/>
        <v>46.65</v>
      </c>
      <c r="X6" s="61">
        <v>43759</v>
      </c>
      <c r="Y6" s="61">
        <v>43754</v>
      </c>
      <c r="Z6" s="61">
        <v>43760</v>
      </c>
      <c r="AA6" s="62">
        <v>1</v>
      </c>
      <c r="AB6" s="62">
        <f t="shared" si="7"/>
        <v>6</v>
      </c>
      <c r="AC6" t="s">
        <v>66</v>
      </c>
      <c r="AD6">
        <v>13802039866</v>
      </c>
      <c r="AE6">
        <v>1</v>
      </c>
      <c r="AF6">
        <v>1</v>
      </c>
      <c r="AG6">
        <v>1</v>
      </c>
      <c r="AH6">
        <f t="shared" si="22"/>
        <v>1</v>
      </c>
      <c r="AI6">
        <v>2</v>
      </c>
      <c r="AJ6">
        <f t="shared" si="20"/>
        <v>1</v>
      </c>
      <c r="AK6">
        <f t="shared" si="8"/>
        <v>6</v>
      </c>
      <c r="AL6">
        <f>_xlfn.IFS(AK6&lt;7,1,AK6=7-9,2,AK6&gt;9,3)</f>
        <v>1</v>
      </c>
      <c r="AM6" s="1">
        <f t="shared" si="9"/>
        <v>7.3</v>
      </c>
      <c r="AN6" s="1">
        <f t="shared" si="10"/>
        <v>54</v>
      </c>
      <c r="AO6" s="1">
        <f t="shared" si="11"/>
        <v>1.12</v>
      </c>
      <c r="AP6" s="62">
        <f t="shared" si="12"/>
        <v>1.26928127543844</v>
      </c>
      <c r="AQ6">
        <v>0</v>
      </c>
      <c r="AR6">
        <f t="shared" si="21"/>
        <v>1</v>
      </c>
      <c r="AS6">
        <v>5.39</v>
      </c>
      <c r="AT6">
        <v>3.89</v>
      </c>
      <c r="AU6">
        <v>110</v>
      </c>
      <c r="AV6">
        <v>305</v>
      </c>
      <c r="AW6">
        <v>2.02</v>
      </c>
      <c r="AX6">
        <v>2.33</v>
      </c>
      <c r="AY6">
        <v>0.72</v>
      </c>
      <c r="AZ6">
        <f t="shared" si="13"/>
        <v>0.866952789699571</v>
      </c>
      <c r="BA6">
        <f t="shared" si="14"/>
        <v>130.901287553648</v>
      </c>
      <c r="BB6">
        <f t="shared" si="15"/>
        <v>3.23611111111111</v>
      </c>
      <c r="BC6">
        <v>3.73</v>
      </c>
      <c r="BD6">
        <v>7.29</v>
      </c>
      <c r="BE6" s="54">
        <v>3.65</v>
      </c>
      <c r="BF6">
        <v>13.17</v>
      </c>
      <c r="BM6">
        <v>1.033</v>
      </c>
      <c r="BN6">
        <v>47</v>
      </c>
      <c r="BR6">
        <v>12.3</v>
      </c>
      <c r="BS6">
        <v>1.12</v>
      </c>
      <c r="BT6">
        <v>24.6</v>
      </c>
      <c r="BU6">
        <v>24.6</v>
      </c>
      <c r="BV6">
        <v>2.21</v>
      </c>
      <c r="BW6">
        <v>400</v>
      </c>
      <c r="BX6">
        <v>70</v>
      </c>
      <c r="BY6" s="63">
        <v>35</v>
      </c>
      <c r="BZ6">
        <v>35</v>
      </c>
      <c r="CA6">
        <v>23</v>
      </c>
      <c r="CB6">
        <v>26</v>
      </c>
      <c r="CC6">
        <v>182</v>
      </c>
      <c r="CD6">
        <v>117</v>
      </c>
      <c r="CE6">
        <v>190.7</v>
      </c>
      <c r="CF6">
        <v>7.3</v>
      </c>
      <c r="CG6">
        <v>2.1</v>
      </c>
      <c r="CH6" s="57">
        <f t="shared" si="16"/>
        <v>0.884615384615385</v>
      </c>
      <c r="CI6" s="57">
        <f t="shared" si="17"/>
        <v>1.55555555555556</v>
      </c>
      <c r="CJ6" s="57">
        <f t="shared" si="18"/>
        <v>3.47619047619048</v>
      </c>
      <c r="CK6">
        <v>4.07</v>
      </c>
      <c r="CL6">
        <v>5.1</v>
      </c>
      <c r="CM6">
        <v>0.73</v>
      </c>
      <c r="CN6">
        <v>1.21</v>
      </c>
      <c r="CO6">
        <v>5</v>
      </c>
      <c r="CP6">
        <v>54</v>
      </c>
      <c r="CQ6">
        <v>308</v>
      </c>
      <c r="CR6">
        <v>4.9</v>
      </c>
      <c r="CS6">
        <v>2.07</v>
      </c>
      <c r="CT6">
        <v>3.5</v>
      </c>
      <c r="CU6">
        <v>143</v>
      </c>
      <c r="CV6">
        <v>106</v>
      </c>
      <c r="CW6">
        <v>28</v>
      </c>
      <c r="CX6">
        <v>12.5</v>
      </c>
      <c r="DE6">
        <v>5.01</v>
      </c>
      <c r="DF6">
        <v>12.8</v>
      </c>
      <c r="DG6">
        <v>1.162</v>
      </c>
      <c r="DY6" s="62"/>
      <c r="EG6">
        <f t="shared" si="19"/>
        <v>0.505494505494505</v>
      </c>
    </row>
    <row r="7" spans="1:137">
      <c r="A7" t="s">
        <v>67</v>
      </c>
      <c r="B7">
        <v>988973</v>
      </c>
      <c r="C7">
        <v>2</v>
      </c>
      <c r="D7">
        <v>66</v>
      </c>
      <c r="E7" s="54">
        <v>1.57</v>
      </c>
      <c r="F7">
        <v>84.5</v>
      </c>
      <c r="G7" s="54">
        <f t="shared" si="0"/>
        <v>34.2813095865958</v>
      </c>
      <c r="H7" s="55">
        <v>121</v>
      </c>
      <c r="I7" s="1">
        <v>118.09</v>
      </c>
      <c r="J7" s="1">
        <v>122.1943</v>
      </c>
      <c r="K7" s="1">
        <v>415.287</v>
      </c>
      <c r="L7" s="1">
        <v>200.2716</v>
      </c>
      <c r="M7" s="57">
        <f t="shared" si="1"/>
        <v>0.482248661768849</v>
      </c>
      <c r="N7" s="57">
        <f t="shared" si="2"/>
        <v>49.573735242809</v>
      </c>
      <c r="O7" s="57">
        <f t="shared" si="3"/>
        <v>168.480262890989</v>
      </c>
      <c r="P7" s="57">
        <f t="shared" si="4"/>
        <v>81.2493813136436</v>
      </c>
      <c r="Q7" s="57">
        <f t="shared" si="5"/>
        <v>249.729644204633</v>
      </c>
      <c r="R7" s="1">
        <v>-0.107125545322346</v>
      </c>
      <c r="S7" s="54"/>
      <c r="T7">
        <v>7.08</v>
      </c>
      <c r="U7" s="65">
        <v>1</v>
      </c>
      <c r="V7" s="65">
        <v>2</v>
      </c>
      <c r="W7" s="60">
        <f t="shared" si="6"/>
        <v>41.95</v>
      </c>
      <c r="X7" s="61">
        <v>43759</v>
      </c>
      <c r="Y7" s="61">
        <v>43759</v>
      </c>
      <c r="Z7" s="61">
        <v>43764</v>
      </c>
      <c r="AA7" s="62">
        <v>1</v>
      </c>
      <c r="AB7" s="62">
        <f t="shared" si="7"/>
        <v>5</v>
      </c>
      <c r="AC7" t="s">
        <v>68</v>
      </c>
      <c r="AD7">
        <v>13502181451</v>
      </c>
      <c r="AE7">
        <v>1</v>
      </c>
      <c r="AF7">
        <v>1</v>
      </c>
      <c r="AG7">
        <v>1</v>
      </c>
      <c r="AH7">
        <f t="shared" si="22"/>
        <v>1</v>
      </c>
      <c r="AI7">
        <f>_xlfn.IFS(BY7&lt;28,1,BY7=28-35,2,BY7&gt;35,3)</f>
        <v>3</v>
      </c>
      <c r="AJ7">
        <f t="shared" si="20"/>
        <v>1</v>
      </c>
      <c r="AK7">
        <f t="shared" si="8"/>
        <v>7</v>
      </c>
      <c r="AL7">
        <v>2</v>
      </c>
      <c r="AM7" s="1">
        <f t="shared" si="9"/>
        <v>18.5</v>
      </c>
      <c r="AN7" s="1">
        <f t="shared" si="10"/>
        <v>51</v>
      </c>
      <c r="AO7" s="1">
        <f t="shared" si="11"/>
        <v>1.16</v>
      </c>
      <c r="AP7" s="62">
        <f t="shared" si="12"/>
        <v>8.36133467791219</v>
      </c>
      <c r="AQ7">
        <v>1</v>
      </c>
      <c r="AR7">
        <f t="shared" si="21"/>
        <v>1</v>
      </c>
      <c r="AS7">
        <v>1.78</v>
      </c>
      <c r="AT7">
        <v>3.18</v>
      </c>
      <c r="AU7">
        <v>104</v>
      </c>
      <c r="AV7">
        <v>42</v>
      </c>
      <c r="AW7">
        <v>0.97</v>
      </c>
      <c r="AX7">
        <v>0.59</v>
      </c>
      <c r="AY7">
        <v>0.13</v>
      </c>
      <c r="AZ7">
        <f t="shared" si="13"/>
        <v>1.64406779661017</v>
      </c>
      <c r="BA7">
        <f t="shared" si="14"/>
        <v>71.1864406779661</v>
      </c>
      <c r="BB7">
        <f t="shared" si="15"/>
        <v>4.53846153846154</v>
      </c>
      <c r="BC7">
        <v>6.82</v>
      </c>
      <c r="BD7">
        <v>34.68</v>
      </c>
      <c r="BE7" s="54">
        <v>7.53</v>
      </c>
      <c r="BF7">
        <v>5.48</v>
      </c>
      <c r="BG7">
        <v>8.5</v>
      </c>
      <c r="BI7">
        <v>87</v>
      </c>
      <c r="BJ7">
        <v>2.08</v>
      </c>
      <c r="BK7">
        <v>1</v>
      </c>
      <c r="BL7">
        <v>60.2</v>
      </c>
      <c r="BR7">
        <v>12.7</v>
      </c>
      <c r="BS7">
        <v>1.16</v>
      </c>
      <c r="BT7">
        <v>33</v>
      </c>
      <c r="BU7">
        <v>23.8</v>
      </c>
      <c r="BV7">
        <v>1.76</v>
      </c>
      <c r="BW7">
        <v>1462</v>
      </c>
      <c r="BX7">
        <v>59</v>
      </c>
      <c r="BY7" s="63">
        <v>39</v>
      </c>
      <c r="BZ7">
        <v>20</v>
      </c>
      <c r="CA7">
        <v>38</v>
      </c>
      <c r="CB7">
        <v>48</v>
      </c>
      <c r="CC7">
        <v>142</v>
      </c>
      <c r="CD7">
        <v>120</v>
      </c>
      <c r="CE7">
        <v>305.2</v>
      </c>
      <c r="CF7">
        <v>18.5</v>
      </c>
      <c r="CG7">
        <v>5.3</v>
      </c>
      <c r="CH7" s="57">
        <f t="shared" si="16"/>
        <v>0.791666666666667</v>
      </c>
      <c r="CI7" s="57">
        <f t="shared" si="17"/>
        <v>1.18333333333333</v>
      </c>
      <c r="CJ7" s="57">
        <f t="shared" si="18"/>
        <v>3.49056603773585</v>
      </c>
      <c r="CK7">
        <v>3.97</v>
      </c>
      <c r="CL7">
        <v>1.33</v>
      </c>
      <c r="CM7">
        <v>1.39</v>
      </c>
      <c r="CN7">
        <v>1.71</v>
      </c>
      <c r="CO7">
        <v>6</v>
      </c>
      <c r="CP7">
        <v>51</v>
      </c>
      <c r="CQ7">
        <v>356</v>
      </c>
      <c r="CR7">
        <v>4.8</v>
      </c>
      <c r="CS7">
        <v>2.13</v>
      </c>
      <c r="CT7">
        <v>4.2</v>
      </c>
      <c r="CU7">
        <v>144</v>
      </c>
      <c r="CV7">
        <v>107</v>
      </c>
      <c r="CW7">
        <v>32</v>
      </c>
      <c r="CX7">
        <v>9.2</v>
      </c>
      <c r="DE7">
        <v>4.62</v>
      </c>
      <c r="DF7">
        <v>10.94</v>
      </c>
      <c r="DG7">
        <v>4.589</v>
      </c>
      <c r="DH7">
        <v>64.4</v>
      </c>
      <c r="DI7">
        <v>4.4</v>
      </c>
      <c r="DJ7">
        <v>7.8</v>
      </c>
      <c r="DK7">
        <v>7.6</v>
      </c>
      <c r="DL7">
        <v>4.3</v>
      </c>
      <c r="DM7">
        <v>11.5</v>
      </c>
      <c r="DN7">
        <v>1.81</v>
      </c>
      <c r="DO7">
        <v>1</v>
      </c>
      <c r="DP7">
        <v>748</v>
      </c>
      <c r="DQ7">
        <v>194</v>
      </c>
      <c r="DR7">
        <v>30.2</v>
      </c>
      <c r="DS7">
        <v>66.8</v>
      </c>
      <c r="DT7">
        <v>14.5</v>
      </c>
      <c r="DU7">
        <v>11.1</v>
      </c>
      <c r="DV7">
        <v>0.42</v>
      </c>
      <c r="DW7">
        <v>0.54</v>
      </c>
      <c r="DY7" s="62"/>
      <c r="EG7">
        <f t="shared" si="19"/>
        <v>1.07042253521127</v>
      </c>
    </row>
    <row r="8" spans="1:137">
      <c r="A8" t="s">
        <v>70</v>
      </c>
      <c r="B8">
        <v>1060123</v>
      </c>
      <c r="C8">
        <v>2</v>
      </c>
      <c r="D8">
        <v>75</v>
      </c>
      <c r="E8" s="54">
        <v>1.6</v>
      </c>
      <c r="G8" s="54"/>
      <c r="H8" s="55">
        <v>108</v>
      </c>
      <c r="I8" s="56">
        <v>91.768</v>
      </c>
      <c r="J8" s="57">
        <v>91.6628</v>
      </c>
      <c r="K8" s="57">
        <v>69.5598</v>
      </c>
      <c r="L8" s="57">
        <v>76.5891</v>
      </c>
      <c r="M8" s="57">
        <f t="shared" si="1"/>
        <v>1.1010540570847</v>
      </c>
      <c r="N8" s="57">
        <f t="shared" si="2"/>
        <v>35.80578125</v>
      </c>
      <c r="O8" s="57">
        <f t="shared" si="3"/>
        <v>27.171796875</v>
      </c>
      <c r="P8" s="57">
        <f t="shared" si="4"/>
        <v>29.9176171875</v>
      </c>
      <c r="Q8" s="57">
        <f t="shared" si="5"/>
        <v>57.0894140625</v>
      </c>
      <c r="R8" s="58">
        <v>-0.350923482849604</v>
      </c>
      <c r="S8" s="54"/>
      <c r="T8">
        <v>10.8</v>
      </c>
      <c r="U8" s="59">
        <v>2</v>
      </c>
      <c r="V8" s="59">
        <v>3</v>
      </c>
      <c r="W8" s="60">
        <f t="shared" si="6"/>
        <v>29.95</v>
      </c>
      <c r="X8" s="61">
        <v>43762</v>
      </c>
      <c r="Y8" s="61">
        <v>43762</v>
      </c>
      <c r="Z8" s="61">
        <v>43781</v>
      </c>
      <c r="AA8" s="62">
        <v>1</v>
      </c>
      <c r="AB8" s="62">
        <f t="shared" si="7"/>
        <v>19</v>
      </c>
      <c r="AC8" t="s">
        <v>71</v>
      </c>
      <c r="AD8">
        <v>13752615806</v>
      </c>
      <c r="AE8">
        <v>1</v>
      </c>
      <c r="AF8">
        <v>1</v>
      </c>
      <c r="AG8">
        <v>3</v>
      </c>
      <c r="AH8">
        <f t="shared" si="22"/>
        <v>1</v>
      </c>
      <c r="AI8">
        <f>_xlfn.IFS(BY8&lt;28,1,BY8=28-35,2,BY8&gt;35,3)</f>
        <v>1</v>
      </c>
      <c r="AJ8">
        <f t="shared" si="20"/>
        <v>1</v>
      </c>
      <c r="AK8">
        <f t="shared" si="8"/>
        <v>7</v>
      </c>
      <c r="AL8">
        <v>2</v>
      </c>
      <c r="AM8" s="1">
        <f t="shared" si="9"/>
        <v>14.9</v>
      </c>
      <c r="AN8" s="1">
        <f t="shared" si="10"/>
        <v>77</v>
      </c>
      <c r="AO8" s="1">
        <f t="shared" si="11"/>
        <v>1.27</v>
      </c>
      <c r="AP8" s="62">
        <f t="shared" si="12"/>
        <v>9.0769892852696</v>
      </c>
      <c r="AQ8">
        <v>1</v>
      </c>
      <c r="AR8">
        <f t="shared" si="21"/>
        <v>1</v>
      </c>
      <c r="AS8">
        <v>2.63</v>
      </c>
      <c r="AT8">
        <v>2.65</v>
      </c>
      <c r="AU8">
        <v>76</v>
      </c>
      <c r="AV8">
        <v>91</v>
      </c>
      <c r="AW8">
        <v>1.67</v>
      </c>
      <c r="AX8">
        <v>0.59</v>
      </c>
      <c r="AY8">
        <v>0.33</v>
      </c>
      <c r="AZ8">
        <f t="shared" si="13"/>
        <v>2.83050847457627</v>
      </c>
      <c r="BA8">
        <f t="shared" si="14"/>
        <v>154.237288135593</v>
      </c>
      <c r="BB8">
        <f t="shared" si="15"/>
        <v>1.78787878787879</v>
      </c>
      <c r="BC8">
        <v>1.82</v>
      </c>
      <c r="BD8">
        <v>26.27</v>
      </c>
      <c r="BE8" s="54">
        <v>5.27</v>
      </c>
      <c r="BF8">
        <v>6.02</v>
      </c>
      <c r="BG8">
        <v>8.2</v>
      </c>
      <c r="BH8">
        <v>345.8</v>
      </c>
      <c r="BI8">
        <v>200.74</v>
      </c>
      <c r="BN8">
        <v>43</v>
      </c>
      <c r="BR8">
        <v>13.9</v>
      </c>
      <c r="BS8">
        <v>1.27</v>
      </c>
      <c r="BT8">
        <v>29.4</v>
      </c>
      <c r="BU8">
        <v>24.6</v>
      </c>
      <c r="BV8">
        <v>1.57</v>
      </c>
      <c r="BW8">
        <v>5036</v>
      </c>
      <c r="BX8">
        <v>55</v>
      </c>
      <c r="BY8" s="63">
        <v>27</v>
      </c>
      <c r="BZ8">
        <v>28</v>
      </c>
      <c r="CA8">
        <v>12</v>
      </c>
      <c r="CB8">
        <v>29</v>
      </c>
      <c r="CC8">
        <v>123</v>
      </c>
      <c r="CD8">
        <v>65</v>
      </c>
      <c r="CE8">
        <v>214.2</v>
      </c>
      <c r="CF8">
        <v>14.9</v>
      </c>
      <c r="CG8">
        <v>8</v>
      </c>
      <c r="CH8" s="57">
        <f t="shared" si="16"/>
        <v>0.413793103448276</v>
      </c>
      <c r="CI8" s="57">
        <f t="shared" si="17"/>
        <v>1.89230769230769</v>
      </c>
      <c r="CJ8" s="57">
        <f t="shared" si="18"/>
        <v>1.8625</v>
      </c>
      <c r="CO8">
        <v>6.4</v>
      </c>
      <c r="CP8">
        <v>77</v>
      </c>
      <c r="CQ8">
        <v>316</v>
      </c>
      <c r="CR8">
        <v>4.3</v>
      </c>
      <c r="CS8">
        <v>1.86</v>
      </c>
      <c r="CT8">
        <v>4.2</v>
      </c>
      <c r="CU8">
        <v>125</v>
      </c>
      <c r="CV8">
        <v>89</v>
      </c>
      <c r="CW8">
        <v>13.9</v>
      </c>
      <c r="CX8">
        <v>10</v>
      </c>
      <c r="DE8">
        <v>3.35</v>
      </c>
      <c r="DF8">
        <v>10.32</v>
      </c>
      <c r="DG8">
        <v>2.328</v>
      </c>
      <c r="DH8">
        <v>52</v>
      </c>
      <c r="DI8">
        <v>6.3</v>
      </c>
      <c r="DJ8">
        <v>8.9</v>
      </c>
      <c r="DK8">
        <v>6</v>
      </c>
      <c r="DL8">
        <v>4.2</v>
      </c>
      <c r="DM8">
        <v>22.6</v>
      </c>
      <c r="DN8">
        <v>1.08</v>
      </c>
      <c r="DO8">
        <v>1</v>
      </c>
      <c r="DP8">
        <v>1120</v>
      </c>
      <c r="DQ8">
        <v>320</v>
      </c>
      <c r="DR8">
        <v>68.5</v>
      </c>
      <c r="DS8">
        <v>49.7</v>
      </c>
      <c r="DT8">
        <v>15.7</v>
      </c>
      <c r="DU8">
        <v>290</v>
      </c>
      <c r="DV8">
        <v>0.09</v>
      </c>
      <c r="DW8">
        <v>1.13</v>
      </c>
      <c r="DX8">
        <v>0.12</v>
      </c>
      <c r="DY8" s="62">
        <v>4</v>
      </c>
      <c r="EG8">
        <f t="shared" si="19"/>
        <v>0.390243902439024</v>
      </c>
    </row>
    <row r="9" spans="1:137">
      <c r="A9" t="s">
        <v>3080</v>
      </c>
      <c r="B9">
        <v>1060335</v>
      </c>
      <c r="C9">
        <v>2</v>
      </c>
      <c r="D9">
        <v>63</v>
      </c>
      <c r="E9" s="54">
        <v>1.63</v>
      </c>
      <c r="F9">
        <v>66</v>
      </c>
      <c r="G9" s="54">
        <f t="shared" ref="G9:G47" si="23">F9/(E9*E9)</f>
        <v>24.8409800895781</v>
      </c>
      <c r="H9" s="55">
        <v>97</v>
      </c>
      <c r="I9" s="56">
        <v>99.512</v>
      </c>
      <c r="J9" s="57">
        <v>106.3155</v>
      </c>
      <c r="K9" s="57">
        <v>149.6002</v>
      </c>
      <c r="L9" s="57">
        <v>186.0177</v>
      </c>
      <c r="M9" s="57">
        <f t="shared" si="1"/>
        <v>1.24343216118695</v>
      </c>
      <c r="N9" s="57">
        <f t="shared" si="2"/>
        <v>40.0148669502051</v>
      </c>
      <c r="O9" s="57">
        <f t="shared" si="3"/>
        <v>56.3062968120742</v>
      </c>
      <c r="P9" s="57">
        <f t="shared" si="4"/>
        <v>70.0130603334713</v>
      </c>
      <c r="Q9" s="57">
        <f t="shared" si="5"/>
        <v>126.319357145545</v>
      </c>
      <c r="R9" s="58">
        <v>-0.485272091862207</v>
      </c>
      <c r="S9" s="54"/>
      <c r="T9">
        <v>6.61</v>
      </c>
      <c r="U9" s="64">
        <v>0</v>
      </c>
      <c r="V9" s="64">
        <v>1</v>
      </c>
      <c r="W9" s="60">
        <f t="shared" si="6"/>
        <v>27</v>
      </c>
      <c r="X9" s="61">
        <v>43763</v>
      </c>
      <c r="Y9" s="61">
        <v>43763</v>
      </c>
      <c r="Z9" s="61">
        <v>43774</v>
      </c>
      <c r="AA9" s="62">
        <v>1</v>
      </c>
      <c r="AB9" s="62">
        <v>5</v>
      </c>
      <c r="AC9" t="s">
        <v>3279</v>
      </c>
      <c r="AD9">
        <v>13802022301</v>
      </c>
      <c r="AE9">
        <v>0</v>
      </c>
      <c r="AF9">
        <v>1</v>
      </c>
      <c r="AG9">
        <v>1</v>
      </c>
      <c r="AH9">
        <f t="shared" si="22"/>
        <v>1</v>
      </c>
      <c r="AI9">
        <f>_xlfn.IFS(BY9&lt;28,1,BY9=28-35,2,BY9&gt;35,3)</f>
        <v>1</v>
      </c>
      <c r="AJ9">
        <f t="shared" si="20"/>
        <v>1</v>
      </c>
      <c r="AK9">
        <f t="shared" si="8"/>
        <v>5</v>
      </c>
      <c r="AL9">
        <f>_xlfn.IFS(AK9&lt;7,1,AK9=7-9,2,AK9&gt;9,3)</f>
        <v>1</v>
      </c>
      <c r="AM9" s="1">
        <f t="shared" si="9"/>
        <v>20.4</v>
      </c>
      <c r="AN9" s="1">
        <f t="shared" si="10"/>
        <v>35</v>
      </c>
      <c r="AO9" s="1">
        <f t="shared" si="11"/>
        <v>1.3</v>
      </c>
      <c r="AP9" s="62">
        <f t="shared" si="12"/>
        <v>10.0090142239338</v>
      </c>
      <c r="AQ9">
        <v>1</v>
      </c>
      <c r="AR9">
        <f t="shared" si="21"/>
        <v>1</v>
      </c>
      <c r="AS9">
        <v>1.56</v>
      </c>
      <c r="AT9">
        <v>3.33</v>
      </c>
      <c r="AU9">
        <v>88</v>
      </c>
      <c r="AV9">
        <v>66</v>
      </c>
      <c r="AW9">
        <v>1.19</v>
      </c>
      <c r="AX9">
        <v>0.2</v>
      </c>
      <c r="AY9">
        <v>0.13</v>
      </c>
      <c r="AZ9">
        <f t="shared" si="13"/>
        <v>5.95</v>
      </c>
      <c r="BA9">
        <f t="shared" si="14"/>
        <v>330</v>
      </c>
      <c r="BB9">
        <f t="shared" si="15"/>
        <v>1.53846153846154</v>
      </c>
      <c r="BE9" s="54"/>
      <c r="BR9">
        <v>14.2</v>
      </c>
      <c r="BS9">
        <v>1.3</v>
      </c>
      <c r="BT9">
        <v>35.4</v>
      </c>
      <c r="BU9">
        <v>22</v>
      </c>
      <c r="BV9">
        <v>2.73</v>
      </c>
      <c r="BW9">
        <v>799</v>
      </c>
      <c r="BX9">
        <v>70</v>
      </c>
      <c r="BY9" s="63">
        <v>26</v>
      </c>
      <c r="BZ9">
        <v>44</v>
      </c>
      <c r="CA9">
        <v>11</v>
      </c>
      <c r="CB9">
        <v>19</v>
      </c>
      <c r="CC9">
        <v>64</v>
      </c>
      <c r="CD9">
        <v>29</v>
      </c>
      <c r="CE9">
        <v>132.3</v>
      </c>
      <c r="CF9">
        <v>20.4</v>
      </c>
      <c r="CG9">
        <v>10</v>
      </c>
      <c r="CH9" s="57">
        <f t="shared" si="16"/>
        <v>0.578947368421053</v>
      </c>
      <c r="CI9" s="57">
        <f t="shared" si="17"/>
        <v>2.20689655172414</v>
      </c>
      <c r="CJ9" s="57">
        <f t="shared" si="18"/>
        <v>2.04</v>
      </c>
      <c r="CK9">
        <v>3.06</v>
      </c>
      <c r="CL9">
        <v>0.63</v>
      </c>
      <c r="CM9">
        <v>0.96</v>
      </c>
      <c r="CN9">
        <v>1.59</v>
      </c>
      <c r="CO9">
        <v>2.3</v>
      </c>
      <c r="CP9">
        <v>35</v>
      </c>
      <c r="CQ9">
        <v>160</v>
      </c>
      <c r="CR9">
        <v>4.4</v>
      </c>
      <c r="CS9">
        <v>2.06</v>
      </c>
      <c r="CT9">
        <v>4.1</v>
      </c>
      <c r="CU9">
        <v>143</v>
      </c>
      <c r="CV9">
        <v>109</v>
      </c>
      <c r="CW9">
        <v>31</v>
      </c>
      <c r="CX9">
        <v>7.1</v>
      </c>
      <c r="DE9">
        <v>3.53</v>
      </c>
      <c r="DF9">
        <v>11.16</v>
      </c>
      <c r="DG9">
        <v>1.891</v>
      </c>
      <c r="DH9">
        <v>40.7</v>
      </c>
      <c r="DI9">
        <v>4.4</v>
      </c>
      <c r="DJ9">
        <v>7.8</v>
      </c>
      <c r="DK9">
        <v>5.8</v>
      </c>
      <c r="DL9">
        <v>5.2</v>
      </c>
      <c r="DM9">
        <v>36.1</v>
      </c>
      <c r="DN9">
        <v>0.69</v>
      </c>
      <c r="DO9">
        <v>1</v>
      </c>
      <c r="DP9">
        <v>2390</v>
      </c>
      <c r="DQ9">
        <v>441</v>
      </c>
      <c r="DR9">
        <v>106</v>
      </c>
      <c r="DS9">
        <v>60</v>
      </c>
      <c r="DT9">
        <v>11.4</v>
      </c>
      <c r="DU9">
        <v>6910</v>
      </c>
      <c r="DV9">
        <v>0.44</v>
      </c>
      <c r="DW9">
        <v>0.48</v>
      </c>
      <c r="DX9" t="s">
        <v>3413</v>
      </c>
      <c r="DY9" s="62"/>
      <c r="EG9">
        <f t="shared" si="19"/>
        <v>0.6875</v>
      </c>
    </row>
    <row r="10" spans="1:137">
      <c r="A10" t="s">
        <v>3082</v>
      </c>
      <c r="B10">
        <v>1013429</v>
      </c>
      <c r="C10">
        <v>1</v>
      </c>
      <c r="D10">
        <v>47</v>
      </c>
      <c r="E10" s="54">
        <v>1.75</v>
      </c>
      <c r="F10">
        <v>75</v>
      </c>
      <c r="G10" s="54">
        <f t="shared" si="23"/>
        <v>24.4897959183673</v>
      </c>
      <c r="H10" s="55">
        <v>92</v>
      </c>
      <c r="I10" s="56">
        <v>93.82</v>
      </c>
      <c r="J10" s="57">
        <v>183.0007</v>
      </c>
      <c r="K10" s="57">
        <v>121.6751</v>
      </c>
      <c r="L10" s="57">
        <v>73.1222</v>
      </c>
      <c r="M10" s="57">
        <f t="shared" si="1"/>
        <v>0.600962727789005</v>
      </c>
      <c r="N10" s="57">
        <f t="shared" si="2"/>
        <v>59.7553306122449</v>
      </c>
      <c r="O10" s="57">
        <f t="shared" si="3"/>
        <v>39.7306448979592</v>
      </c>
      <c r="P10" s="57">
        <f t="shared" si="4"/>
        <v>23.8766367346939</v>
      </c>
      <c r="Q10" s="57">
        <f t="shared" si="5"/>
        <v>63.6072816326531</v>
      </c>
      <c r="R10" s="58">
        <v>-0.522824919441461</v>
      </c>
      <c r="S10" s="54"/>
      <c r="T10">
        <v>7.15</v>
      </c>
      <c r="U10" s="65">
        <v>1</v>
      </c>
      <c r="V10" s="65">
        <v>2</v>
      </c>
      <c r="W10" s="60">
        <f t="shared" si="6"/>
        <v>32.4</v>
      </c>
      <c r="X10" s="61">
        <v>43766</v>
      </c>
      <c r="Y10" s="61">
        <v>43764</v>
      </c>
      <c r="Z10" s="61">
        <v>43780</v>
      </c>
      <c r="AA10" s="62">
        <v>1</v>
      </c>
      <c r="AB10" s="62">
        <f t="shared" ref="AB10:AB48" si="24">DATEDIF(Y10,Z10,"D")</f>
        <v>16</v>
      </c>
      <c r="AC10" t="s">
        <v>3280</v>
      </c>
      <c r="AD10">
        <v>13622151144</v>
      </c>
      <c r="AE10">
        <v>1</v>
      </c>
      <c r="AF10">
        <v>1</v>
      </c>
      <c r="AG10">
        <v>1</v>
      </c>
      <c r="AH10">
        <f t="shared" si="22"/>
        <v>1</v>
      </c>
      <c r="AI10">
        <f>_xlfn.IFS(BY10&lt;28,1,BY10=28-35,2,BY10&gt;35,3)</f>
        <v>1</v>
      </c>
      <c r="AM10" s="1">
        <f t="shared" si="9"/>
        <v>19.5</v>
      </c>
      <c r="AN10" s="1">
        <f t="shared" si="10"/>
        <v>59</v>
      </c>
      <c r="AO10" s="1"/>
      <c r="AP10" s="62"/>
      <c r="AQ10">
        <v>1</v>
      </c>
      <c r="AR10">
        <f t="shared" si="21"/>
        <v>1</v>
      </c>
      <c r="AS10">
        <v>5.05</v>
      </c>
      <c r="AT10">
        <v>2.56</v>
      </c>
      <c r="AU10">
        <v>69</v>
      </c>
      <c r="AV10">
        <v>90</v>
      </c>
      <c r="AW10">
        <v>3.41</v>
      </c>
      <c r="AX10">
        <v>1.08</v>
      </c>
      <c r="AY10">
        <v>0.5</v>
      </c>
      <c r="AZ10">
        <f t="shared" si="13"/>
        <v>3.15740740740741</v>
      </c>
      <c r="BA10">
        <f t="shared" si="14"/>
        <v>83.3333333333333</v>
      </c>
      <c r="BB10">
        <f t="shared" si="15"/>
        <v>2.16</v>
      </c>
      <c r="BC10">
        <v>5.2</v>
      </c>
      <c r="BD10">
        <v>27.6</v>
      </c>
      <c r="BE10" s="54">
        <v>1.04</v>
      </c>
      <c r="BF10">
        <v>3.34</v>
      </c>
      <c r="BM10">
        <v>0.186</v>
      </c>
      <c r="BO10">
        <v>34</v>
      </c>
      <c r="BP10">
        <v>36</v>
      </c>
      <c r="BQ10">
        <v>87</v>
      </c>
      <c r="BX10">
        <v>47</v>
      </c>
      <c r="BY10" s="63">
        <v>27</v>
      </c>
      <c r="BZ10">
        <v>20</v>
      </c>
      <c r="CA10">
        <v>6</v>
      </c>
      <c r="CB10">
        <v>12</v>
      </c>
      <c r="CC10">
        <v>43</v>
      </c>
      <c r="CD10">
        <v>14</v>
      </c>
      <c r="CE10">
        <v>203.1</v>
      </c>
      <c r="CF10">
        <v>19.5</v>
      </c>
      <c r="CG10">
        <v>5.7</v>
      </c>
      <c r="CH10" s="57">
        <f t="shared" si="16"/>
        <v>0.5</v>
      </c>
      <c r="CI10" s="57">
        <f t="shared" si="17"/>
        <v>3.07142857142857</v>
      </c>
      <c r="CJ10" s="57">
        <f t="shared" si="18"/>
        <v>3.42105263157895</v>
      </c>
      <c r="CK10">
        <v>3.11</v>
      </c>
      <c r="CL10">
        <v>1.65</v>
      </c>
      <c r="CM10">
        <v>0.66</v>
      </c>
      <c r="CN10">
        <v>1.65</v>
      </c>
      <c r="CO10">
        <v>3.5</v>
      </c>
      <c r="CP10">
        <v>59</v>
      </c>
      <c r="CQ10">
        <v>284</v>
      </c>
      <c r="CS10">
        <v>1.7</v>
      </c>
      <c r="CT10">
        <v>3.7</v>
      </c>
      <c r="CU10">
        <v>123</v>
      </c>
      <c r="CV10">
        <v>88</v>
      </c>
      <c r="CW10">
        <v>31</v>
      </c>
      <c r="CX10">
        <v>6.9</v>
      </c>
      <c r="DE10">
        <v>3.16</v>
      </c>
      <c r="DF10">
        <v>7.55</v>
      </c>
      <c r="DG10">
        <v>7.606</v>
      </c>
      <c r="DH10">
        <v>56</v>
      </c>
      <c r="DI10">
        <v>10.3</v>
      </c>
      <c r="DJ10">
        <v>7.4</v>
      </c>
      <c r="DK10">
        <v>8.8</v>
      </c>
      <c r="DL10">
        <v>3.9</v>
      </c>
      <c r="DM10">
        <v>13.6</v>
      </c>
      <c r="DN10">
        <v>1.27</v>
      </c>
      <c r="DO10">
        <v>1</v>
      </c>
      <c r="DP10">
        <v>736</v>
      </c>
      <c r="DQ10">
        <v>139</v>
      </c>
      <c r="DR10">
        <v>32.2</v>
      </c>
      <c r="DS10">
        <v>54.2</v>
      </c>
      <c r="DT10">
        <v>13.5</v>
      </c>
      <c r="DU10">
        <v>38.4</v>
      </c>
      <c r="DV10">
        <v>0.03</v>
      </c>
      <c r="DW10">
        <v>1.14</v>
      </c>
      <c r="DY10" s="62"/>
      <c r="EG10">
        <f t="shared" si="19"/>
        <v>0.558139534883721</v>
      </c>
    </row>
    <row r="11" spans="1:137">
      <c r="A11" t="s">
        <v>3091</v>
      </c>
      <c r="B11">
        <v>1060772</v>
      </c>
      <c r="C11">
        <v>1</v>
      </c>
      <c r="D11">
        <v>63</v>
      </c>
      <c r="E11" s="54">
        <v>1.68</v>
      </c>
      <c r="G11" s="54"/>
      <c r="H11" s="55">
        <v>168</v>
      </c>
      <c r="I11" s="56">
        <v>100.95</v>
      </c>
      <c r="J11" s="57">
        <v>108.807</v>
      </c>
      <c r="K11" s="57">
        <v>57.0543</v>
      </c>
      <c r="L11" s="57">
        <v>153.2484</v>
      </c>
      <c r="M11" s="57">
        <f t="shared" si="1"/>
        <v>2.68600964344493</v>
      </c>
      <c r="N11" s="57">
        <f t="shared" si="2"/>
        <v>38.5512329931973</v>
      </c>
      <c r="O11" s="57">
        <f t="shared" si="3"/>
        <v>20.2148171768707</v>
      </c>
      <c r="P11" s="57">
        <f t="shared" si="4"/>
        <v>54.297193877551</v>
      </c>
      <c r="Q11" s="57">
        <f t="shared" si="5"/>
        <v>74.5120110544218</v>
      </c>
      <c r="R11" s="58">
        <v>-0.186379928315412</v>
      </c>
      <c r="S11" s="54"/>
      <c r="T11">
        <v>0.01</v>
      </c>
      <c r="U11" s="59">
        <v>6</v>
      </c>
      <c r="V11" s="59">
        <v>3</v>
      </c>
      <c r="W11" s="60">
        <f t="shared" si="6"/>
        <v>33.05</v>
      </c>
      <c r="X11" s="61">
        <v>43766</v>
      </c>
      <c r="Y11" s="61">
        <v>43766</v>
      </c>
      <c r="Z11" s="61">
        <v>43775</v>
      </c>
      <c r="AA11" s="62">
        <v>1</v>
      </c>
      <c r="AB11" s="62">
        <f t="shared" si="24"/>
        <v>9</v>
      </c>
      <c r="AC11" t="s">
        <v>3281</v>
      </c>
      <c r="AD11">
        <v>18722682253</v>
      </c>
      <c r="AE11">
        <v>1</v>
      </c>
      <c r="AF11">
        <v>1</v>
      </c>
      <c r="AG11">
        <v>3</v>
      </c>
      <c r="AH11">
        <v>2</v>
      </c>
      <c r="AI11">
        <v>2</v>
      </c>
      <c r="AJ11">
        <f>_xlfn.IFS(BS11&lt;1.7,1,BS11=1.7-2.3,2,BS11&gt;2.3,3)</f>
        <v>1</v>
      </c>
      <c r="AK11">
        <f>AF11+AG11+AH11+AI11+AJ11</f>
        <v>9</v>
      </c>
      <c r="AL11">
        <v>2</v>
      </c>
      <c r="AM11" s="1">
        <f t="shared" si="9"/>
        <v>42.2</v>
      </c>
      <c r="AN11" s="1">
        <f t="shared" si="10"/>
        <v>135</v>
      </c>
      <c r="AO11" s="1">
        <f>BS11</f>
        <v>1.26</v>
      </c>
      <c r="AP11" s="62">
        <f>LN(IF(CF11/17.1&gt;1,CF11/17.1,1))*3.8+LN(IF(CP11/88.4&gt;1,CP11/88.4,1))*9.6+11.2*LN(BS11)+6.4*AQ11</f>
        <v>10.0858169178471</v>
      </c>
      <c r="AQ11">
        <v>0</v>
      </c>
      <c r="AR11">
        <f t="shared" si="21"/>
        <v>1</v>
      </c>
      <c r="AS11">
        <v>6.75</v>
      </c>
      <c r="AT11">
        <v>3.79</v>
      </c>
      <c r="AU11">
        <v>110</v>
      </c>
      <c r="AV11">
        <v>113</v>
      </c>
      <c r="AW11">
        <v>5.92</v>
      </c>
      <c r="AX11">
        <v>0.61</v>
      </c>
      <c r="AY11">
        <v>0.21</v>
      </c>
      <c r="AZ11">
        <f t="shared" si="13"/>
        <v>9.70491803278689</v>
      </c>
      <c r="BA11">
        <f t="shared" si="14"/>
        <v>185.245901639344</v>
      </c>
      <c r="BB11">
        <f t="shared" si="15"/>
        <v>2.9047619047619</v>
      </c>
      <c r="BC11">
        <v>1.5</v>
      </c>
      <c r="BD11">
        <v>1716.61</v>
      </c>
      <c r="BE11" s="54">
        <v>1.97</v>
      </c>
      <c r="BF11" t="s">
        <v>3414</v>
      </c>
      <c r="BJ11">
        <v>2.3</v>
      </c>
      <c r="BK11">
        <v>0.5</v>
      </c>
      <c r="BL11">
        <v>71.85</v>
      </c>
      <c r="BN11" t="s">
        <v>3415</v>
      </c>
      <c r="BR11">
        <v>13.8</v>
      </c>
      <c r="BS11">
        <v>1.26</v>
      </c>
      <c r="BT11">
        <v>35.1</v>
      </c>
      <c r="BU11">
        <v>18.6</v>
      </c>
      <c r="BV11">
        <v>2.62</v>
      </c>
      <c r="BW11">
        <v>2165</v>
      </c>
      <c r="BX11">
        <v>55</v>
      </c>
      <c r="BY11" s="63">
        <v>30</v>
      </c>
      <c r="BZ11">
        <v>25</v>
      </c>
      <c r="CA11">
        <v>5</v>
      </c>
      <c r="CB11">
        <v>20</v>
      </c>
      <c r="CC11">
        <v>65</v>
      </c>
      <c r="CD11">
        <v>10</v>
      </c>
      <c r="CE11">
        <v>154.2</v>
      </c>
      <c r="CF11">
        <v>42.2</v>
      </c>
      <c r="CG11">
        <v>22.8</v>
      </c>
      <c r="CH11" s="57">
        <f t="shared" si="16"/>
        <v>0.25</v>
      </c>
      <c r="CI11" s="57">
        <f t="shared" si="17"/>
        <v>6.5</v>
      </c>
      <c r="CJ11" s="57">
        <f t="shared" si="18"/>
        <v>1.85087719298246</v>
      </c>
      <c r="CK11">
        <v>1.66</v>
      </c>
      <c r="CL11">
        <v>0.74</v>
      </c>
      <c r="CM11">
        <v>0.4</v>
      </c>
      <c r="CN11">
        <v>0.89</v>
      </c>
      <c r="CO11">
        <v>13.7</v>
      </c>
      <c r="CP11">
        <v>135</v>
      </c>
      <c r="CQ11">
        <v>433</v>
      </c>
      <c r="CR11">
        <v>4.7</v>
      </c>
      <c r="CS11">
        <v>2.09</v>
      </c>
      <c r="CT11">
        <v>4.9</v>
      </c>
      <c r="CU11">
        <v>127</v>
      </c>
      <c r="CV11">
        <v>88</v>
      </c>
      <c r="CW11">
        <v>31</v>
      </c>
      <c r="CX11">
        <v>12.9</v>
      </c>
      <c r="CZ11">
        <v>31</v>
      </c>
      <c r="DA11" t="s">
        <v>3416</v>
      </c>
      <c r="DC11">
        <v>1846</v>
      </c>
      <c r="DE11" t="s">
        <v>3417</v>
      </c>
      <c r="DF11">
        <v>8.66</v>
      </c>
      <c r="DG11">
        <v>1.542</v>
      </c>
      <c r="DH11">
        <v>54.5</v>
      </c>
      <c r="DI11">
        <v>9</v>
      </c>
      <c r="DJ11">
        <v>9.4</v>
      </c>
      <c r="DK11">
        <v>3.1</v>
      </c>
      <c r="DL11">
        <v>4.8</v>
      </c>
      <c r="DM11">
        <v>19.2</v>
      </c>
      <c r="DN11">
        <v>1.2</v>
      </c>
      <c r="DO11">
        <v>0</v>
      </c>
      <c r="DP11">
        <v>1160</v>
      </c>
      <c r="DQ11">
        <v>209</v>
      </c>
      <c r="DR11">
        <v>86.3</v>
      </c>
      <c r="DS11">
        <v>44.3</v>
      </c>
      <c r="DT11">
        <v>21.8</v>
      </c>
      <c r="DU11">
        <v>13.8</v>
      </c>
      <c r="DV11">
        <v>0.66</v>
      </c>
      <c r="DW11">
        <v>16.6</v>
      </c>
      <c r="DY11" s="62"/>
      <c r="DZ11">
        <v>32</v>
      </c>
      <c r="EA11">
        <v>358.5</v>
      </c>
      <c r="EB11">
        <v>9</v>
      </c>
      <c r="EC11">
        <v>48.89</v>
      </c>
      <c r="ED11">
        <v>6.6</v>
      </c>
      <c r="EE11">
        <v>92</v>
      </c>
      <c r="EF11">
        <v>4.31</v>
      </c>
      <c r="EG11">
        <f t="shared" si="19"/>
        <v>0.307692307692308</v>
      </c>
    </row>
    <row r="12" spans="1:137">
      <c r="A12" t="s">
        <v>73</v>
      </c>
      <c r="B12">
        <v>1061816</v>
      </c>
      <c r="C12">
        <v>1</v>
      </c>
      <c r="D12">
        <v>68</v>
      </c>
      <c r="E12" s="54">
        <v>1.76</v>
      </c>
      <c r="F12">
        <v>60</v>
      </c>
      <c r="G12" s="54">
        <f t="shared" si="23"/>
        <v>19.3698347107438</v>
      </c>
      <c r="H12" s="55">
        <v>79</v>
      </c>
      <c r="I12" s="56"/>
      <c r="J12" s="57"/>
      <c r="K12" s="57"/>
      <c r="L12" s="57"/>
      <c r="M12" s="57"/>
      <c r="N12" s="57"/>
      <c r="O12" s="57"/>
      <c r="P12" s="57"/>
      <c r="Q12" s="57"/>
      <c r="R12" s="58"/>
      <c r="S12" s="54"/>
      <c r="T12">
        <v>0.01</v>
      </c>
      <c r="U12" s="59">
        <v>6</v>
      </c>
      <c r="V12" s="59">
        <v>3</v>
      </c>
      <c r="W12" s="60">
        <f t="shared" si="6"/>
        <v>33.95</v>
      </c>
      <c r="X12" s="61">
        <v>43773</v>
      </c>
      <c r="Y12" s="61">
        <v>43773</v>
      </c>
      <c r="Z12" s="61">
        <v>43785</v>
      </c>
      <c r="AA12" s="62">
        <v>1</v>
      </c>
      <c r="AB12" s="62">
        <f t="shared" si="24"/>
        <v>12</v>
      </c>
      <c r="AC12" t="s">
        <v>74</v>
      </c>
      <c r="AD12">
        <v>13312091217</v>
      </c>
      <c r="AE12">
        <v>1</v>
      </c>
      <c r="AF12">
        <v>1</v>
      </c>
      <c r="AG12">
        <v>2</v>
      </c>
      <c r="AH12">
        <f t="shared" ref="AH12:AH34" si="25">_xlfn.IFS(CF12&lt;34,1,CF12=34-51,2,CF12&gt;51,3)</f>
        <v>1</v>
      </c>
      <c r="AI12">
        <v>2</v>
      </c>
      <c r="AJ12">
        <f>_xlfn.IFS(BS12&lt;1.7,1,BS12=1.7-2.3,2,BS12&gt;2.3,3)</f>
        <v>1</v>
      </c>
      <c r="AK12">
        <f>AF12+AG12+AH12+AI12+AJ12</f>
        <v>7</v>
      </c>
      <c r="AL12">
        <v>2</v>
      </c>
      <c r="AM12" s="1">
        <f t="shared" si="9"/>
        <v>7.3</v>
      </c>
      <c r="AN12" s="1">
        <f t="shared" si="10"/>
        <v>329</v>
      </c>
      <c r="AO12" s="1">
        <f>BS12</f>
        <v>1.33</v>
      </c>
      <c r="AP12" s="62">
        <f>LN(IF(CF12/17.1&gt;1,CF12/17.1,1))*3.8+LN(IF(CP12/88.4&gt;1,CP12/88.4,1))*9.6+11.2*LN(BS12)+6.4*AQ12</f>
        <v>15.8101876517861</v>
      </c>
      <c r="AQ12">
        <v>0</v>
      </c>
      <c r="AR12">
        <v>2</v>
      </c>
      <c r="AS12">
        <v>2.55</v>
      </c>
      <c r="AT12">
        <v>2.6</v>
      </c>
      <c r="AU12">
        <v>77</v>
      </c>
      <c r="AV12">
        <v>35</v>
      </c>
      <c r="AW12">
        <v>1.86</v>
      </c>
      <c r="AX12">
        <v>0.19</v>
      </c>
      <c r="AY12">
        <v>0.3</v>
      </c>
      <c r="AZ12">
        <f t="shared" si="13"/>
        <v>9.78947368421053</v>
      </c>
      <c r="BA12">
        <f t="shared" si="14"/>
        <v>184.210526315789</v>
      </c>
      <c r="BB12">
        <f t="shared" si="15"/>
        <v>0.633333333333333</v>
      </c>
      <c r="BC12">
        <v>1.88</v>
      </c>
      <c r="BD12">
        <v>48.31</v>
      </c>
      <c r="BE12" s="54">
        <v>3.79</v>
      </c>
      <c r="BF12">
        <v>5.23</v>
      </c>
      <c r="BM12">
        <v>0.394</v>
      </c>
      <c r="BN12">
        <v>26</v>
      </c>
      <c r="BR12">
        <v>14.6</v>
      </c>
      <c r="BS12">
        <v>1.33</v>
      </c>
      <c r="BT12">
        <v>33.2</v>
      </c>
      <c r="BU12">
        <v>26.8</v>
      </c>
      <c r="BV12">
        <v>1.84</v>
      </c>
      <c r="BW12">
        <v>930</v>
      </c>
      <c r="BX12">
        <v>58</v>
      </c>
      <c r="BY12" s="63">
        <v>33</v>
      </c>
      <c r="BZ12">
        <v>25</v>
      </c>
      <c r="CA12">
        <v>7</v>
      </c>
      <c r="CB12">
        <v>15</v>
      </c>
      <c r="CC12">
        <v>67</v>
      </c>
      <c r="CD12">
        <v>92</v>
      </c>
      <c r="CE12">
        <v>238</v>
      </c>
      <c r="CF12">
        <v>7.3</v>
      </c>
      <c r="CG12">
        <v>2.9</v>
      </c>
      <c r="CH12" s="57">
        <f t="shared" si="16"/>
        <v>0.466666666666667</v>
      </c>
      <c r="CI12" s="57">
        <f t="shared" si="17"/>
        <v>0.728260869565217</v>
      </c>
      <c r="CJ12" s="57">
        <f t="shared" si="18"/>
        <v>2.51724137931034</v>
      </c>
      <c r="CM12">
        <v>1.07</v>
      </c>
      <c r="CN12">
        <v>1.92</v>
      </c>
      <c r="CO12">
        <v>18.4</v>
      </c>
      <c r="CP12">
        <v>329</v>
      </c>
      <c r="CQ12">
        <v>370</v>
      </c>
      <c r="CR12">
        <v>9.5</v>
      </c>
      <c r="CS12">
        <v>1.95</v>
      </c>
      <c r="CT12">
        <v>3.8</v>
      </c>
      <c r="CU12">
        <v>139</v>
      </c>
      <c r="CV12">
        <v>108</v>
      </c>
      <c r="CW12">
        <v>22</v>
      </c>
      <c r="CX12">
        <v>12.8</v>
      </c>
      <c r="CZ12">
        <v>748</v>
      </c>
      <c r="DA12">
        <v>49</v>
      </c>
      <c r="DB12">
        <v>0.081</v>
      </c>
      <c r="DC12">
        <v>8359</v>
      </c>
      <c r="DE12">
        <v>3</v>
      </c>
      <c r="DF12">
        <v>8.91</v>
      </c>
      <c r="DG12">
        <v>0.44</v>
      </c>
      <c r="DH12">
        <v>58</v>
      </c>
      <c r="DI12">
        <v>4.6</v>
      </c>
      <c r="DJ12">
        <v>8.2</v>
      </c>
      <c r="DK12">
        <v>6</v>
      </c>
      <c r="DL12">
        <v>4.7</v>
      </c>
      <c r="DM12">
        <v>18.5</v>
      </c>
      <c r="DN12">
        <v>1.38</v>
      </c>
      <c r="DO12">
        <v>0</v>
      </c>
      <c r="DP12">
        <v>1120</v>
      </c>
      <c r="DQ12">
        <v>274</v>
      </c>
      <c r="DR12">
        <v>65.5</v>
      </c>
      <c r="DS12">
        <v>48.9</v>
      </c>
      <c r="DT12">
        <v>15.1</v>
      </c>
      <c r="DU12">
        <v>20.2</v>
      </c>
      <c r="DW12">
        <v>0.7</v>
      </c>
      <c r="DY12" s="62">
        <v>4</v>
      </c>
      <c r="DZ12">
        <v>27</v>
      </c>
      <c r="EA12">
        <v>85.5</v>
      </c>
      <c r="EB12">
        <v>4.4</v>
      </c>
      <c r="EC12">
        <v>2.16</v>
      </c>
      <c r="ED12">
        <v>17.9</v>
      </c>
      <c r="EE12">
        <v>109</v>
      </c>
      <c r="EF12">
        <v>0.79</v>
      </c>
      <c r="EG12">
        <f t="shared" si="19"/>
        <v>0.417910447761194</v>
      </c>
    </row>
    <row r="13" spans="1:137">
      <c r="A13" t="s">
        <v>76</v>
      </c>
      <c r="B13">
        <v>1061391</v>
      </c>
      <c r="C13">
        <v>1</v>
      </c>
      <c r="D13">
        <v>58</v>
      </c>
      <c r="E13" s="54">
        <v>1.69</v>
      </c>
      <c r="F13">
        <v>76</v>
      </c>
      <c r="G13" s="54">
        <f t="shared" si="23"/>
        <v>26.609712545079</v>
      </c>
      <c r="H13" s="55">
        <v>99</v>
      </c>
      <c r="I13" s="56">
        <v>97.809</v>
      </c>
      <c r="J13" s="57">
        <v>140.6806</v>
      </c>
      <c r="K13" s="57">
        <v>140.8421</v>
      </c>
      <c r="L13" s="57">
        <v>175.5412</v>
      </c>
      <c r="M13" s="57">
        <f>P13/O13</f>
        <v>1.24636880591812</v>
      </c>
      <c r="N13" s="57">
        <f>J13/(E13*E13)</f>
        <v>49.2561885088057</v>
      </c>
      <c r="O13" s="57">
        <f>K13/(E13*E13)</f>
        <v>49.312734147964</v>
      </c>
      <c r="P13" s="57">
        <f>L13/(E13*E13)</f>
        <v>61.4618535765554</v>
      </c>
      <c r="Q13" s="57">
        <f>O13+P13</f>
        <v>110.77458772452</v>
      </c>
      <c r="R13" s="58">
        <v>-0.470467032967033</v>
      </c>
      <c r="S13" s="54"/>
      <c r="T13">
        <v>4.28</v>
      </c>
      <c r="U13" s="64">
        <v>0</v>
      </c>
      <c r="V13" s="64">
        <v>1</v>
      </c>
      <c r="W13" s="60">
        <f t="shared" si="6"/>
        <v>42.4</v>
      </c>
      <c r="X13" s="61">
        <v>43773</v>
      </c>
      <c r="Y13" s="61">
        <v>43770</v>
      </c>
      <c r="Z13" s="61">
        <v>43785</v>
      </c>
      <c r="AA13" s="62">
        <v>1</v>
      </c>
      <c r="AB13" s="62">
        <f t="shared" si="24"/>
        <v>15</v>
      </c>
      <c r="AC13" t="s">
        <v>77</v>
      </c>
      <c r="AD13">
        <v>13612005232</v>
      </c>
      <c r="AE13">
        <v>0</v>
      </c>
      <c r="AF13">
        <v>1</v>
      </c>
      <c r="AG13">
        <v>1</v>
      </c>
      <c r="AH13">
        <f t="shared" si="25"/>
        <v>1</v>
      </c>
      <c r="AI13">
        <v>2</v>
      </c>
      <c r="AJ13">
        <f>_xlfn.IFS(BS13&lt;1.7,1,BS13=1.7-2.3,2,BS13&gt;2.3,3)</f>
        <v>1</v>
      </c>
      <c r="AK13">
        <f>AF13+AG13+AH13+AI13+AJ13</f>
        <v>6</v>
      </c>
      <c r="AL13">
        <f>_xlfn.IFS(AK13&lt;7,1,AK13=7-9,2,AK13&gt;9,3)</f>
        <v>1</v>
      </c>
      <c r="AM13" s="1">
        <f t="shared" si="9"/>
        <v>11.2</v>
      </c>
      <c r="AN13" s="1">
        <f t="shared" si="10"/>
        <v>65</v>
      </c>
      <c r="AO13" s="1">
        <f>BS13</f>
        <v>1.12</v>
      </c>
      <c r="AP13" s="62">
        <f>LN(IF(CF13/17.1&gt;1,CF13/17.1,1))*3.8+LN(IF(CP13/88.4&gt;1,CP13/88.4,1))*9.6+11.2*LN(BS13)+6.4*AQ13</f>
        <v>7.66928127543844</v>
      </c>
      <c r="AQ13">
        <v>1</v>
      </c>
      <c r="AR13">
        <f>_xlfn.IFS(AP13&lt;15,1,AP13=15-18,2,AP13&gt;18,3)</f>
        <v>1</v>
      </c>
      <c r="AS13">
        <v>4.43</v>
      </c>
      <c r="AT13">
        <v>3.58</v>
      </c>
      <c r="AU13">
        <v>111</v>
      </c>
      <c r="AV13">
        <v>148</v>
      </c>
      <c r="AW13">
        <v>2.34</v>
      </c>
      <c r="AX13">
        <v>1.68</v>
      </c>
      <c r="AY13">
        <v>0.35</v>
      </c>
      <c r="AZ13">
        <f t="shared" si="13"/>
        <v>1.39285714285714</v>
      </c>
      <c r="BA13">
        <f t="shared" si="14"/>
        <v>88.0952380952381</v>
      </c>
      <c r="BB13">
        <f t="shared" si="15"/>
        <v>4.8</v>
      </c>
      <c r="BC13">
        <v>3.06</v>
      </c>
      <c r="BD13">
        <v>66.35</v>
      </c>
      <c r="BE13" s="54">
        <v>2.72</v>
      </c>
      <c r="BF13">
        <v>3.25</v>
      </c>
      <c r="BM13">
        <v>1.04</v>
      </c>
      <c r="BR13">
        <v>12.2</v>
      </c>
      <c r="BS13">
        <v>1.12</v>
      </c>
      <c r="BT13">
        <v>25.8</v>
      </c>
      <c r="BU13">
        <v>23.2</v>
      </c>
      <c r="BV13">
        <v>2.23</v>
      </c>
      <c r="BW13">
        <v>626</v>
      </c>
      <c r="BX13">
        <v>60</v>
      </c>
      <c r="BY13" s="63">
        <v>34</v>
      </c>
      <c r="BZ13">
        <v>23</v>
      </c>
      <c r="CA13">
        <v>52</v>
      </c>
      <c r="CB13">
        <v>30</v>
      </c>
      <c r="CC13">
        <v>64</v>
      </c>
      <c r="CD13">
        <v>28</v>
      </c>
      <c r="CE13">
        <v>146.6</v>
      </c>
      <c r="CF13">
        <v>11.2</v>
      </c>
      <c r="CG13">
        <v>3</v>
      </c>
      <c r="CH13" s="57">
        <f t="shared" si="16"/>
        <v>1.73333333333333</v>
      </c>
      <c r="CI13" s="57">
        <f t="shared" si="17"/>
        <v>2.28571428571429</v>
      </c>
      <c r="CJ13" s="57">
        <f t="shared" si="18"/>
        <v>3.73333333333333</v>
      </c>
      <c r="CK13">
        <v>4.52</v>
      </c>
      <c r="CL13">
        <v>1.22</v>
      </c>
      <c r="CM13">
        <v>1.16</v>
      </c>
      <c r="CN13">
        <v>2.59</v>
      </c>
      <c r="CO13">
        <v>5</v>
      </c>
      <c r="CP13">
        <v>65</v>
      </c>
      <c r="CQ13">
        <v>297</v>
      </c>
      <c r="CR13">
        <v>4.8</v>
      </c>
      <c r="CS13">
        <v>2</v>
      </c>
      <c r="CT13">
        <v>3.8</v>
      </c>
      <c r="CU13">
        <v>144</v>
      </c>
      <c r="CV13">
        <v>112</v>
      </c>
      <c r="CW13">
        <v>29</v>
      </c>
      <c r="CX13">
        <v>6.8</v>
      </c>
      <c r="DE13">
        <v>4.58</v>
      </c>
      <c r="DF13">
        <v>11.03</v>
      </c>
      <c r="DG13">
        <v>0.819</v>
      </c>
      <c r="DY13" s="62"/>
      <c r="EG13">
        <f t="shared" si="19"/>
        <v>3.25</v>
      </c>
    </row>
    <row r="14" spans="1:137">
      <c r="A14" t="s">
        <v>79</v>
      </c>
      <c r="B14">
        <v>1061567</v>
      </c>
      <c r="C14">
        <v>1</v>
      </c>
      <c r="D14">
        <v>45</v>
      </c>
      <c r="E14" s="54">
        <v>1.7</v>
      </c>
      <c r="F14">
        <v>65</v>
      </c>
      <c r="G14" s="54">
        <f t="shared" si="23"/>
        <v>22.4913494809689</v>
      </c>
      <c r="H14" s="55">
        <v>91</v>
      </c>
      <c r="I14" s="56">
        <v>94.086</v>
      </c>
      <c r="J14" s="57">
        <v>151.8119</v>
      </c>
      <c r="K14" s="57">
        <v>98.9789</v>
      </c>
      <c r="L14" s="57">
        <v>138.0966</v>
      </c>
      <c r="M14" s="57">
        <f>P14/O14</f>
        <v>1.39521251499057</v>
      </c>
      <c r="N14" s="57">
        <f>J14/(E14*E14)</f>
        <v>52.5300692041523</v>
      </c>
      <c r="O14" s="57">
        <f>K14/(E14*E14)</f>
        <v>34.2487543252595</v>
      </c>
      <c r="P14" s="57">
        <f>L14/(E14*E14)</f>
        <v>47.7842906574394</v>
      </c>
      <c r="Q14" s="57">
        <f>O14+P14</f>
        <v>82.033044982699</v>
      </c>
      <c r="R14" s="58">
        <v>-0.598241985522234</v>
      </c>
      <c r="S14" s="54"/>
      <c r="T14">
        <v>7.1</v>
      </c>
      <c r="U14" s="65">
        <v>1</v>
      </c>
      <c r="V14" s="65">
        <v>2</v>
      </c>
      <c r="W14" s="60">
        <f t="shared" si="6"/>
        <v>37.4</v>
      </c>
      <c r="X14" s="61">
        <v>43773</v>
      </c>
      <c r="Y14" s="61">
        <v>43771</v>
      </c>
      <c r="Z14" s="61">
        <v>43787</v>
      </c>
      <c r="AA14" s="62">
        <v>1</v>
      </c>
      <c r="AB14" s="62">
        <f t="shared" si="24"/>
        <v>16</v>
      </c>
      <c r="AC14" t="s">
        <v>80</v>
      </c>
      <c r="AD14">
        <v>15942921918</v>
      </c>
      <c r="AE14">
        <v>1</v>
      </c>
      <c r="AF14">
        <v>1</v>
      </c>
      <c r="AG14">
        <v>2</v>
      </c>
      <c r="AH14">
        <f t="shared" si="25"/>
        <v>1</v>
      </c>
      <c r="AI14">
        <f>_xlfn.IFS(BY14&lt;28,1,BY14=28-35,2,BY14&gt;35,3)</f>
        <v>3</v>
      </c>
      <c r="AJ14">
        <f>_xlfn.IFS(BS14&lt;1.7,1,BS14=1.7-2.3,2,BS14&gt;2.3,3)</f>
        <v>1</v>
      </c>
      <c r="AK14">
        <f>AF14+AG14+AH14+AI14+AJ14</f>
        <v>8</v>
      </c>
      <c r="AL14">
        <v>2</v>
      </c>
      <c r="AM14" s="1">
        <f t="shared" si="9"/>
        <v>11.9</v>
      </c>
      <c r="AN14" s="1">
        <f t="shared" si="10"/>
        <v>70</v>
      </c>
      <c r="AO14" s="1">
        <f>BS14</f>
        <v>1.27</v>
      </c>
      <c r="AP14" s="62">
        <f>LN(IF(CF14/17.1&gt;1,CF14/17.1,1))*3.8+LN(IF(CP14/88.4&gt;1,CP14/88.4,1))*9.6+11.2*LN(BS14)+6.4*AQ14</f>
        <v>9.0769892852696</v>
      </c>
      <c r="AQ14">
        <v>1</v>
      </c>
      <c r="AR14">
        <f>_xlfn.IFS(AP14&lt;15,1,AP14=15-18,2,AP14&gt;18,3)</f>
        <v>1</v>
      </c>
      <c r="AS14">
        <v>1.22</v>
      </c>
      <c r="AT14">
        <v>3.1</v>
      </c>
      <c r="AU14">
        <v>74</v>
      </c>
      <c r="AV14">
        <v>33</v>
      </c>
      <c r="AW14">
        <v>0.81</v>
      </c>
      <c r="AX14">
        <v>0.28</v>
      </c>
      <c r="AY14">
        <v>0.09</v>
      </c>
      <c r="AZ14">
        <f t="shared" si="13"/>
        <v>2.89285714285714</v>
      </c>
      <c r="BA14">
        <f t="shared" si="14"/>
        <v>117.857142857143</v>
      </c>
      <c r="BB14">
        <f t="shared" si="15"/>
        <v>3.11111111111111</v>
      </c>
      <c r="BC14">
        <v>1.78</v>
      </c>
      <c r="BD14">
        <v>12.32</v>
      </c>
      <c r="BE14" s="54">
        <v>1.63</v>
      </c>
      <c r="BF14">
        <v>17.27</v>
      </c>
      <c r="BM14">
        <v>0.548</v>
      </c>
      <c r="BR14">
        <v>13.9</v>
      </c>
      <c r="BS14">
        <v>1.27</v>
      </c>
      <c r="BT14">
        <v>28.9</v>
      </c>
      <c r="BU14">
        <v>23.9</v>
      </c>
      <c r="BV14">
        <v>1.43</v>
      </c>
      <c r="BW14">
        <v>3171</v>
      </c>
      <c r="BX14">
        <v>58</v>
      </c>
      <c r="BY14" s="63">
        <v>36</v>
      </c>
      <c r="BZ14">
        <v>22</v>
      </c>
      <c r="CA14">
        <v>15</v>
      </c>
      <c r="CB14">
        <v>22</v>
      </c>
      <c r="CC14">
        <v>69</v>
      </c>
      <c r="CD14">
        <v>14</v>
      </c>
      <c r="CE14">
        <v>123.1</v>
      </c>
      <c r="CF14">
        <v>11.9</v>
      </c>
      <c r="CG14">
        <v>4.5</v>
      </c>
      <c r="CH14" s="57">
        <f t="shared" si="16"/>
        <v>0.681818181818182</v>
      </c>
      <c r="CI14" s="57">
        <f t="shared" si="17"/>
        <v>4.92857142857143</v>
      </c>
      <c r="CJ14" s="57">
        <f t="shared" si="18"/>
        <v>2.64444444444444</v>
      </c>
      <c r="CK14">
        <v>2.4</v>
      </c>
      <c r="CL14">
        <v>0.9</v>
      </c>
      <c r="CM14">
        <v>0.71</v>
      </c>
      <c r="CN14">
        <v>1.22</v>
      </c>
      <c r="CO14">
        <v>3.1</v>
      </c>
      <c r="CP14">
        <v>70</v>
      </c>
      <c r="CQ14">
        <v>270</v>
      </c>
      <c r="CR14">
        <v>4.9</v>
      </c>
      <c r="CS14">
        <v>2.1</v>
      </c>
      <c r="CT14">
        <v>3.5</v>
      </c>
      <c r="CU14">
        <v>143</v>
      </c>
      <c r="CV14">
        <v>110</v>
      </c>
      <c r="CW14">
        <v>25</v>
      </c>
      <c r="CX14">
        <v>11.5</v>
      </c>
      <c r="DE14">
        <v>4.4</v>
      </c>
      <c r="DF14">
        <v>11.61</v>
      </c>
      <c r="DG14">
        <v>1.664</v>
      </c>
      <c r="DH14">
        <v>59.8</v>
      </c>
      <c r="DI14">
        <v>4.2</v>
      </c>
      <c r="DJ14">
        <v>9.3</v>
      </c>
      <c r="DK14">
        <v>6</v>
      </c>
      <c r="DL14">
        <v>3.6</v>
      </c>
      <c r="DM14">
        <v>17.1</v>
      </c>
      <c r="DN14">
        <v>1.49</v>
      </c>
      <c r="DO14">
        <v>1</v>
      </c>
      <c r="DP14">
        <v>967</v>
      </c>
      <c r="DQ14">
        <v>129</v>
      </c>
      <c r="DR14">
        <v>43.3</v>
      </c>
      <c r="DS14">
        <v>50.3</v>
      </c>
      <c r="DT14">
        <v>14.6</v>
      </c>
      <c r="DU14">
        <v>52.3</v>
      </c>
      <c r="DV14">
        <v>0.33</v>
      </c>
      <c r="DW14">
        <v>0.28</v>
      </c>
      <c r="DY14" s="62"/>
      <c r="EG14">
        <f t="shared" si="19"/>
        <v>0.869565217391304</v>
      </c>
    </row>
    <row r="15" spans="1:137">
      <c r="A15" t="s">
        <v>82</v>
      </c>
      <c r="B15">
        <v>1061874</v>
      </c>
      <c r="C15">
        <v>2</v>
      </c>
      <c r="D15">
        <v>69</v>
      </c>
      <c r="E15" s="54">
        <v>1.6</v>
      </c>
      <c r="F15">
        <v>60</v>
      </c>
      <c r="G15" s="54">
        <f t="shared" si="23"/>
        <v>23.4375</v>
      </c>
      <c r="H15" s="55">
        <v>94</v>
      </c>
      <c r="I15" s="56"/>
      <c r="J15" s="57"/>
      <c r="K15" s="57"/>
      <c r="L15" s="57"/>
      <c r="M15" s="57"/>
      <c r="N15" s="57"/>
      <c r="O15" s="57"/>
      <c r="P15" s="57"/>
      <c r="Q15" s="57"/>
      <c r="R15" s="58"/>
      <c r="S15" s="54"/>
      <c r="T15">
        <v>0.01</v>
      </c>
      <c r="U15" s="64">
        <v>0</v>
      </c>
      <c r="V15" s="64">
        <v>1</v>
      </c>
      <c r="W15" s="60">
        <f t="shared" si="6"/>
        <v>32.6</v>
      </c>
      <c r="X15" s="61">
        <v>43774</v>
      </c>
      <c r="Y15" s="61">
        <v>43773</v>
      </c>
      <c r="Z15" s="61">
        <v>43783</v>
      </c>
      <c r="AA15" s="62">
        <v>1</v>
      </c>
      <c r="AB15" s="62">
        <f t="shared" si="24"/>
        <v>10</v>
      </c>
      <c r="AC15" t="s">
        <v>83</v>
      </c>
      <c r="AD15">
        <v>18722252060</v>
      </c>
      <c r="AE15">
        <v>0</v>
      </c>
      <c r="AF15">
        <v>1</v>
      </c>
      <c r="AG15">
        <v>1</v>
      </c>
      <c r="AH15">
        <f t="shared" si="25"/>
        <v>1</v>
      </c>
      <c r="AI15">
        <v>2</v>
      </c>
      <c r="AM15" s="1">
        <f t="shared" si="9"/>
        <v>31.9</v>
      </c>
      <c r="AN15" s="1">
        <f t="shared" si="10"/>
        <v>39</v>
      </c>
      <c r="AO15" s="1"/>
      <c r="AP15" s="62"/>
      <c r="AQ15">
        <v>0</v>
      </c>
      <c r="AR15">
        <f>_xlfn.IFS(AP15&lt;15,1,AP15=15-18,2,AP15&gt;18,3)</f>
        <v>1</v>
      </c>
      <c r="AS15">
        <v>3.97</v>
      </c>
      <c r="AT15">
        <v>3.66</v>
      </c>
      <c r="AU15">
        <v>124</v>
      </c>
      <c r="AV15">
        <v>90</v>
      </c>
      <c r="AW15">
        <v>2.65</v>
      </c>
      <c r="AX15">
        <v>0.92</v>
      </c>
      <c r="AY15">
        <v>0.38</v>
      </c>
      <c r="AZ15">
        <f t="shared" si="13"/>
        <v>2.8804347826087</v>
      </c>
      <c r="BA15">
        <f t="shared" si="14"/>
        <v>97.8260869565217</v>
      </c>
      <c r="BB15">
        <f t="shared" si="15"/>
        <v>2.42105263157895</v>
      </c>
      <c r="BC15">
        <v>4.52</v>
      </c>
      <c r="BD15">
        <v>123.69</v>
      </c>
      <c r="BE15" s="54">
        <v>3.45</v>
      </c>
      <c r="BF15">
        <v>9.1</v>
      </c>
      <c r="BG15">
        <v>21.8</v>
      </c>
      <c r="BH15">
        <v>37</v>
      </c>
      <c r="BI15">
        <v>63</v>
      </c>
      <c r="BX15">
        <v>71</v>
      </c>
      <c r="BY15" s="63">
        <v>28</v>
      </c>
      <c r="BZ15">
        <v>43</v>
      </c>
      <c r="CA15">
        <v>72</v>
      </c>
      <c r="CB15">
        <v>110</v>
      </c>
      <c r="CC15">
        <v>152</v>
      </c>
      <c r="CD15">
        <v>32</v>
      </c>
      <c r="CE15">
        <v>256.2</v>
      </c>
      <c r="CF15">
        <v>31.9</v>
      </c>
      <c r="CG15">
        <v>15.2</v>
      </c>
      <c r="CH15" s="57">
        <f t="shared" si="16"/>
        <v>0.654545454545455</v>
      </c>
      <c r="CI15" s="57">
        <f t="shared" si="17"/>
        <v>4.75</v>
      </c>
      <c r="CJ15" s="57">
        <f t="shared" si="18"/>
        <v>2.09868421052632</v>
      </c>
      <c r="CK15">
        <v>3.13</v>
      </c>
      <c r="CL15">
        <v>0.81</v>
      </c>
      <c r="CM15">
        <v>0.7</v>
      </c>
      <c r="CN15">
        <v>1.86</v>
      </c>
      <c r="CO15">
        <v>3.9</v>
      </c>
      <c r="CP15">
        <v>39</v>
      </c>
      <c r="CQ15">
        <v>181</v>
      </c>
      <c r="CS15">
        <v>2.1</v>
      </c>
      <c r="CT15">
        <v>3.6</v>
      </c>
      <c r="CU15">
        <v>142</v>
      </c>
      <c r="CV15">
        <v>107</v>
      </c>
      <c r="CZ15">
        <v>70</v>
      </c>
      <c r="DA15">
        <v>53</v>
      </c>
      <c r="DB15">
        <v>0.034</v>
      </c>
      <c r="DE15">
        <v>4.45</v>
      </c>
      <c r="DF15">
        <v>9.78</v>
      </c>
      <c r="DG15">
        <v>1.589</v>
      </c>
      <c r="DH15">
        <v>41.3</v>
      </c>
      <c r="DI15">
        <v>4</v>
      </c>
      <c r="DJ15">
        <v>8.1</v>
      </c>
      <c r="DK15">
        <v>5.2</v>
      </c>
      <c r="DL15">
        <v>7.7</v>
      </c>
      <c r="DM15">
        <v>33.7</v>
      </c>
      <c r="DN15">
        <v>0.7</v>
      </c>
      <c r="DO15">
        <v>1</v>
      </c>
      <c r="DP15">
        <v>1880</v>
      </c>
      <c r="DQ15">
        <v>562</v>
      </c>
      <c r="DR15">
        <v>412</v>
      </c>
      <c r="DS15">
        <v>53.3</v>
      </c>
      <c r="DT15">
        <v>13.2</v>
      </c>
      <c r="DU15">
        <v>26.9</v>
      </c>
      <c r="DV15">
        <v>1.19</v>
      </c>
      <c r="DW15">
        <v>2.53</v>
      </c>
      <c r="DX15">
        <v>0.05</v>
      </c>
      <c r="DY15" s="62"/>
      <c r="EG15">
        <f t="shared" si="19"/>
        <v>1.89473684210526</v>
      </c>
    </row>
    <row r="16" spans="1:137">
      <c r="A16" t="s">
        <v>85</v>
      </c>
      <c r="B16">
        <v>1060027</v>
      </c>
      <c r="C16">
        <v>2</v>
      </c>
      <c r="D16">
        <v>38</v>
      </c>
      <c r="E16" s="54">
        <v>1.62</v>
      </c>
      <c r="F16">
        <v>55</v>
      </c>
      <c r="G16" s="54">
        <f t="shared" si="23"/>
        <v>20.9571711629325</v>
      </c>
      <c r="H16" s="55">
        <v>80</v>
      </c>
      <c r="I16" s="56">
        <v>85.082</v>
      </c>
      <c r="J16" s="57">
        <v>126.8259</v>
      </c>
      <c r="K16" s="57">
        <v>60.8434</v>
      </c>
      <c r="L16" s="57">
        <v>3.8027</v>
      </c>
      <c r="M16" s="57">
        <f>P16/O16</f>
        <v>0.0624997945545449</v>
      </c>
      <c r="N16" s="57">
        <f>J16/(E16*E16)</f>
        <v>48.325674439872</v>
      </c>
      <c r="O16" s="57">
        <f>K16/(E16*E16)</f>
        <v>23.1837372351776</v>
      </c>
      <c r="P16" s="57">
        <f>L16/(E16*E16)</f>
        <v>1.44897881420515</v>
      </c>
      <c r="Q16" s="57">
        <f>O16+P16</f>
        <v>24.6327160493828</v>
      </c>
      <c r="R16" s="58">
        <v>-1.04100652376514</v>
      </c>
      <c r="S16" s="54"/>
      <c r="T16">
        <v>5.19</v>
      </c>
      <c r="U16" s="64">
        <v>0</v>
      </c>
      <c r="V16" s="64">
        <v>1</v>
      </c>
      <c r="W16" s="60">
        <f t="shared" si="6"/>
        <v>35.3</v>
      </c>
      <c r="X16" s="61">
        <v>43775</v>
      </c>
      <c r="Y16" s="61">
        <v>43761</v>
      </c>
      <c r="Z16" s="61">
        <v>43775</v>
      </c>
      <c r="AA16" s="62">
        <v>1</v>
      </c>
      <c r="AB16" s="62">
        <f t="shared" si="24"/>
        <v>14</v>
      </c>
      <c r="AC16" t="s">
        <v>86</v>
      </c>
      <c r="AD16">
        <v>13820886306</v>
      </c>
      <c r="AE16">
        <v>1</v>
      </c>
      <c r="AF16">
        <v>1</v>
      </c>
      <c r="AG16">
        <v>3</v>
      </c>
      <c r="AH16">
        <f t="shared" si="25"/>
        <v>3</v>
      </c>
      <c r="AI16">
        <v>2</v>
      </c>
      <c r="AJ16">
        <f t="shared" ref="AJ16:AJ49" si="26">_xlfn.IFS(BS16&lt;1.7,1,BS16=1.7-2.3,2,BS16&gt;2.3,3)</f>
        <v>1</v>
      </c>
      <c r="AK16">
        <f t="shared" ref="AK16:AK49" si="27">AF16+AG16+AH16+AI16+AJ16</f>
        <v>10</v>
      </c>
      <c r="AL16">
        <f>_xlfn.IFS(AK16&lt;7,1,AK16=7-9,2,AK16&gt;9,3)</f>
        <v>3</v>
      </c>
      <c r="AM16" s="1">
        <f t="shared" si="9"/>
        <v>57.1</v>
      </c>
      <c r="AN16" s="1">
        <f t="shared" si="10"/>
        <v>53</v>
      </c>
      <c r="AO16" s="1">
        <f t="shared" ref="AO16:AO49" si="28">BS16</f>
        <v>1.58</v>
      </c>
      <c r="AP16" s="62">
        <f t="shared" ref="AP16:AP49" si="29">LN(IF(CF16/17.1&gt;1,CF16/17.1,1))*3.8+LN(IF(CP16/88.4&gt;1,CP16/88.4,1))*9.6+11.2*LN(BS16)+6.4*AQ16</f>
        <v>16.1049157688181</v>
      </c>
      <c r="AQ16">
        <v>1</v>
      </c>
      <c r="AR16">
        <v>2</v>
      </c>
      <c r="AS16">
        <v>4.07</v>
      </c>
      <c r="AT16">
        <v>4.29</v>
      </c>
      <c r="AU16">
        <v>136</v>
      </c>
      <c r="AV16">
        <v>245</v>
      </c>
      <c r="AW16">
        <v>2.91</v>
      </c>
      <c r="AX16">
        <v>0.66</v>
      </c>
      <c r="AY16">
        <v>0.37</v>
      </c>
      <c r="AZ16">
        <f t="shared" si="13"/>
        <v>4.40909090909091</v>
      </c>
      <c r="BA16">
        <f t="shared" si="14"/>
        <v>371.212121212121</v>
      </c>
      <c r="BB16">
        <f t="shared" si="15"/>
        <v>1.78378378378378</v>
      </c>
      <c r="BC16">
        <v>3.19</v>
      </c>
      <c r="BD16">
        <v>109.24</v>
      </c>
      <c r="BE16" s="54">
        <v>2.77</v>
      </c>
      <c r="BF16" t="s">
        <v>3414</v>
      </c>
      <c r="BG16">
        <v>13.8</v>
      </c>
      <c r="BI16">
        <v>56.8</v>
      </c>
      <c r="BR16">
        <v>17.3</v>
      </c>
      <c r="BS16">
        <v>1.58</v>
      </c>
      <c r="BT16">
        <v>38.7</v>
      </c>
      <c r="BU16">
        <v>23.6</v>
      </c>
      <c r="BV16">
        <v>1.61</v>
      </c>
      <c r="BW16">
        <v>684</v>
      </c>
      <c r="BX16">
        <v>59</v>
      </c>
      <c r="BY16" s="63">
        <v>32</v>
      </c>
      <c r="BZ16">
        <v>27</v>
      </c>
      <c r="CA16">
        <v>27</v>
      </c>
      <c r="CB16">
        <v>37</v>
      </c>
      <c r="CC16">
        <v>110</v>
      </c>
      <c r="CD16">
        <v>38</v>
      </c>
      <c r="CE16">
        <v>243.2</v>
      </c>
      <c r="CF16">
        <v>57.1</v>
      </c>
      <c r="CG16">
        <v>26</v>
      </c>
      <c r="CH16" s="57">
        <f t="shared" si="16"/>
        <v>0.72972972972973</v>
      </c>
      <c r="CI16" s="57">
        <f t="shared" si="17"/>
        <v>2.89473684210526</v>
      </c>
      <c r="CJ16" s="57">
        <f t="shared" si="18"/>
        <v>2.19615384615385</v>
      </c>
      <c r="CK16">
        <v>5.23</v>
      </c>
      <c r="CL16">
        <v>1.26</v>
      </c>
      <c r="CM16">
        <v>0.93</v>
      </c>
      <c r="CN16">
        <v>3.15</v>
      </c>
      <c r="CO16">
        <v>2.2</v>
      </c>
      <c r="CP16">
        <v>53</v>
      </c>
      <c r="CQ16">
        <v>244</v>
      </c>
      <c r="CR16">
        <v>3</v>
      </c>
      <c r="CS16">
        <v>2.15</v>
      </c>
      <c r="CT16">
        <v>4</v>
      </c>
      <c r="CU16">
        <v>142</v>
      </c>
      <c r="CV16">
        <v>105</v>
      </c>
      <c r="CW16">
        <v>24</v>
      </c>
      <c r="CX16">
        <v>17</v>
      </c>
      <c r="DE16">
        <v>2.93</v>
      </c>
      <c r="DF16">
        <v>11.24</v>
      </c>
      <c r="DG16">
        <v>2.724</v>
      </c>
      <c r="DO16">
        <v>0</v>
      </c>
      <c r="DY16" s="62"/>
      <c r="EG16">
        <f t="shared" si="19"/>
        <v>0.981818181818182</v>
      </c>
    </row>
    <row r="17" spans="1:137">
      <c r="A17" t="s">
        <v>3073</v>
      </c>
      <c r="B17">
        <v>1061248</v>
      </c>
      <c r="C17">
        <v>1</v>
      </c>
      <c r="D17">
        <v>66</v>
      </c>
      <c r="E17" s="54">
        <v>1.73</v>
      </c>
      <c r="F17">
        <v>68</v>
      </c>
      <c r="G17" s="54">
        <f t="shared" si="23"/>
        <v>22.7204383708109</v>
      </c>
      <c r="H17" s="55">
        <v>79.5</v>
      </c>
      <c r="I17" s="66">
        <v>76.454</v>
      </c>
      <c r="J17" s="57">
        <v>123.4744</v>
      </c>
      <c r="K17" s="57">
        <v>58.23</v>
      </c>
      <c r="L17" s="57">
        <v>34.2731</v>
      </c>
      <c r="M17" s="57">
        <f>P17/O17</f>
        <v>0.588581487205908</v>
      </c>
      <c r="N17" s="57">
        <f>J17/(E17*E17)</f>
        <v>41.2557719937185</v>
      </c>
      <c r="O17" s="57">
        <f>K17/(E17*E17)</f>
        <v>19.4560459754753</v>
      </c>
      <c r="P17" s="57">
        <f>L17/(E17*E17)</f>
        <v>11.4514684753918</v>
      </c>
      <c r="Q17" s="57">
        <f>O17+P17</f>
        <v>30.9075144508671</v>
      </c>
      <c r="R17" s="58">
        <v>-0.680088776157261</v>
      </c>
      <c r="S17" s="54"/>
      <c r="T17">
        <v>7.63</v>
      </c>
      <c r="U17" s="65">
        <v>1</v>
      </c>
      <c r="V17" s="65">
        <v>2</v>
      </c>
      <c r="W17" s="60">
        <f t="shared" si="6"/>
        <v>23.55</v>
      </c>
      <c r="X17" s="61">
        <v>43770</v>
      </c>
      <c r="Y17" s="61">
        <v>43769</v>
      </c>
      <c r="Z17" s="61">
        <v>43787</v>
      </c>
      <c r="AA17" s="62">
        <v>1</v>
      </c>
      <c r="AB17" s="62">
        <f t="shared" si="24"/>
        <v>18</v>
      </c>
      <c r="AC17" t="s">
        <v>3282</v>
      </c>
      <c r="AD17">
        <v>18602292059</v>
      </c>
      <c r="AE17">
        <v>1</v>
      </c>
      <c r="AF17">
        <v>1</v>
      </c>
      <c r="AG17">
        <v>3</v>
      </c>
      <c r="AH17">
        <f t="shared" si="25"/>
        <v>1</v>
      </c>
      <c r="AI17">
        <f>_xlfn.IFS(BY17&lt;28,1,BY17=28-35,2,BY17&gt;35,3)</f>
        <v>1</v>
      </c>
      <c r="AJ17">
        <f t="shared" si="26"/>
        <v>1</v>
      </c>
      <c r="AK17">
        <f t="shared" si="27"/>
        <v>7</v>
      </c>
      <c r="AL17">
        <v>2</v>
      </c>
      <c r="AM17" s="1">
        <f t="shared" si="9"/>
        <v>26.1</v>
      </c>
      <c r="AN17" s="1">
        <f t="shared" si="10"/>
        <v>66</v>
      </c>
      <c r="AO17" s="1">
        <f t="shared" si="28"/>
        <v>1.33</v>
      </c>
      <c r="AP17" s="62">
        <f t="shared" si="29"/>
        <v>11.2008601861332</v>
      </c>
      <c r="AQ17">
        <v>1</v>
      </c>
      <c r="AR17">
        <f t="shared" ref="AR17:AR39" si="30">_xlfn.IFS(AP17&lt;15,1,AP17=15-18,2,AP17&gt;18,3)</f>
        <v>1</v>
      </c>
      <c r="AS17">
        <v>3.26</v>
      </c>
      <c r="AT17">
        <v>3.09</v>
      </c>
      <c r="AU17">
        <v>107</v>
      </c>
      <c r="AV17">
        <v>45</v>
      </c>
      <c r="AW17">
        <v>1.81</v>
      </c>
      <c r="AX17">
        <v>1.11</v>
      </c>
      <c r="AY17">
        <v>0.2</v>
      </c>
      <c r="AZ17">
        <f t="shared" si="13"/>
        <v>1.63063063063063</v>
      </c>
      <c r="BA17">
        <f t="shared" si="14"/>
        <v>40.5405405405405</v>
      </c>
      <c r="BB17">
        <f t="shared" si="15"/>
        <v>5.55</v>
      </c>
      <c r="BC17">
        <v>3.24</v>
      </c>
      <c r="BD17">
        <v>76.09</v>
      </c>
      <c r="BE17" s="54">
        <v>3.04</v>
      </c>
      <c r="BF17">
        <v>16.86</v>
      </c>
      <c r="BJ17">
        <v>5.18</v>
      </c>
      <c r="BK17">
        <v>1.2</v>
      </c>
      <c r="BL17">
        <v>34.67</v>
      </c>
      <c r="BN17">
        <v>33</v>
      </c>
      <c r="BR17">
        <v>14.6</v>
      </c>
      <c r="BS17">
        <v>1.33</v>
      </c>
      <c r="BT17">
        <v>30.2</v>
      </c>
      <c r="BU17">
        <v>25</v>
      </c>
      <c r="BV17">
        <v>1.3</v>
      </c>
      <c r="BW17">
        <v>2573</v>
      </c>
      <c r="BX17">
        <v>60</v>
      </c>
      <c r="BY17" s="63">
        <v>18</v>
      </c>
      <c r="BZ17">
        <v>42</v>
      </c>
      <c r="CA17">
        <v>44</v>
      </c>
      <c r="CB17">
        <v>68</v>
      </c>
      <c r="CC17">
        <v>101</v>
      </c>
      <c r="CD17">
        <v>46</v>
      </c>
      <c r="CE17">
        <v>307.8</v>
      </c>
      <c r="CF17">
        <v>26.1</v>
      </c>
      <c r="CG17">
        <v>13.5</v>
      </c>
      <c r="CH17" s="57">
        <f t="shared" si="16"/>
        <v>0.647058823529412</v>
      </c>
      <c r="CI17" s="57">
        <f t="shared" si="17"/>
        <v>2.19565217391304</v>
      </c>
      <c r="CJ17" s="57">
        <f t="shared" si="18"/>
        <v>1.93333333333333</v>
      </c>
      <c r="CK17">
        <v>2.85</v>
      </c>
      <c r="CL17">
        <v>0.86</v>
      </c>
      <c r="CM17">
        <v>0.72</v>
      </c>
      <c r="CN17">
        <v>1.18</v>
      </c>
      <c r="CO17">
        <v>4.3</v>
      </c>
      <c r="CP17">
        <v>66</v>
      </c>
      <c r="CQ17">
        <v>197</v>
      </c>
      <c r="CS17">
        <v>1.8</v>
      </c>
      <c r="CT17">
        <v>3</v>
      </c>
      <c r="CU17">
        <v>139</v>
      </c>
      <c r="CV17">
        <v>105</v>
      </c>
      <c r="CW17">
        <v>29</v>
      </c>
      <c r="CX17">
        <v>8</v>
      </c>
      <c r="CZ17">
        <v>255</v>
      </c>
      <c r="DA17">
        <v>70</v>
      </c>
      <c r="DB17">
        <v>0.007</v>
      </c>
      <c r="DD17">
        <v>156</v>
      </c>
      <c r="DE17">
        <v>3.42</v>
      </c>
      <c r="DF17">
        <v>13.17</v>
      </c>
      <c r="DG17">
        <v>1.004</v>
      </c>
      <c r="DY17" s="62"/>
      <c r="EG17">
        <f t="shared" si="19"/>
        <v>1.74257425742574</v>
      </c>
    </row>
    <row r="18" spans="1:137">
      <c r="A18" t="s">
        <v>3283</v>
      </c>
      <c r="B18">
        <v>838350</v>
      </c>
      <c r="C18">
        <v>1</v>
      </c>
      <c r="D18">
        <v>57</v>
      </c>
      <c r="E18" s="54">
        <v>1.7</v>
      </c>
      <c r="F18">
        <v>75</v>
      </c>
      <c r="G18" s="54">
        <f t="shared" si="23"/>
        <v>25.9515570934256</v>
      </c>
      <c r="H18" s="55">
        <v>105</v>
      </c>
      <c r="I18" s="56"/>
      <c r="J18" s="57"/>
      <c r="K18" s="57"/>
      <c r="L18" s="57"/>
      <c r="M18" s="57"/>
      <c r="N18" s="57"/>
      <c r="O18" s="57"/>
      <c r="P18" s="57"/>
      <c r="Q18" s="57"/>
      <c r="R18" s="58"/>
      <c r="S18" s="54"/>
      <c r="T18">
        <v>7.57</v>
      </c>
      <c r="U18" s="64">
        <v>0</v>
      </c>
      <c r="V18" s="64">
        <v>1</v>
      </c>
      <c r="W18" s="60">
        <f t="shared" si="6"/>
        <v>29.8</v>
      </c>
      <c r="X18" s="61">
        <v>43770</v>
      </c>
      <c r="Y18" s="61">
        <v>43769</v>
      </c>
      <c r="Z18" s="61">
        <v>43776</v>
      </c>
      <c r="AA18" s="62">
        <v>1</v>
      </c>
      <c r="AB18" s="62">
        <f t="shared" si="24"/>
        <v>7</v>
      </c>
      <c r="AC18" t="s">
        <v>3284</v>
      </c>
      <c r="AD18">
        <v>15222359388</v>
      </c>
      <c r="AE18">
        <v>1</v>
      </c>
      <c r="AF18">
        <v>1</v>
      </c>
      <c r="AG18">
        <v>1</v>
      </c>
      <c r="AH18">
        <f t="shared" si="25"/>
        <v>1</v>
      </c>
      <c r="AI18">
        <f>_xlfn.IFS(BY18&lt;28,1,BY18=28-35,2,BY18&gt;35,3)</f>
        <v>1</v>
      </c>
      <c r="AJ18">
        <f t="shared" si="26"/>
        <v>1</v>
      </c>
      <c r="AK18">
        <f t="shared" si="27"/>
        <v>5</v>
      </c>
      <c r="AL18">
        <f>_xlfn.IFS(AK18&lt;7,1,AK18=7-9,2,AK18&gt;9,3)</f>
        <v>1</v>
      </c>
      <c r="AM18" s="1">
        <f t="shared" si="9"/>
        <v>17.1</v>
      </c>
      <c r="AN18" s="1">
        <f t="shared" si="10"/>
        <v>76</v>
      </c>
      <c r="AO18" s="1">
        <f t="shared" si="28"/>
        <v>1.32</v>
      </c>
      <c r="AP18" s="62">
        <f t="shared" si="29"/>
        <v>9.50947544990073</v>
      </c>
      <c r="AQ18">
        <v>1</v>
      </c>
      <c r="AR18">
        <f t="shared" si="30"/>
        <v>1</v>
      </c>
      <c r="AS18">
        <v>2.27</v>
      </c>
      <c r="AT18">
        <v>2.48</v>
      </c>
      <c r="AU18">
        <v>54</v>
      </c>
      <c r="AV18">
        <v>51</v>
      </c>
      <c r="AW18">
        <v>1.46</v>
      </c>
      <c r="AX18">
        <v>0.56</v>
      </c>
      <c r="AY18">
        <v>0.2</v>
      </c>
      <c r="AZ18">
        <f t="shared" si="13"/>
        <v>2.60714285714286</v>
      </c>
      <c r="BA18">
        <f t="shared" si="14"/>
        <v>91.0714285714286</v>
      </c>
      <c r="BB18">
        <f t="shared" si="15"/>
        <v>2.8</v>
      </c>
      <c r="BC18">
        <v>0.86</v>
      </c>
      <c r="BD18">
        <v>10.39</v>
      </c>
      <c r="BE18" s="54">
        <v>1.85</v>
      </c>
      <c r="BF18">
        <v>14.07</v>
      </c>
      <c r="BM18">
        <v>0.476</v>
      </c>
      <c r="BR18">
        <v>14.4</v>
      </c>
      <c r="BS18">
        <v>1.32</v>
      </c>
      <c r="BT18">
        <v>27</v>
      </c>
      <c r="BU18">
        <v>23.2</v>
      </c>
      <c r="BV18">
        <v>2.03</v>
      </c>
      <c r="BW18">
        <v>1236</v>
      </c>
      <c r="BX18">
        <v>53</v>
      </c>
      <c r="BY18" s="63">
        <v>27</v>
      </c>
      <c r="BZ18">
        <v>26</v>
      </c>
      <c r="CA18">
        <v>21</v>
      </c>
      <c r="CB18">
        <v>21</v>
      </c>
      <c r="CC18">
        <v>57</v>
      </c>
      <c r="CD18">
        <v>14</v>
      </c>
      <c r="CE18">
        <v>265.5</v>
      </c>
      <c r="CF18">
        <v>17.1</v>
      </c>
      <c r="CG18">
        <v>6.3</v>
      </c>
      <c r="CH18" s="57">
        <f t="shared" si="16"/>
        <v>1</v>
      </c>
      <c r="CI18" s="57">
        <f t="shared" si="17"/>
        <v>4.07142857142857</v>
      </c>
      <c r="CJ18" s="57">
        <f t="shared" si="18"/>
        <v>2.71428571428571</v>
      </c>
      <c r="CK18">
        <v>2.82</v>
      </c>
      <c r="CL18">
        <v>0.69</v>
      </c>
      <c r="CM18">
        <v>0.71</v>
      </c>
      <c r="CN18">
        <v>1.58</v>
      </c>
      <c r="CO18">
        <v>4.7</v>
      </c>
      <c r="CP18">
        <v>76</v>
      </c>
      <c r="CQ18">
        <v>270</v>
      </c>
      <c r="CR18">
        <v>5.1</v>
      </c>
      <c r="CS18">
        <v>3.79</v>
      </c>
      <c r="CT18">
        <v>3.9</v>
      </c>
      <c r="CU18">
        <v>140</v>
      </c>
      <c r="CV18">
        <v>110</v>
      </c>
      <c r="CW18">
        <v>27</v>
      </c>
      <c r="CX18">
        <v>6.9</v>
      </c>
      <c r="DE18">
        <v>2.88</v>
      </c>
      <c r="DF18">
        <v>7.22</v>
      </c>
      <c r="DG18">
        <v>1.457</v>
      </c>
      <c r="DY18" s="62"/>
      <c r="EG18">
        <f t="shared" si="19"/>
        <v>1.47368421052632</v>
      </c>
    </row>
    <row r="19" spans="1:137">
      <c r="A19" t="s">
        <v>88</v>
      </c>
      <c r="B19">
        <v>872347</v>
      </c>
      <c r="C19">
        <v>2</v>
      </c>
      <c r="D19">
        <v>74</v>
      </c>
      <c r="E19" s="54">
        <v>1.58</v>
      </c>
      <c r="F19">
        <v>75</v>
      </c>
      <c r="G19" s="54">
        <f t="shared" si="23"/>
        <v>30.0432622977087</v>
      </c>
      <c r="H19" s="55">
        <v>101</v>
      </c>
      <c r="I19" s="56">
        <v>98.423</v>
      </c>
      <c r="J19" s="57">
        <v>116.5544</v>
      </c>
      <c r="K19" s="57">
        <v>178.672</v>
      </c>
      <c r="L19" s="57">
        <v>207.2842</v>
      </c>
      <c r="M19" s="57">
        <f>P19/O19</f>
        <v>1.16013813020507</v>
      </c>
      <c r="N19" s="57">
        <f>J19/(E19*E19)</f>
        <v>46.6889921486941</v>
      </c>
      <c r="O19" s="57">
        <f>K19/(E19*E19)</f>
        <v>71.5718634834161</v>
      </c>
      <c r="P19" s="57">
        <f>L19/(E19*E19)</f>
        <v>83.0332478769428</v>
      </c>
      <c r="Q19" s="57">
        <f>O19+P19</f>
        <v>154.605111360359</v>
      </c>
      <c r="R19" s="67">
        <v>-0.0565664556962025</v>
      </c>
      <c r="S19" s="54"/>
      <c r="T19">
        <v>7.29</v>
      </c>
      <c r="U19" s="64">
        <v>0</v>
      </c>
      <c r="V19" s="64">
        <v>1</v>
      </c>
      <c r="W19" s="60">
        <f t="shared" si="6"/>
        <v>34.65</v>
      </c>
      <c r="X19" s="61">
        <v>43757</v>
      </c>
      <c r="Y19" s="61">
        <v>43756</v>
      </c>
      <c r="Z19" s="61">
        <v>43763</v>
      </c>
      <c r="AA19" s="62">
        <v>1</v>
      </c>
      <c r="AB19" s="62">
        <f t="shared" si="24"/>
        <v>7</v>
      </c>
      <c r="AC19" t="s">
        <v>89</v>
      </c>
      <c r="AD19">
        <v>13682057865</v>
      </c>
      <c r="AE19">
        <v>1</v>
      </c>
      <c r="AF19">
        <v>1</v>
      </c>
      <c r="AG19">
        <v>1</v>
      </c>
      <c r="AH19">
        <f t="shared" si="25"/>
        <v>1</v>
      </c>
      <c r="AI19">
        <v>2</v>
      </c>
      <c r="AJ19">
        <f t="shared" si="26"/>
        <v>1</v>
      </c>
      <c r="AK19">
        <f t="shared" si="27"/>
        <v>6</v>
      </c>
      <c r="AL19">
        <f>_xlfn.IFS(AK19&lt;7,1,AK19=7-9,2,AK19&gt;9,3)</f>
        <v>1</v>
      </c>
      <c r="AM19" s="1">
        <f t="shared" si="9"/>
        <v>28.7</v>
      </c>
      <c r="AN19" s="1">
        <f t="shared" si="10"/>
        <v>64</v>
      </c>
      <c r="AO19" s="1">
        <f t="shared" si="28"/>
        <v>1.18</v>
      </c>
      <c r="AP19" s="62">
        <f t="shared" si="29"/>
        <v>10.2214726161253</v>
      </c>
      <c r="AQ19">
        <v>1</v>
      </c>
      <c r="AR19">
        <f t="shared" si="30"/>
        <v>1</v>
      </c>
      <c r="AS19">
        <v>2.67</v>
      </c>
      <c r="AT19">
        <v>2.43</v>
      </c>
      <c r="AU19">
        <v>72</v>
      </c>
      <c r="AV19">
        <v>45</v>
      </c>
      <c r="AW19">
        <v>1.86</v>
      </c>
      <c r="AX19">
        <v>0.53</v>
      </c>
      <c r="AY19">
        <v>0.23</v>
      </c>
      <c r="AZ19">
        <f t="shared" si="13"/>
        <v>3.50943396226415</v>
      </c>
      <c r="BA19">
        <f t="shared" si="14"/>
        <v>84.9056603773585</v>
      </c>
      <c r="BB19">
        <f t="shared" si="15"/>
        <v>2.30434782608696</v>
      </c>
      <c r="BC19">
        <v>2.19</v>
      </c>
      <c r="BD19">
        <v>65.59</v>
      </c>
      <c r="BE19" s="54">
        <v>3.26</v>
      </c>
      <c r="BF19">
        <v>9.42</v>
      </c>
      <c r="BG19">
        <v>7.7</v>
      </c>
      <c r="BI19">
        <v>82.1</v>
      </c>
      <c r="BR19">
        <v>12.9</v>
      </c>
      <c r="BS19">
        <v>1.18</v>
      </c>
      <c r="BT19">
        <v>25.5</v>
      </c>
      <c r="BU19">
        <v>23.1</v>
      </c>
      <c r="BV19">
        <v>1.67</v>
      </c>
      <c r="BW19">
        <v>1072</v>
      </c>
      <c r="BX19">
        <v>56</v>
      </c>
      <c r="BY19" s="63">
        <v>32</v>
      </c>
      <c r="BZ19">
        <v>24</v>
      </c>
      <c r="CA19">
        <v>19</v>
      </c>
      <c r="CB19">
        <v>26</v>
      </c>
      <c r="CC19">
        <v>54</v>
      </c>
      <c r="CD19">
        <v>24</v>
      </c>
      <c r="CE19">
        <v>281.9</v>
      </c>
      <c r="CF19">
        <v>28.7</v>
      </c>
      <c r="CG19">
        <v>11.9</v>
      </c>
      <c r="CH19" s="57">
        <f t="shared" si="16"/>
        <v>0.730769230769231</v>
      </c>
      <c r="CI19" s="57">
        <f t="shared" si="17"/>
        <v>2.25</v>
      </c>
      <c r="CJ19" s="57">
        <f t="shared" si="18"/>
        <v>2.41176470588235</v>
      </c>
      <c r="CK19">
        <v>3.35</v>
      </c>
      <c r="CL19">
        <v>1.29</v>
      </c>
      <c r="CM19">
        <v>0.76</v>
      </c>
      <c r="CN19">
        <v>1.81</v>
      </c>
      <c r="CO19">
        <v>5</v>
      </c>
      <c r="CP19">
        <v>64</v>
      </c>
      <c r="CQ19">
        <v>353</v>
      </c>
      <c r="CR19">
        <v>7.3</v>
      </c>
      <c r="CS19">
        <v>2.05</v>
      </c>
      <c r="CT19">
        <v>3.6</v>
      </c>
      <c r="CU19">
        <v>143</v>
      </c>
      <c r="CV19">
        <v>104</v>
      </c>
      <c r="CW19">
        <v>34</v>
      </c>
      <c r="CX19">
        <v>8.6</v>
      </c>
      <c r="CY19">
        <v>13.6</v>
      </c>
      <c r="CZ19">
        <v>108</v>
      </c>
      <c r="DA19">
        <v>70</v>
      </c>
      <c r="DB19">
        <v>0.109</v>
      </c>
      <c r="DC19">
        <v>820.1</v>
      </c>
      <c r="DE19">
        <v>3.25</v>
      </c>
      <c r="DF19">
        <v>10.03</v>
      </c>
      <c r="DG19">
        <v>0.317</v>
      </c>
      <c r="DH19">
        <v>57.1</v>
      </c>
      <c r="DI19">
        <v>3.9</v>
      </c>
      <c r="DJ19">
        <v>7.3</v>
      </c>
      <c r="DK19">
        <v>6</v>
      </c>
      <c r="DL19">
        <v>6.3</v>
      </c>
      <c r="DM19">
        <v>19.4</v>
      </c>
      <c r="DN19">
        <v>1.33</v>
      </c>
      <c r="DO19">
        <v>0</v>
      </c>
      <c r="DP19">
        <v>939</v>
      </c>
      <c r="DQ19">
        <v>468</v>
      </c>
      <c r="DR19">
        <v>63.6</v>
      </c>
      <c r="DS19">
        <v>55</v>
      </c>
      <c r="DT19">
        <v>11.2</v>
      </c>
      <c r="DU19">
        <v>61.9</v>
      </c>
      <c r="DV19">
        <v>0.29</v>
      </c>
      <c r="DW19">
        <v>0.51</v>
      </c>
      <c r="DY19" s="62"/>
      <c r="EG19">
        <f t="shared" si="19"/>
        <v>1.40740740740741</v>
      </c>
    </row>
    <row r="20" spans="1:137">
      <c r="A20" t="s">
        <v>91</v>
      </c>
      <c r="B20">
        <v>1011685</v>
      </c>
      <c r="C20">
        <v>1</v>
      </c>
      <c r="D20">
        <v>55</v>
      </c>
      <c r="E20" s="54">
        <v>1.65</v>
      </c>
      <c r="F20">
        <v>63</v>
      </c>
      <c r="G20" s="54">
        <f t="shared" si="23"/>
        <v>23.1404958677686</v>
      </c>
      <c r="H20" s="55">
        <v>93</v>
      </c>
      <c r="I20" s="56">
        <v>89.539</v>
      </c>
      <c r="J20" s="57">
        <v>159.5656</v>
      </c>
      <c r="K20" s="57">
        <v>116.6571</v>
      </c>
      <c r="L20" s="57">
        <v>66.3685</v>
      </c>
      <c r="M20" s="57">
        <f>P20/O20</f>
        <v>0.568919508542558</v>
      </c>
      <c r="N20" s="57">
        <f>J20/(E20*E20)</f>
        <v>58.6099540863177</v>
      </c>
      <c r="O20" s="57">
        <f>K20/(E20*E20)</f>
        <v>42.8492561983471</v>
      </c>
      <c r="P20" s="57">
        <f>L20/(E20*E20)</f>
        <v>24.3777777777778</v>
      </c>
      <c r="Q20" s="57">
        <f>O20+P20</f>
        <v>67.2270339761249</v>
      </c>
      <c r="R20" s="58">
        <v>-0.59494725152693</v>
      </c>
      <c r="S20" s="54"/>
      <c r="T20">
        <v>7.502</v>
      </c>
      <c r="U20" s="68">
        <v>6</v>
      </c>
      <c r="V20" s="68">
        <v>3</v>
      </c>
      <c r="W20" s="60">
        <f t="shared" si="6"/>
        <v>25.95</v>
      </c>
      <c r="X20" s="61">
        <v>43750</v>
      </c>
      <c r="Y20" s="61">
        <v>43749</v>
      </c>
      <c r="Z20" s="61">
        <v>43768</v>
      </c>
      <c r="AA20" s="62">
        <v>1</v>
      </c>
      <c r="AB20" s="62">
        <f t="shared" si="24"/>
        <v>19</v>
      </c>
      <c r="AC20" t="s">
        <v>92</v>
      </c>
      <c r="AD20">
        <v>13820753016</v>
      </c>
      <c r="AE20">
        <v>1</v>
      </c>
      <c r="AF20">
        <v>1</v>
      </c>
      <c r="AG20">
        <v>3</v>
      </c>
      <c r="AH20">
        <f t="shared" si="25"/>
        <v>3</v>
      </c>
      <c r="AI20">
        <f>_xlfn.IFS(BY20&lt;28,1,BY20=28-35,2,BY20&gt;35,3)</f>
        <v>1</v>
      </c>
      <c r="AJ20">
        <f t="shared" si="26"/>
        <v>1</v>
      </c>
      <c r="AK20">
        <f t="shared" si="27"/>
        <v>9</v>
      </c>
      <c r="AL20">
        <v>2</v>
      </c>
      <c r="AM20" s="1">
        <f t="shared" si="9"/>
        <v>91</v>
      </c>
      <c r="AN20" s="1">
        <f t="shared" si="10"/>
        <v>72</v>
      </c>
      <c r="AO20" s="1">
        <f t="shared" si="28"/>
        <v>1.21</v>
      </c>
      <c r="AP20" s="62">
        <f t="shared" si="29"/>
        <v>8.48771599104817</v>
      </c>
      <c r="AQ20">
        <v>0</v>
      </c>
      <c r="AR20">
        <f t="shared" si="30"/>
        <v>1</v>
      </c>
      <c r="AS20">
        <v>3.3</v>
      </c>
      <c r="AT20">
        <v>2.8</v>
      </c>
      <c r="AU20">
        <v>101</v>
      </c>
      <c r="AV20">
        <v>35</v>
      </c>
      <c r="AW20">
        <v>2.17</v>
      </c>
      <c r="AX20">
        <v>0.59</v>
      </c>
      <c r="AY20">
        <v>0.41</v>
      </c>
      <c r="AZ20">
        <f t="shared" si="13"/>
        <v>3.67796610169492</v>
      </c>
      <c r="BA20">
        <f t="shared" si="14"/>
        <v>59.3220338983051</v>
      </c>
      <c r="BB20">
        <f t="shared" si="15"/>
        <v>1.4390243902439</v>
      </c>
      <c r="BC20">
        <v>3.48</v>
      </c>
      <c r="BD20">
        <v>132.29</v>
      </c>
      <c r="BE20" s="54">
        <v>8.66</v>
      </c>
      <c r="BF20">
        <v>41.61</v>
      </c>
      <c r="BM20">
        <v>0.123</v>
      </c>
      <c r="BN20">
        <v>81</v>
      </c>
      <c r="BR20">
        <v>13.2</v>
      </c>
      <c r="BS20">
        <v>1.21</v>
      </c>
      <c r="BT20">
        <v>29.8</v>
      </c>
      <c r="BU20">
        <v>28.4</v>
      </c>
      <c r="BV20">
        <v>1.73</v>
      </c>
      <c r="BW20">
        <v>3206</v>
      </c>
      <c r="BX20">
        <v>57</v>
      </c>
      <c r="BY20" s="63">
        <v>23</v>
      </c>
      <c r="BZ20">
        <v>34</v>
      </c>
      <c r="CA20">
        <v>35</v>
      </c>
      <c r="CB20">
        <v>66</v>
      </c>
      <c r="CC20">
        <v>236</v>
      </c>
      <c r="CD20">
        <v>529</v>
      </c>
      <c r="CE20">
        <v>223.5</v>
      </c>
      <c r="CF20">
        <v>91</v>
      </c>
      <c r="CG20">
        <v>60.3</v>
      </c>
      <c r="CH20" s="57">
        <f t="shared" si="16"/>
        <v>0.53030303030303</v>
      </c>
      <c r="CI20" s="57">
        <f t="shared" si="17"/>
        <v>0.446124763705104</v>
      </c>
      <c r="CJ20" s="57">
        <f t="shared" si="18"/>
        <v>1.50912106135987</v>
      </c>
      <c r="CK20">
        <v>4.32</v>
      </c>
      <c r="CL20">
        <v>2.21</v>
      </c>
      <c r="CM20">
        <v>0.51</v>
      </c>
      <c r="CN20">
        <v>2.73</v>
      </c>
      <c r="CO20">
        <v>6.2</v>
      </c>
      <c r="CP20">
        <v>72</v>
      </c>
      <c r="CQ20">
        <v>450</v>
      </c>
      <c r="CR20">
        <v>10.1</v>
      </c>
      <c r="CS20">
        <v>1.92</v>
      </c>
      <c r="CT20">
        <v>3.3</v>
      </c>
      <c r="CU20">
        <v>138</v>
      </c>
      <c r="CV20">
        <v>102</v>
      </c>
      <c r="CW20">
        <v>28</v>
      </c>
      <c r="CX20">
        <v>11.3</v>
      </c>
      <c r="DE20">
        <v>2.85</v>
      </c>
      <c r="DF20">
        <v>12.14</v>
      </c>
      <c r="DG20">
        <v>1.773</v>
      </c>
      <c r="DH20">
        <v>48.1</v>
      </c>
      <c r="DI20">
        <v>4.5</v>
      </c>
      <c r="DJ20">
        <v>7.4</v>
      </c>
      <c r="DK20">
        <v>4.8</v>
      </c>
      <c r="DL20">
        <v>5.5</v>
      </c>
      <c r="DM20">
        <v>29.6</v>
      </c>
      <c r="DN20">
        <v>0.93</v>
      </c>
      <c r="DO20">
        <v>1</v>
      </c>
      <c r="DP20">
        <v>1650</v>
      </c>
      <c r="DQ20">
        <v>352</v>
      </c>
      <c r="DR20">
        <v>174</v>
      </c>
      <c r="DS20">
        <v>57.6</v>
      </c>
      <c r="DT20">
        <v>10</v>
      </c>
      <c r="DU20">
        <v>21.7</v>
      </c>
      <c r="DW20">
        <v>2.09</v>
      </c>
      <c r="DY20" s="62"/>
      <c r="EG20">
        <f t="shared" si="19"/>
        <v>0.593220338983051</v>
      </c>
    </row>
    <row r="21" spans="1:137">
      <c r="A21" s="45" t="s">
        <v>94</v>
      </c>
      <c r="B21">
        <v>991522</v>
      </c>
      <c r="C21">
        <v>1</v>
      </c>
      <c r="D21">
        <v>72</v>
      </c>
      <c r="E21" s="54">
        <v>1.6</v>
      </c>
      <c r="F21">
        <v>52</v>
      </c>
      <c r="G21" s="54">
        <f t="shared" si="23"/>
        <v>20.3125</v>
      </c>
      <c r="H21" s="55">
        <v>74</v>
      </c>
      <c r="I21" s="56"/>
      <c r="J21" s="57"/>
      <c r="K21" s="57"/>
      <c r="L21" s="57"/>
      <c r="M21" s="57"/>
      <c r="N21" s="57"/>
      <c r="O21" s="57"/>
      <c r="P21" s="57"/>
      <c r="Q21" s="57"/>
      <c r="R21" s="58"/>
      <c r="S21" s="54">
        <v>13.9</v>
      </c>
      <c r="T21">
        <v>15.445</v>
      </c>
      <c r="U21" s="65">
        <v>1</v>
      </c>
      <c r="V21" s="65">
        <v>2</v>
      </c>
      <c r="W21" s="60">
        <f t="shared" si="6"/>
        <v>30.55</v>
      </c>
      <c r="X21" s="61">
        <v>43779</v>
      </c>
      <c r="Y21" s="61">
        <v>43778</v>
      </c>
      <c r="Z21" s="61">
        <v>43789</v>
      </c>
      <c r="AA21" s="62">
        <v>1</v>
      </c>
      <c r="AB21" s="62">
        <f t="shared" si="24"/>
        <v>11</v>
      </c>
      <c r="AC21" t="s">
        <v>95</v>
      </c>
      <c r="AD21">
        <v>13752004424</v>
      </c>
      <c r="AE21">
        <v>0</v>
      </c>
      <c r="AF21">
        <v>1</v>
      </c>
      <c r="AG21">
        <v>3</v>
      </c>
      <c r="AH21">
        <f t="shared" si="25"/>
        <v>1</v>
      </c>
      <c r="AI21">
        <v>2</v>
      </c>
      <c r="AJ21">
        <f t="shared" si="26"/>
        <v>1</v>
      </c>
      <c r="AK21">
        <f t="shared" si="27"/>
        <v>8</v>
      </c>
      <c r="AL21">
        <v>2</v>
      </c>
      <c r="AM21" s="1">
        <f t="shared" si="9"/>
        <v>22.1</v>
      </c>
      <c r="AN21" s="1">
        <f t="shared" si="10"/>
        <v>45</v>
      </c>
      <c r="AO21" s="1">
        <f t="shared" si="28"/>
        <v>1.37</v>
      </c>
      <c r="AP21" s="62">
        <f t="shared" si="29"/>
        <v>10.9005770372657</v>
      </c>
      <c r="AQ21">
        <v>1</v>
      </c>
      <c r="AR21">
        <f t="shared" si="30"/>
        <v>1</v>
      </c>
      <c r="AS21">
        <v>1.69</v>
      </c>
      <c r="AT21">
        <v>2.77</v>
      </c>
      <c r="AU21">
        <v>105</v>
      </c>
      <c r="AV21">
        <v>43</v>
      </c>
      <c r="AW21">
        <v>1.13</v>
      </c>
      <c r="AX21">
        <v>0.31</v>
      </c>
      <c r="AY21">
        <v>0.16</v>
      </c>
      <c r="AZ21">
        <f t="shared" si="13"/>
        <v>3.64516129032258</v>
      </c>
      <c r="BA21">
        <f t="shared" si="14"/>
        <v>138.709677419355</v>
      </c>
      <c r="BB21">
        <f t="shared" si="15"/>
        <v>1.9375</v>
      </c>
      <c r="BC21">
        <v>2.37</v>
      </c>
      <c r="BD21">
        <v>150.37</v>
      </c>
      <c r="BE21" s="54">
        <v>10.18</v>
      </c>
      <c r="BF21" t="s">
        <v>3414</v>
      </c>
      <c r="BM21">
        <v>0.253</v>
      </c>
      <c r="BN21" t="s">
        <v>3418</v>
      </c>
      <c r="BR21">
        <v>15</v>
      </c>
      <c r="BS21">
        <v>1.37</v>
      </c>
      <c r="BT21">
        <v>33.1</v>
      </c>
      <c r="BU21">
        <v>25.5</v>
      </c>
      <c r="BV21">
        <v>1.65</v>
      </c>
      <c r="BW21">
        <v>3769</v>
      </c>
      <c r="BX21">
        <v>65</v>
      </c>
      <c r="BY21" s="63">
        <v>29</v>
      </c>
      <c r="BZ21">
        <v>36</v>
      </c>
      <c r="CA21">
        <v>30</v>
      </c>
      <c r="CB21">
        <v>36</v>
      </c>
      <c r="CC21">
        <v>183</v>
      </c>
      <c r="CD21">
        <v>36</v>
      </c>
      <c r="CE21">
        <v>271.2</v>
      </c>
      <c r="CF21">
        <v>22.1</v>
      </c>
      <c r="CG21">
        <v>9.7</v>
      </c>
      <c r="CH21" s="57">
        <f t="shared" si="16"/>
        <v>0.833333333333333</v>
      </c>
      <c r="CI21" s="57">
        <f t="shared" si="17"/>
        <v>5.08333333333333</v>
      </c>
      <c r="CJ21" s="57">
        <f t="shared" si="18"/>
        <v>2.27835051546392</v>
      </c>
      <c r="CO21">
        <v>5.7</v>
      </c>
      <c r="CP21">
        <v>45</v>
      </c>
      <c r="CQ21">
        <v>321</v>
      </c>
      <c r="CS21">
        <v>1.92</v>
      </c>
      <c r="CT21">
        <v>3.5</v>
      </c>
      <c r="CU21">
        <v>140</v>
      </c>
      <c r="CV21">
        <v>106</v>
      </c>
      <c r="CW21">
        <v>26</v>
      </c>
      <c r="CX21">
        <v>11.5</v>
      </c>
      <c r="CZ21">
        <v>96</v>
      </c>
      <c r="DA21">
        <v>65</v>
      </c>
      <c r="DB21">
        <v>0.001</v>
      </c>
      <c r="DD21">
        <v>90.1</v>
      </c>
      <c r="DE21">
        <v>3.71</v>
      </c>
      <c r="DF21">
        <v>9.76</v>
      </c>
      <c r="DG21">
        <v>1.787</v>
      </c>
      <c r="DH21" t="s">
        <v>3419</v>
      </c>
      <c r="DI21">
        <v>3.3</v>
      </c>
      <c r="DJ21">
        <v>6.3</v>
      </c>
      <c r="DK21">
        <v>6.1</v>
      </c>
      <c r="DL21">
        <v>9.1</v>
      </c>
      <c r="DM21">
        <v>29.5</v>
      </c>
      <c r="DN21">
        <v>0.84</v>
      </c>
      <c r="DO21">
        <v>1</v>
      </c>
      <c r="DP21">
        <v>1740</v>
      </c>
      <c r="DQ21">
        <v>836</v>
      </c>
      <c r="DR21">
        <v>118</v>
      </c>
      <c r="DS21">
        <v>48.4</v>
      </c>
      <c r="DT21">
        <v>9.22</v>
      </c>
      <c r="DU21">
        <v>251</v>
      </c>
      <c r="DW21">
        <v>0.38</v>
      </c>
      <c r="DY21" s="62"/>
      <c r="EG21">
        <f t="shared" si="19"/>
        <v>0.655737704918033</v>
      </c>
    </row>
    <row r="22" spans="1:137">
      <c r="A22" t="s">
        <v>97</v>
      </c>
      <c r="B22">
        <v>1062704</v>
      </c>
      <c r="C22">
        <v>1</v>
      </c>
      <c r="D22">
        <v>59</v>
      </c>
      <c r="E22" s="54">
        <v>1.87</v>
      </c>
      <c r="F22">
        <v>93.5</v>
      </c>
      <c r="G22" s="54">
        <f t="shared" si="23"/>
        <v>26.7379679144385</v>
      </c>
      <c r="H22" s="55">
        <v>100</v>
      </c>
      <c r="I22" s="56">
        <v>110.39</v>
      </c>
      <c r="J22" s="57">
        <v>173.9568</v>
      </c>
      <c r="K22" s="57">
        <v>88.5026</v>
      </c>
      <c r="L22" s="57">
        <v>270.974</v>
      </c>
      <c r="M22" s="57">
        <f>P22/O22</f>
        <v>3.06176315724058</v>
      </c>
      <c r="N22" s="57">
        <f>J22/(E22*E22)</f>
        <v>49.7460036031914</v>
      </c>
      <c r="O22" s="57">
        <f>K22/(E22*E22)</f>
        <v>25.3088735737367</v>
      </c>
      <c r="P22" s="57">
        <f>L22/(E22*E22)</f>
        <v>77.4897766593268</v>
      </c>
      <c r="Q22" s="57">
        <f>O22+P22</f>
        <v>102.798650233063</v>
      </c>
      <c r="R22" s="58">
        <v>-0.635578583765112</v>
      </c>
      <c r="S22" s="54"/>
      <c r="T22">
        <v>5.4</v>
      </c>
      <c r="U22" s="64">
        <v>0</v>
      </c>
      <c r="V22" s="64">
        <v>1</v>
      </c>
      <c r="W22" s="60">
        <f t="shared" si="6"/>
        <v>43.85</v>
      </c>
      <c r="X22" s="61">
        <v>43779</v>
      </c>
      <c r="Y22" s="61">
        <v>43778</v>
      </c>
      <c r="Z22" s="61">
        <v>43798</v>
      </c>
      <c r="AA22" s="62">
        <v>1</v>
      </c>
      <c r="AB22" s="62">
        <f t="shared" si="24"/>
        <v>20</v>
      </c>
      <c r="AC22" t="s">
        <v>98</v>
      </c>
      <c r="AD22">
        <v>13516288938</v>
      </c>
      <c r="AE22">
        <v>0</v>
      </c>
      <c r="AF22">
        <v>1</v>
      </c>
      <c r="AG22">
        <v>1</v>
      </c>
      <c r="AH22">
        <f t="shared" si="25"/>
        <v>1</v>
      </c>
      <c r="AI22">
        <f>_xlfn.IFS(BY22&lt;28,1,BY22=28-35,2,BY22&gt;35,3)</f>
        <v>3</v>
      </c>
      <c r="AJ22">
        <f t="shared" si="26"/>
        <v>1</v>
      </c>
      <c r="AK22">
        <f t="shared" si="27"/>
        <v>7</v>
      </c>
      <c r="AL22">
        <v>2</v>
      </c>
      <c r="AM22" s="1">
        <f t="shared" si="9"/>
        <v>12.9</v>
      </c>
      <c r="AN22" s="1">
        <f t="shared" si="10"/>
        <v>53</v>
      </c>
      <c r="AO22" s="1">
        <f t="shared" si="28"/>
        <v>1.2</v>
      </c>
      <c r="AP22" s="62">
        <f t="shared" si="29"/>
        <v>8.44200143609229</v>
      </c>
      <c r="AQ22">
        <v>1</v>
      </c>
      <c r="AR22">
        <f t="shared" si="30"/>
        <v>1</v>
      </c>
      <c r="AS22">
        <v>2.3</v>
      </c>
      <c r="AT22">
        <v>3.64</v>
      </c>
      <c r="AU22">
        <v>76</v>
      </c>
      <c r="AV22">
        <v>87</v>
      </c>
      <c r="AW22">
        <v>1.15</v>
      </c>
      <c r="AX22">
        <v>0.77</v>
      </c>
      <c r="AY22">
        <v>0.27</v>
      </c>
      <c r="AZ22">
        <f t="shared" si="13"/>
        <v>1.49350649350649</v>
      </c>
      <c r="BA22">
        <f t="shared" si="14"/>
        <v>112.987012987013</v>
      </c>
      <c r="BB22">
        <f t="shared" si="15"/>
        <v>2.85185185185185</v>
      </c>
      <c r="BC22">
        <v>3.82</v>
      </c>
      <c r="BD22">
        <v>6.9</v>
      </c>
      <c r="BE22" s="54">
        <v>1.89</v>
      </c>
      <c r="BF22">
        <v>4.28</v>
      </c>
      <c r="BM22">
        <v>0.418</v>
      </c>
      <c r="BN22">
        <v>28</v>
      </c>
      <c r="BR22">
        <v>13.1</v>
      </c>
      <c r="BS22">
        <v>1.2</v>
      </c>
      <c r="BT22">
        <v>34.6</v>
      </c>
      <c r="BU22">
        <v>23.1</v>
      </c>
      <c r="BV22">
        <v>1.34</v>
      </c>
      <c r="BW22">
        <v>353</v>
      </c>
      <c r="BX22">
        <v>67</v>
      </c>
      <c r="BY22" s="63">
        <v>40</v>
      </c>
      <c r="BZ22">
        <v>27</v>
      </c>
      <c r="CA22">
        <v>19</v>
      </c>
      <c r="CB22">
        <v>21</v>
      </c>
      <c r="CC22">
        <v>64</v>
      </c>
      <c r="CD22">
        <v>35</v>
      </c>
      <c r="CE22">
        <v>98.6</v>
      </c>
      <c r="CF22">
        <v>12.9</v>
      </c>
      <c r="CG22">
        <v>6.2</v>
      </c>
      <c r="CH22" s="57">
        <f t="shared" si="16"/>
        <v>0.904761904761905</v>
      </c>
      <c r="CI22" s="57">
        <f t="shared" si="17"/>
        <v>1.82857142857143</v>
      </c>
      <c r="CJ22" s="57">
        <f t="shared" si="18"/>
        <v>2.08064516129032</v>
      </c>
      <c r="CK22">
        <v>2.83</v>
      </c>
      <c r="CL22">
        <v>1.47</v>
      </c>
      <c r="CM22">
        <v>0.58</v>
      </c>
      <c r="CN22">
        <v>0.61</v>
      </c>
      <c r="CO22">
        <v>2.8</v>
      </c>
      <c r="CP22">
        <v>53</v>
      </c>
      <c r="CQ22">
        <v>383</v>
      </c>
      <c r="CR22">
        <v>7.9</v>
      </c>
      <c r="CS22">
        <v>2.18</v>
      </c>
      <c r="CT22">
        <v>3.7</v>
      </c>
      <c r="CU22">
        <v>141</v>
      </c>
      <c r="CV22">
        <v>107</v>
      </c>
      <c r="CW22">
        <v>25</v>
      </c>
      <c r="CX22">
        <v>12.7</v>
      </c>
      <c r="CY22">
        <v>10.4</v>
      </c>
      <c r="DE22">
        <v>3.8</v>
      </c>
      <c r="DF22">
        <v>9.5</v>
      </c>
      <c r="DG22">
        <v>1.891</v>
      </c>
      <c r="DH22">
        <v>57.9</v>
      </c>
      <c r="DI22">
        <v>2.8</v>
      </c>
      <c r="DJ22">
        <v>5.8</v>
      </c>
      <c r="DK22">
        <v>7.6</v>
      </c>
      <c r="DL22">
        <v>5.2</v>
      </c>
      <c r="DM22">
        <v>20.7</v>
      </c>
      <c r="DN22">
        <v>1.38</v>
      </c>
      <c r="DO22">
        <v>0</v>
      </c>
      <c r="DP22">
        <v>1570</v>
      </c>
      <c r="DQ22">
        <v>330</v>
      </c>
      <c r="DR22">
        <v>63.6</v>
      </c>
      <c r="DS22">
        <v>88.3</v>
      </c>
      <c r="DT22">
        <v>18.6</v>
      </c>
      <c r="DU22">
        <v>66.4</v>
      </c>
      <c r="DV22">
        <v>2.86</v>
      </c>
      <c r="DW22">
        <v>0.17</v>
      </c>
      <c r="DY22" s="62">
        <v>4</v>
      </c>
      <c r="EG22">
        <f t="shared" si="19"/>
        <v>1.1875</v>
      </c>
    </row>
    <row r="23" spans="1:137">
      <c r="A23" t="s">
        <v>100</v>
      </c>
      <c r="B23">
        <v>1042410</v>
      </c>
      <c r="C23">
        <v>2</v>
      </c>
      <c r="D23">
        <v>57</v>
      </c>
      <c r="E23" s="54">
        <v>1.62</v>
      </c>
      <c r="F23">
        <v>48</v>
      </c>
      <c r="G23" s="54">
        <f t="shared" si="23"/>
        <v>18.2898948331047</v>
      </c>
      <c r="H23" s="55"/>
      <c r="I23" s="56"/>
      <c r="J23" s="57"/>
      <c r="K23" s="57"/>
      <c r="L23" s="57"/>
      <c r="M23" s="57"/>
      <c r="N23" s="57"/>
      <c r="O23" s="57"/>
      <c r="P23" s="57"/>
      <c r="Q23" s="57"/>
      <c r="R23" s="58"/>
      <c r="S23" s="54">
        <v>13.3</v>
      </c>
      <c r="T23">
        <v>7.16</v>
      </c>
      <c r="U23" s="68">
        <v>2</v>
      </c>
      <c r="V23" s="68">
        <v>3</v>
      </c>
      <c r="W23" s="60">
        <f t="shared" si="6"/>
        <v>33.85</v>
      </c>
      <c r="X23" s="61">
        <v>43797</v>
      </c>
      <c r="Y23" s="61">
        <v>43796</v>
      </c>
      <c r="Z23" s="61">
        <v>43806</v>
      </c>
      <c r="AA23" s="62">
        <v>1</v>
      </c>
      <c r="AB23" s="62">
        <f t="shared" si="24"/>
        <v>10</v>
      </c>
      <c r="AC23" t="s">
        <v>101</v>
      </c>
      <c r="AD23">
        <v>13821377068</v>
      </c>
      <c r="AE23">
        <v>0</v>
      </c>
      <c r="AF23">
        <v>1</v>
      </c>
      <c r="AG23">
        <v>3</v>
      </c>
      <c r="AH23">
        <f t="shared" si="25"/>
        <v>1</v>
      </c>
      <c r="AI23">
        <v>2</v>
      </c>
      <c r="AJ23">
        <f t="shared" si="26"/>
        <v>1</v>
      </c>
      <c r="AK23">
        <f t="shared" si="27"/>
        <v>8</v>
      </c>
      <c r="AL23">
        <v>2</v>
      </c>
      <c r="AM23" s="1">
        <f t="shared" si="9"/>
        <v>17.9</v>
      </c>
      <c r="AN23" s="1">
        <f t="shared" si="10"/>
        <v>60</v>
      </c>
      <c r="AO23" s="1">
        <f t="shared" si="28"/>
        <v>1.31</v>
      </c>
      <c r="AP23" s="62">
        <f t="shared" si="29"/>
        <v>3.19804848427104</v>
      </c>
      <c r="AQ23">
        <v>0</v>
      </c>
      <c r="AR23">
        <f t="shared" si="30"/>
        <v>1</v>
      </c>
      <c r="AS23">
        <v>1.19</v>
      </c>
      <c r="AT23">
        <v>2.95</v>
      </c>
      <c r="AU23">
        <v>44</v>
      </c>
      <c r="AV23">
        <v>49</v>
      </c>
      <c r="AW23">
        <v>0.72</v>
      </c>
      <c r="AX23">
        <v>0.37</v>
      </c>
      <c r="AY23">
        <v>0.07</v>
      </c>
      <c r="AZ23">
        <f t="shared" si="13"/>
        <v>1.94594594594595</v>
      </c>
      <c r="BA23">
        <f t="shared" si="14"/>
        <v>132.432432432432</v>
      </c>
      <c r="BB23">
        <f t="shared" si="15"/>
        <v>5.28571428571429</v>
      </c>
      <c r="BC23">
        <v>1.99</v>
      </c>
      <c r="BD23">
        <v>1.68</v>
      </c>
      <c r="BE23" s="54">
        <v>1.23</v>
      </c>
      <c r="BF23" t="s">
        <v>3414</v>
      </c>
      <c r="BG23">
        <v>6.7</v>
      </c>
      <c r="BH23">
        <v>182.8</v>
      </c>
      <c r="BI23">
        <v>58.23</v>
      </c>
      <c r="BN23">
        <v>24</v>
      </c>
      <c r="BR23">
        <v>14.3</v>
      </c>
      <c r="BS23">
        <v>1.31</v>
      </c>
      <c r="BT23">
        <v>30.7</v>
      </c>
      <c r="BU23">
        <v>22.5</v>
      </c>
      <c r="BV23">
        <v>1.66</v>
      </c>
      <c r="BW23">
        <v>2986</v>
      </c>
      <c r="BX23">
        <v>56</v>
      </c>
      <c r="BY23" s="63">
        <v>32</v>
      </c>
      <c r="BZ23">
        <v>24</v>
      </c>
      <c r="CA23">
        <v>16.2</v>
      </c>
      <c r="CB23">
        <v>13</v>
      </c>
      <c r="CC23">
        <v>18</v>
      </c>
      <c r="CD23">
        <v>128</v>
      </c>
      <c r="CE23">
        <v>12</v>
      </c>
      <c r="CF23">
        <v>17.9</v>
      </c>
      <c r="CG23">
        <v>6.5</v>
      </c>
      <c r="CH23" s="57">
        <f t="shared" si="16"/>
        <v>1.24615384615385</v>
      </c>
      <c r="CI23" s="57">
        <f t="shared" si="17"/>
        <v>0.140625</v>
      </c>
      <c r="CJ23" s="57">
        <f t="shared" si="18"/>
        <v>2.75384615384615</v>
      </c>
      <c r="CK23">
        <v>3.04</v>
      </c>
      <c r="CL23">
        <v>0.53</v>
      </c>
      <c r="CM23">
        <v>1.08</v>
      </c>
      <c r="CN23">
        <v>1.48</v>
      </c>
      <c r="CO23">
        <v>4.7</v>
      </c>
      <c r="CP23">
        <v>60</v>
      </c>
      <c r="CQ23">
        <v>286</v>
      </c>
      <c r="CR23">
        <v>4.8</v>
      </c>
      <c r="CS23">
        <v>1.93</v>
      </c>
      <c r="CT23">
        <v>3.9</v>
      </c>
      <c r="CU23">
        <v>144</v>
      </c>
      <c r="CV23">
        <v>111</v>
      </c>
      <c r="CW23">
        <v>29</v>
      </c>
      <c r="CX23">
        <v>7.9</v>
      </c>
      <c r="DC23">
        <v>197.3</v>
      </c>
      <c r="DE23">
        <v>3.78</v>
      </c>
      <c r="DF23">
        <v>9.81</v>
      </c>
      <c r="DG23">
        <v>1.486</v>
      </c>
      <c r="DH23">
        <v>58.5</v>
      </c>
      <c r="DI23">
        <v>4.7</v>
      </c>
      <c r="DJ23">
        <v>7.8</v>
      </c>
      <c r="DK23">
        <v>7.3</v>
      </c>
      <c r="DL23">
        <v>3.6</v>
      </c>
      <c r="DM23">
        <v>20.1</v>
      </c>
      <c r="DN23">
        <v>1.3</v>
      </c>
      <c r="DO23">
        <v>1</v>
      </c>
      <c r="DP23">
        <v>1170</v>
      </c>
      <c r="DQ23">
        <v>123</v>
      </c>
      <c r="DR23">
        <v>123</v>
      </c>
      <c r="DS23">
        <v>53.9</v>
      </c>
      <c r="DT23">
        <v>11</v>
      </c>
      <c r="DU23">
        <v>17.1</v>
      </c>
      <c r="DV23">
        <v>0.25</v>
      </c>
      <c r="DW23">
        <v>0.31</v>
      </c>
      <c r="DY23" s="62"/>
      <c r="EG23">
        <f t="shared" si="19"/>
        <v>3.6</v>
      </c>
    </row>
    <row r="24" spans="1:137">
      <c r="A24" t="s">
        <v>3111</v>
      </c>
      <c r="B24">
        <v>1017870</v>
      </c>
      <c r="C24">
        <v>1</v>
      </c>
      <c r="D24">
        <v>64</v>
      </c>
      <c r="E24" s="54">
        <v>1.7</v>
      </c>
      <c r="F24">
        <v>51</v>
      </c>
      <c r="G24" s="54">
        <f t="shared" si="23"/>
        <v>17.6470588235294</v>
      </c>
      <c r="H24" s="55">
        <v>87</v>
      </c>
      <c r="I24" s="56">
        <v>89.148</v>
      </c>
      <c r="J24" s="57">
        <v>100.9275</v>
      </c>
      <c r="K24" s="57">
        <v>28.9539</v>
      </c>
      <c r="L24" s="57">
        <v>93.0489</v>
      </c>
      <c r="M24" s="57">
        <f t="shared" ref="M24:M29" si="31">P24/O24</f>
        <v>3.21369141980873</v>
      </c>
      <c r="N24" s="57">
        <f t="shared" ref="N24:N29" si="32">J24/(E24*E24)</f>
        <v>34.9230103806228</v>
      </c>
      <c r="O24" s="57">
        <f t="shared" ref="O24:O29" si="33">K24/(E24*E24)</f>
        <v>10.0186505190311</v>
      </c>
      <c r="P24" s="57">
        <f t="shared" ref="P24:P29" si="34">L24/(E24*E24)</f>
        <v>32.1968512110727</v>
      </c>
      <c r="Q24" s="57">
        <f t="shared" ref="Q24:Q29" si="35">O24+P24</f>
        <v>42.2155017301038</v>
      </c>
      <c r="R24" s="58">
        <v>-0.446502057613169</v>
      </c>
      <c r="S24" s="54"/>
      <c r="T24">
        <v>8.9</v>
      </c>
      <c r="U24" s="68">
        <v>6</v>
      </c>
      <c r="V24" s="68">
        <v>3</v>
      </c>
      <c r="W24" s="60">
        <f t="shared" si="6"/>
        <v>32.15</v>
      </c>
      <c r="X24" s="61">
        <v>43796</v>
      </c>
      <c r="Y24" s="61">
        <v>43796</v>
      </c>
      <c r="Z24" s="61">
        <v>43803</v>
      </c>
      <c r="AA24" s="62">
        <v>1</v>
      </c>
      <c r="AB24" s="62">
        <f t="shared" si="24"/>
        <v>7</v>
      </c>
      <c r="AC24" t="s">
        <v>3285</v>
      </c>
      <c r="AD24">
        <v>18202650497</v>
      </c>
      <c r="AE24">
        <v>1</v>
      </c>
      <c r="AF24">
        <v>1</v>
      </c>
      <c r="AG24">
        <v>3</v>
      </c>
      <c r="AH24">
        <f t="shared" si="25"/>
        <v>1</v>
      </c>
      <c r="AI24">
        <v>2</v>
      </c>
      <c r="AJ24">
        <f t="shared" si="26"/>
        <v>1</v>
      </c>
      <c r="AK24">
        <f t="shared" si="27"/>
        <v>8</v>
      </c>
      <c r="AL24">
        <v>2</v>
      </c>
      <c r="AM24" s="1">
        <f t="shared" si="9"/>
        <v>15.7</v>
      </c>
      <c r="AN24" s="1">
        <f t="shared" si="10"/>
        <v>74</v>
      </c>
      <c r="AO24" s="1">
        <f t="shared" si="28"/>
        <v>1.21</v>
      </c>
      <c r="AP24" s="62">
        <f t="shared" si="29"/>
        <v>2.13494802761688</v>
      </c>
      <c r="AQ24">
        <v>0</v>
      </c>
      <c r="AR24">
        <f t="shared" si="30"/>
        <v>1</v>
      </c>
      <c r="AS24">
        <v>3.63</v>
      </c>
      <c r="AT24">
        <v>1.23</v>
      </c>
      <c r="AU24">
        <v>46</v>
      </c>
      <c r="AV24">
        <v>99</v>
      </c>
      <c r="AW24">
        <v>2.54</v>
      </c>
      <c r="AX24">
        <v>0.43</v>
      </c>
      <c r="AY24">
        <v>0.54</v>
      </c>
      <c r="AZ24">
        <f t="shared" si="13"/>
        <v>5.90697674418605</v>
      </c>
      <c r="BA24">
        <f t="shared" si="14"/>
        <v>230.232558139535</v>
      </c>
      <c r="BB24">
        <f t="shared" si="15"/>
        <v>0.796296296296296</v>
      </c>
      <c r="BC24">
        <v>2.88</v>
      </c>
      <c r="BD24">
        <v>52.51</v>
      </c>
      <c r="BE24" s="54">
        <v>15.66</v>
      </c>
      <c r="BF24">
        <v>8.8</v>
      </c>
      <c r="BM24">
        <v>0.396</v>
      </c>
      <c r="BN24">
        <v>58</v>
      </c>
      <c r="BR24">
        <v>13.2</v>
      </c>
      <c r="BS24">
        <v>1.21</v>
      </c>
      <c r="BT24">
        <v>29.8</v>
      </c>
      <c r="BU24">
        <v>22.7</v>
      </c>
      <c r="BV24">
        <v>2.6</v>
      </c>
      <c r="BW24">
        <v>2852</v>
      </c>
      <c r="BX24">
        <v>69</v>
      </c>
      <c r="BY24" s="63">
        <v>30</v>
      </c>
      <c r="BZ24">
        <v>39</v>
      </c>
      <c r="CA24">
        <v>15</v>
      </c>
      <c r="CB24">
        <v>28</v>
      </c>
      <c r="CC24">
        <v>147</v>
      </c>
      <c r="CD24">
        <v>26</v>
      </c>
      <c r="CE24">
        <v>194</v>
      </c>
      <c r="CF24">
        <v>15.7</v>
      </c>
      <c r="CG24">
        <v>7.9</v>
      </c>
      <c r="CH24" s="57">
        <f t="shared" si="16"/>
        <v>0.535714285714286</v>
      </c>
      <c r="CI24" s="57">
        <f t="shared" si="17"/>
        <v>5.65384615384615</v>
      </c>
      <c r="CJ24" s="57">
        <f t="shared" si="18"/>
        <v>1.9873417721519</v>
      </c>
      <c r="CK24">
        <v>2.36</v>
      </c>
      <c r="CL24">
        <v>1.04</v>
      </c>
      <c r="CM24">
        <v>0.65</v>
      </c>
      <c r="CN24">
        <v>1.22</v>
      </c>
      <c r="CO24">
        <v>10</v>
      </c>
      <c r="CP24">
        <v>74</v>
      </c>
      <c r="CQ24">
        <v>615</v>
      </c>
      <c r="CS24">
        <v>2.1</v>
      </c>
      <c r="CT24">
        <v>4</v>
      </c>
      <c r="CU24">
        <v>137</v>
      </c>
      <c r="CV24">
        <v>106</v>
      </c>
      <c r="CW24">
        <v>22</v>
      </c>
      <c r="CX24">
        <v>13</v>
      </c>
      <c r="DD24">
        <v>96.1</v>
      </c>
      <c r="DE24">
        <v>3.68</v>
      </c>
      <c r="DF24">
        <v>11.73</v>
      </c>
      <c r="DG24">
        <v>0.618</v>
      </c>
      <c r="DY24" s="62"/>
      <c r="DZ24">
        <v>27</v>
      </c>
      <c r="EA24">
        <v>78</v>
      </c>
      <c r="EB24">
        <v>5.9</v>
      </c>
      <c r="EC24">
        <v>1.94</v>
      </c>
      <c r="ED24">
        <v>7.1</v>
      </c>
      <c r="EE24">
        <v>113</v>
      </c>
      <c r="EF24">
        <v>1.89</v>
      </c>
      <c r="EG24">
        <f t="shared" si="19"/>
        <v>0.408163265306122</v>
      </c>
    </row>
    <row r="25" spans="1:137">
      <c r="A25" s="45" t="s">
        <v>103</v>
      </c>
      <c r="B25">
        <v>1056855</v>
      </c>
      <c r="C25">
        <v>1</v>
      </c>
      <c r="D25">
        <v>68</v>
      </c>
      <c r="E25" s="54">
        <v>1.7</v>
      </c>
      <c r="F25">
        <v>80</v>
      </c>
      <c r="G25" s="54">
        <f t="shared" si="23"/>
        <v>27.681660899654</v>
      </c>
      <c r="H25" s="55">
        <v>88</v>
      </c>
      <c r="I25" s="56">
        <v>91.167</v>
      </c>
      <c r="J25" s="57">
        <v>183.5989</v>
      </c>
      <c r="K25" s="57">
        <v>124.6075</v>
      </c>
      <c r="L25" s="57">
        <v>104.2363</v>
      </c>
      <c r="M25" s="57">
        <f t="shared" si="31"/>
        <v>0.83651706357964</v>
      </c>
      <c r="N25" s="57">
        <f t="shared" si="32"/>
        <v>63.5290311418685</v>
      </c>
      <c r="O25" s="57">
        <f t="shared" si="33"/>
        <v>43.1167820069204</v>
      </c>
      <c r="P25" s="57">
        <f t="shared" si="34"/>
        <v>36.0679238754325</v>
      </c>
      <c r="Q25" s="57">
        <f t="shared" si="35"/>
        <v>79.1847058823529</v>
      </c>
      <c r="R25" s="58">
        <v>-0.419952494061758</v>
      </c>
      <c r="S25" s="54"/>
      <c r="T25">
        <v>8.1</v>
      </c>
      <c r="U25" s="68">
        <v>2</v>
      </c>
      <c r="V25" s="68">
        <v>3</v>
      </c>
      <c r="W25" s="60">
        <f t="shared" si="6"/>
        <v>29.7</v>
      </c>
      <c r="X25" s="61">
        <v>43791</v>
      </c>
      <c r="Y25" s="61">
        <v>43790</v>
      </c>
      <c r="Z25" s="61">
        <v>43803</v>
      </c>
      <c r="AA25" s="62">
        <v>1</v>
      </c>
      <c r="AB25" s="62">
        <f t="shared" si="24"/>
        <v>13</v>
      </c>
      <c r="AC25" t="s">
        <v>104</v>
      </c>
      <c r="AD25">
        <v>15022733250</v>
      </c>
      <c r="AE25">
        <v>1</v>
      </c>
      <c r="AF25">
        <v>3</v>
      </c>
      <c r="AG25">
        <v>1</v>
      </c>
      <c r="AH25">
        <f t="shared" si="25"/>
        <v>1</v>
      </c>
      <c r="AI25">
        <f>_xlfn.IFS(BY25&lt;28,1,BY25=28-35,2,BY25&gt;35,3)</f>
        <v>1</v>
      </c>
      <c r="AJ25">
        <f t="shared" si="26"/>
        <v>1</v>
      </c>
      <c r="AK25">
        <f t="shared" si="27"/>
        <v>7</v>
      </c>
      <c r="AL25">
        <v>2</v>
      </c>
      <c r="AM25" s="1">
        <f t="shared" si="9"/>
        <v>24</v>
      </c>
      <c r="AN25" s="1">
        <f t="shared" si="10"/>
        <v>59</v>
      </c>
      <c r="AO25" s="1">
        <f t="shared" si="28"/>
        <v>1.12</v>
      </c>
      <c r="AP25" s="62">
        <f t="shared" si="29"/>
        <v>2.5573876694279</v>
      </c>
      <c r="AQ25">
        <v>0</v>
      </c>
      <c r="AR25">
        <f t="shared" si="30"/>
        <v>1</v>
      </c>
      <c r="AS25">
        <v>4.26</v>
      </c>
      <c r="AT25">
        <v>2.24</v>
      </c>
      <c r="AU25">
        <v>74</v>
      </c>
      <c r="AV25">
        <v>81</v>
      </c>
      <c r="AW25">
        <v>3.34</v>
      </c>
      <c r="AX25">
        <v>0.54</v>
      </c>
      <c r="AY25">
        <v>0.33</v>
      </c>
      <c r="AZ25">
        <f t="shared" si="13"/>
        <v>6.18518518518518</v>
      </c>
      <c r="BA25">
        <f t="shared" si="14"/>
        <v>150</v>
      </c>
      <c r="BB25">
        <f t="shared" si="15"/>
        <v>1.63636363636364</v>
      </c>
      <c r="BC25">
        <v>3.44</v>
      </c>
      <c r="BD25">
        <v>36.49</v>
      </c>
      <c r="BE25" s="54">
        <v>2.93</v>
      </c>
      <c r="BF25">
        <v>23.29</v>
      </c>
      <c r="BM25">
        <v>0.345</v>
      </c>
      <c r="BN25">
        <v>21</v>
      </c>
      <c r="BR25">
        <v>12.3</v>
      </c>
      <c r="BS25">
        <v>1.12</v>
      </c>
      <c r="BT25">
        <v>27.9</v>
      </c>
      <c r="BU25">
        <v>22.3</v>
      </c>
      <c r="BV25">
        <v>2.18</v>
      </c>
      <c r="BW25">
        <v>1325</v>
      </c>
      <c r="BX25">
        <v>54</v>
      </c>
      <c r="BY25" s="63">
        <v>27</v>
      </c>
      <c r="BZ25">
        <v>27</v>
      </c>
      <c r="CA25">
        <v>120</v>
      </c>
      <c r="CB25">
        <v>75</v>
      </c>
      <c r="CC25">
        <v>68</v>
      </c>
      <c r="CD25">
        <v>60</v>
      </c>
      <c r="CE25">
        <v>161</v>
      </c>
      <c r="CF25">
        <v>24</v>
      </c>
      <c r="CG25">
        <v>10.7</v>
      </c>
      <c r="CH25" s="57">
        <f t="shared" si="16"/>
        <v>1.6</v>
      </c>
      <c r="CI25" s="57">
        <f t="shared" si="17"/>
        <v>1.13333333333333</v>
      </c>
      <c r="CJ25" s="57">
        <f t="shared" si="18"/>
        <v>2.24299065420561</v>
      </c>
      <c r="CK25">
        <v>4.07</v>
      </c>
      <c r="CL25">
        <v>1.01</v>
      </c>
      <c r="CM25">
        <v>0.87</v>
      </c>
      <c r="CN25">
        <v>2.53</v>
      </c>
      <c r="CO25">
        <v>5.8</v>
      </c>
      <c r="CP25">
        <v>59</v>
      </c>
      <c r="CQ25">
        <v>288</v>
      </c>
      <c r="CR25">
        <v>6.5</v>
      </c>
      <c r="CS25">
        <v>1.75</v>
      </c>
      <c r="CT25">
        <v>3.8</v>
      </c>
      <c r="CU25">
        <v>137</v>
      </c>
      <c r="CV25">
        <v>106</v>
      </c>
      <c r="CW25">
        <v>27</v>
      </c>
      <c r="CX25">
        <v>7.8</v>
      </c>
      <c r="CZ25">
        <v>20</v>
      </c>
      <c r="DA25">
        <v>6</v>
      </c>
      <c r="DE25">
        <v>1.69</v>
      </c>
      <c r="DF25">
        <v>9.54</v>
      </c>
      <c r="DG25">
        <v>0.355</v>
      </c>
      <c r="DH25">
        <v>49.6</v>
      </c>
      <c r="DI25">
        <v>4.2</v>
      </c>
      <c r="DJ25">
        <v>9.1</v>
      </c>
      <c r="DK25">
        <v>6.8</v>
      </c>
      <c r="DL25">
        <v>7.7</v>
      </c>
      <c r="DM25">
        <v>22.6</v>
      </c>
      <c r="DN25">
        <v>0.98</v>
      </c>
      <c r="DO25">
        <v>1</v>
      </c>
      <c r="DP25">
        <v>1360</v>
      </c>
      <c r="DQ25">
        <v>613</v>
      </c>
      <c r="DR25">
        <v>108</v>
      </c>
      <c r="DS25">
        <v>69.3</v>
      </c>
      <c r="DT25">
        <v>17.7</v>
      </c>
      <c r="DU25">
        <v>364</v>
      </c>
      <c r="DV25">
        <v>0.63</v>
      </c>
      <c r="DW25">
        <v>0.43</v>
      </c>
      <c r="DY25" s="62"/>
      <c r="EG25">
        <f t="shared" si="19"/>
        <v>7.05882352941176</v>
      </c>
    </row>
    <row r="26" spans="1:137">
      <c r="A26" t="s">
        <v>106</v>
      </c>
      <c r="B26">
        <v>1021784</v>
      </c>
      <c r="C26">
        <v>1</v>
      </c>
      <c r="D26">
        <v>57</v>
      </c>
      <c r="E26" s="54">
        <v>1.65</v>
      </c>
      <c r="F26">
        <v>56</v>
      </c>
      <c r="G26" s="54">
        <f t="shared" si="23"/>
        <v>20.5693296602388</v>
      </c>
      <c r="H26" s="55">
        <v>82</v>
      </c>
      <c r="I26" s="56">
        <v>80.149</v>
      </c>
      <c r="J26" s="57">
        <v>126.6267</v>
      </c>
      <c r="K26" s="57">
        <v>78.9847</v>
      </c>
      <c r="L26" s="57">
        <v>74.1307</v>
      </c>
      <c r="M26" s="57">
        <f t="shared" si="31"/>
        <v>0.938545059992631</v>
      </c>
      <c r="N26" s="57">
        <f t="shared" si="32"/>
        <v>46.5111845730028</v>
      </c>
      <c r="O26" s="57">
        <f t="shared" si="33"/>
        <v>29.0118273645546</v>
      </c>
      <c r="P26" s="57">
        <f t="shared" si="34"/>
        <v>27.2289072543618</v>
      </c>
      <c r="Q26" s="57">
        <f t="shared" si="35"/>
        <v>56.2407346189164</v>
      </c>
      <c r="R26" s="58">
        <v>-0.507840161861406</v>
      </c>
      <c r="S26" s="54"/>
      <c r="T26">
        <v>7.65</v>
      </c>
      <c r="U26" s="68">
        <v>2</v>
      </c>
      <c r="V26" s="68">
        <v>3</v>
      </c>
      <c r="W26" s="60">
        <f t="shared" si="6"/>
        <v>36.4</v>
      </c>
      <c r="X26" s="61">
        <v>43791</v>
      </c>
      <c r="Y26" s="69">
        <v>43791</v>
      </c>
      <c r="Z26" s="61">
        <v>43796</v>
      </c>
      <c r="AA26" s="62">
        <v>1</v>
      </c>
      <c r="AB26" s="62">
        <f t="shared" si="24"/>
        <v>5</v>
      </c>
      <c r="AC26" t="s">
        <v>107</v>
      </c>
      <c r="AD26">
        <v>13821988724</v>
      </c>
      <c r="AE26">
        <v>1</v>
      </c>
      <c r="AF26">
        <v>1</v>
      </c>
      <c r="AG26">
        <v>2</v>
      </c>
      <c r="AH26">
        <f t="shared" si="25"/>
        <v>1</v>
      </c>
      <c r="AI26">
        <v>2</v>
      </c>
      <c r="AJ26">
        <f t="shared" si="26"/>
        <v>1</v>
      </c>
      <c r="AK26">
        <f t="shared" si="27"/>
        <v>7</v>
      </c>
      <c r="AL26">
        <v>2</v>
      </c>
      <c r="AM26" s="1">
        <f t="shared" si="9"/>
        <v>25.9</v>
      </c>
      <c r="AN26" s="1">
        <f t="shared" si="10"/>
        <v>63</v>
      </c>
      <c r="AO26" s="1">
        <f t="shared" si="28"/>
        <v>1.37</v>
      </c>
      <c r="AP26" s="62">
        <f t="shared" si="29"/>
        <v>5.10350540595651</v>
      </c>
      <c r="AQ26">
        <v>0</v>
      </c>
      <c r="AR26">
        <f t="shared" si="30"/>
        <v>1</v>
      </c>
      <c r="AS26">
        <v>3.07</v>
      </c>
      <c r="AT26">
        <v>3.83</v>
      </c>
      <c r="AU26">
        <v>89</v>
      </c>
      <c r="AV26">
        <v>84</v>
      </c>
      <c r="AW26">
        <v>1.9</v>
      </c>
      <c r="AX26">
        <v>0.68</v>
      </c>
      <c r="AY26">
        <v>0.32</v>
      </c>
      <c r="AZ26">
        <f t="shared" si="13"/>
        <v>2.79411764705882</v>
      </c>
      <c r="BA26">
        <f t="shared" si="14"/>
        <v>123.529411764706</v>
      </c>
      <c r="BB26">
        <f t="shared" si="15"/>
        <v>2.125</v>
      </c>
      <c r="BC26">
        <v>1.4</v>
      </c>
      <c r="BD26">
        <v>23.12</v>
      </c>
      <c r="BE26" s="54">
        <v>2.13</v>
      </c>
      <c r="BF26">
        <v>6.21</v>
      </c>
      <c r="BM26">
        <v>0.618</v>
      </c>
      <c r="BN26">
        <v>68</v>
      </c>
      <c r="BR26">
        <v>15</v>
      </c>
      <c r="BS26">
        <v>1.37</v>
      </c>
      <c r="BT26">
        <v>32.9</v>
      </c>
      <c r="BU26">
        <v>23.3</v>
      </c>
      <c r="BV26">
        <v>3.04</v>
      </c>
      <c r="BW26">
        <v>2189</v>
      </c>
      <c r="BX26">
        <v>67</v>
      </c>
      <c r="BY26" s="63">
        <v>33</v>
      </c>
      <c r="BZ26">
        <v>34</v>
      </c>
      <c r="CA26">
        <v>47</v>
      </c>
      <c r="CB26">
        <v>31</v>
      </c>
      <c r="CC26">
        <v>77</v>
      </c>
      <c r="CD26">
        <v>23</v>
      </c>
      <c r="CE26">
        <v>123.6</v>
      </c>
      <c r="CF26">
        <v>25.9</v>
      </c>
      <c r="CG26">
        <v>9</v>
      </c>
      <c r="CH26" s="57">
        <f t="shared" si="16"/>
        <v>1.51612903225806</v>
      </c>
      <c r="CI26" s="57">
        <f t="shared" si="17"/>
        <v>3.34782608695652</v>
      </c>
      <c r="CJ26" s="57">
        <f t="shared" si="18"/>
        <v>2.87777777777778</v>
      </c>
      <c r="CK26">
        <v>3.23</v>
      </c>
      <c r="CL26">
        <v>1.28</v>
      </c>
      <c r="CM26">
        <v>0.74</v>
      </c>
      <c r="CN26">
        <v>1.85</v>
      </c>
      <c r="CO26">
        <v>4.6</v>
      </c>
      <c r="CP26">
        <v>63</v>
      </c>
      <c r="CQ26">
        <v>351</v>
      </c>
      <c r="CR26">
        <v>7.7</v>
      </c>
      <c r="CS26">
        <v>2.09</v>
      </c>
      <c r="CT26">
        <v>4.8</v>
      </c>
      <c r="CU26">
        <v>139</v>
      </c>
      <c r="CV26">
        <v>103</v>
      </c>
      <c r="CW26">
        <v>28</v>
      </c>
      <c r="CX26">
        <v>12.8</v>
      </c>
      <c r="DD26">
        <v>361</v>
      </c>
      <c r="DE26">
        <v>2.27</v>
      </c>
      <c r="DF26">
        <v>11.08</v>
      </c>
      <c r="DG26">
        <v>0.207</v>
      </c>
      <c r="DY26" s="62"/>
      <c r="EG26">
        <f t="shared" si="19"/>
        <v>2.44155844155844</v>
      </c>
    </row>
    <row r="27" spans="1:137">
      <c r="A27" t="s">
        <v>3286</v>
      </c>
      <c r="B27">
        <v>785491</v>
      </c>
      <c r="C27">
        <v>1</v>
      </c>
      <c r="D27">
        <v>59</v>
      </c>
      <c r="E27" s="54">
        <v>1.8</v>
      </c>
      <c r="F27">
        <v>95</v>
      </c>
      <c r="G27" s="54">
        <f t="shared" si="23"/>
        <v>29.320987654321</v>
      </c>
      <c r="H27" s="55">
        <v>115</v>
      </c>
      <c r="I27" s="56">
        <v>119.73</v>
      </c>
      <c r="J27" s="57">
        <v>142.9543</v>
      </c>
      <c r="K27" s="57">
        <v>181.8607</v>
      </c>
      <c r="L27" s="57">
        <v>204.7809</v>
      </c>
      <c r="M27" s="57">
        <f t="shared" si="31"/>
        <v>1.12603162750391</v>
      </c>
      <c r="N27" s="57">
        <f t="shared" si="32"/>
        <v>44.1216975308642</v>
      </c>
      <c r="O27" s="57">
        <f t="shared" si="33"/>
        <v>56.1298456790123</v>
      </c>
      <c r="P27" s="57">
        <f t="shared" si="34"/>
        <v>63.2039814814815</v>
      </c>
      <c r="Q27" s="57">
        <f t="shared" si="35"/>
        <v>119.333827160494</v>
      </c>
      <c r="R27" s="58">
        <v>-0.437762605042017</v>
      </c>
      <c r="S27" s="54">
        <v>33.5</v>
      </c>
      <c r="T27">
        <v>8.84</v>
      </c>
      <c r="U27" s="68">
        <v>6</v>
      </c>
      <c r="V27" s="68">
        <v>3</v>
      </c>
      <c r="W27" s="60">
        <f t="shared" si="6"/>
        <v>29.45</v>
      </c>
      <c r="X27" s="61">
        <v>43794</v>
      </c>
      <c r="Y27" s="61">
        <v>43794</v>
      </c>
      <c r="Z27" s="61">
        <v>43806</v>
      </c>
      <c r="AA27" s="62">
        <v>1</v>
      </c>
      <c r="AB27" s="62">
        <f t="shared" si="24"/>
        <v>12</v>
      </c>
      <c r="AC27" t="s">
        <v>3287</v>
      </c>
      <c r="AD27">
        <v>15522293035</v>
      </c>
      <c r="AE27">
        <v>0</v>
      </c>
      <c r="AF27">
        <v>1</v>
      </c>
      <c r="AG27">
        <v>3</v>
      </c>
      <c r="AH27">
        <f t="shared" si="25"/>
        <v>3</v>
      </c>
      <c r="AI27">
        <f>_xlfn.IFS(BY27&lt;28,1,BY27=28-35,2,BY27&gt;35,3)</f>
        <v>1</v>
      </c>
      <c r="AJ27">
        <f t="shared" si="26"/>
        <v>1</v>
      </c>
      <c r="AK27">
        <f t="shared" si="27"/>
        <v>9</v>
      </c>
      <c r="AL27">
        <v>2</v>
      </c>
      <c r="AM27" s="1">
        <f t="shared" si="9"/>
        <v>103.5</v>
      </c>
      <c r="AN27" s="1">
        <f t="shared" si="10"/>
        <v>69</v>
      </c>
      <c r="AO27" s="1">
        <f t="shared" si="28"/>
        <v>1.63</v>
      </c>
      <c r="AP27" s="62">
        <f t="shared" si="29"/>
        <v>12.313970132917</v>
      </c>
      <c r="AQ27">
        <v>0</v>
      </c>
      <c r="AR27">
        <f t="shared" si="30"/>
        <v>1</v>
      </c>
      <c r="AS27">
        <v>8.96</v>
      </c>
      <c r="AT27">
        <v>3.18</v>
      </c>
      <c r="AU27">
        <v>111</v>
      </c>
      <c r="AV27">
        <v>212</v>
      </c>
      <c r="AW27">
        <v>6.14</v>
      </c>
      <c r="AX27">
        <v>1.69</v>
      </c>
      <c r="AY27">
        <v>0.81</v>
      </c>
      <c r="AZ27">
        <f t="shared" si="13"/>
        <v>3.63313609467456</v>
      </c>
      <c r="BA27">
        <f t="shared" si="14"/>
        <v>125.443786982249</v>
      </c>
      <c r="BB27">
        <f t="shared" si="15"/>
        <v>2.08641975308642</v>
      </c>
      <c r="BC27">
        <v>3.19</v>
      </c>
      <c r="BD27">
        <v>327.7</v>
      </c>
      <c r="BE27" s="54">
        <v>3.99</v>
      </c>
      <c r="BF27">
        <v>9.97</v>
      </c>
      <c r="BM27">
        <v>0.605</v>
      </c>
      <c r="BN27">
        <v>43</v>
      </c>
      <c r="BR27">
        <v>17.9</v>
      </c>
      <c r="BS27">
        <v>1.63</v>
      </c>
      <c r="BT27">
        <v>39</v>
      </c>
      <c r="BU27">
        <v>24.1</v>
      </c>
      <c r="BV27">
        <v>1.39</v>
      </c>
      <c r="BW27">
        <v>5895</v>
      </c>
      <c r="BX27">
        <v>56</v>
      </c>
      <c r="BY27" s="63">
        <v>21</v>
      </c>
      <c r="BZ27">
        <v>35</v>
      </c>
      <c r="CA27">
        <v>17</v>
      </c>
      <c r="CB27">
        <v>75</v>
      </c>
      <c r="CC27">
        <v>134</v>
      </c>
      <c r="CD27">
        <v>284</v>
      </c>
      <c r="CE27">
        <v>202</v>
      </c>
      <c r="CF27">
        <v>103.5</v>
      </c>
      <c r="CG27">
        <v>79.8</v>
      </c>
      <c r="CH27" s="57">
        <f t="shared" si="16"/>
        <v>0.226666666666667</v>
      </c>
      <c r="CI27" s="57">
        <f t="shared" si="17"/>
        <v>0.471830985915493</v>
      </c>
      <c r="CJ27" s="57">
        <f t="shared" si="18"/>
        <v>1.29699248120301</v>
      </c>
      <c r="CK27">
        <v>3.83</v>
      </c>
      <c r="CL27">
        <v>1.85</v>
      </c>
      <c r="CM27">
        <v>0.47</v>
      </c>
      <c r="CN27">
        <v>1.93</v>
      </c>
      <c r="CO27">
        <v>4.2</v>
      </c>
      <c r="CP27">
        <v>69</v>
      </c>
      <c r="CQ27">
        <v>388</v>
      </c>
      <c r="CR27">
        <v>5.5</v>
      </c>
      <c r="CS27">
        <v>1.95</v>
      </c>
      <c r="CT27">
        <v>3.5</v>
      </c>
      <c r="CU27">
        <v>139</v>
      </c>
      <c r="CV27">
        <v>101</v>
      </c>
      <c r="CW27">
        <v>33</v>
      </c>
      <c r="CX27">
        <v>8.5</v>
      </c>
      <c r="CZ27">
        <v>48</v>
      </c>
      <c r="DA27">
        <v>24</v>
      </c>
      <c r="DB27">
        <v>0.013</v>
      </c>
      <c r="DC27">
        <v>257.8</v>
      </c>
      <c r="DE27">
        <v>3.14</v>
      </c>
      <c r="DF27">
        <v>11.08</v>
      </c>
      <c r="DG27">
        <v>2.111</v>
      </c>
      <c r="DH27">
        <v>44.4</v>
      </c>
      <c r="DI27">
        <v>4.3</v>
      </c>
      <c r="DJ27">
        <v>7.1</v>
      </c>
      <c r="DK27">
        <v>3.6</v>
      </c>
      <c r="DL27">
        <v>7</v>
      </c>
      <c r="DM27">
        <v>33.6</v>
      </c>
      <c r="DN27">
        <v>0.8</v>
      </c>
      <c r="DO27">
        <v>0</v>
      </c>
      <c r="DP27">
        <v>1740</v>
      </c>
      <c r="DQ27">
        <v>660</v>
      </c>
      <c r="DR27">
        <v>75.1</v>
      </c>
      <c r="DS27">
        <v>54.4</v>
      </c>
      <c r="DT27">
        <v>18.6</v>
      </c>
      <c r="DU27">
        <v>35.8</v>
      </c>
      <c r="DW27">
        <v>1.5</v>
      </c>
      <c r="DY27" s="62"/>
      <c r="DZ27">
        <v>12</v>
      </c>
      <c r="EA27">
        <v>46</v>
      </c>
      <c r="EB27">
        <v>4.2</v>
      </c>
      <c r="EC27">
        <v>3.15</v>
      </c>
      <c r="ED27">
        <v>7.2</v>
      </c>
      <c r="EE27">
        <v>114</v>
      </c>
      <c r="EF27">
        <v>1.81</v>
      </c>
      <c r="EG27">
        <f t="shared" si="19"/>
        <v>0.507462686567164</v>
      </c>
    </row>
    <row r="28" spans="1:137">
      <c r="A28" s="45" t="s">
        <v>109</v>
      </c>
      <c r="B28">
        <v>1064435</v>
      </c>
      <c r="C28">
        <v>2</v>
      </c>
      <c r="D28">
        <v>56</v>
      </c>
      <c r="E28" s="54">
        <v>1.6</v>
      </c>
      <c r="F28">
        <v>65</v>
      </c>
      <c r="G28" s="54">
        <f t="shared" si="23"/>
        <v>25.390625</v>
      </c>
      <c r="H28" s="55">
        <v>90</v>
      </c>
      <c r="I28" s="56">
        <v>90.548</v>
      </c>
      <c r="J28" s="57">
        <v>97.3645</v>
      </c>
      <c r="K28" s="57">
        <v>170.5695</v>
      </c>
      <c r="L28" s="57">
        <v>111.2768</v>
      </c>
      <c r="M28" s="57">
        <f t="shared" si="31"/>
        <v>0.652383925613899</v>
      </c>
      <c r="N28" s="57">
        <f t="shared" si="32"/>
        <v>38.0330078125</v>
      </c>
      <c r="O28" s="57">
        <f t="shared" si="33"/>
        <v>66.6287109375</v>
      </c>
      <c r="P28" s="57">
        <f t="shared" si="34"/>
        <v>43.4675</v>
      </c>
      <c r="Q28" s="57">
        <f t="shared" si="35"/>
        <v>110.0962109375</v>
      </c>
      <c r="R28" s="58">
        <v>-0.503807710613993</v>
      </c>
      <c r="S28" s="54"/>
      <c r="T28">
        <v>5.87</v>
      </c>
      <c r="U28" s="64">
        <v>0</v>
      </c>
      <c r="V28" s="64">
        <v>1</v>
      </c>
      <c r="W28" s="60">
        <f t="shared" si="6"/>
        <v>37.35</v>
      </c>
      <c r="X28" s="61">
        <v>43795</v>
      </c>
      <c r="Y28" s="61">
        <v>43789</v>
      </c>
      <c r="Z28" s="61">
        <v>43803</v>
      </c>
      <c r="AA28" s="62">
        <v>1</v>
      </c>
      <c r="AB28" s="62">
        <f t="shared" si="24"/>
        <v>14</v>
      </c>
      <c r="AC28" t="s">
        <v>110</v>
      </c>
      <c r="AD28">
        <v>18222896919</v>
      </c>
      <c r="AE28">
        <v>0</v>
      </c>
      <c r="AF28">
        <v>1</v>
      </c>
      <c r="AG28">
        <v>1</v>
      </c>
      <c r="AH28">
        <f t="shared" si="25"/>
        <v>3</v>
      </c>
      <c r="AI28">
        <v>2</v>
      </c>
      <c r="AJ28">
        <f t="shared" si="26"/>
        <v>1</v>
      </c>
      <c r="AK28">
        <f t="shared" si="27"/>
        <v>8</v>
      </c>
      <c r="AL28">
        <v>2</v>
      </c>
      <c r="AM28" s="1">
        <f t="shared" si="9"/>
        <v>244.1</v>
      </c>
      <c r="AN28" s="1">
        <f t="shared" si="10"/>
        <v>38</v>
      </c>
      <c r="AO28" s="1">
        <f t="shared" si="28"/>
        <v>1.52</v>
      </c>
      <c r="AP28" s="62">
        <f t="shared" si="29"/>
        <v>21.1918539031948</v>
      </c>
      <c r="AQ28">
        <v>1</v>
      </c>
      <c r="AR28">
        <f t="shared" si="30"/>
        <v>3</v>
      </c>
      <c r="AS28">
        <v>2.87</v>
      </c>
      <c r="AT28">
        <v>4.23</v>
      </c>
      <c r="AU28">
        <v>128</v>
      </c>
      <c r="AV28">
        <v>147</v>
      </c>
      <c r="AW28">
        <v>2.14</v>
      </c>
      <c r="AX28">
        <v>0.67</v>
      </c>
      <c r="AY28">
        <v>0.05</v>
      </c>
      <c r="AZ28">
        <f t="shared" si="13"/>
        <v>3.19402985074627</v>
      </c>
      <c r="BA28">
        <f t="shared" si="14"/>
        <v>219.402985074627</v>
      </c>
      <c r="BB28">
        <f t="shared" si="15"/>
        <v>13.4</v>
      </c>
      <c r="BC28">
        <v>275.08</v>
      </c>
      <c r="BD28" t="s">
        <v>3410</v>
      </c>
      <c r="BE28" s="54">
        <v>2.29</v>
      </c>
      <c r="BF28">
        <v>8.77</v>
      </c>
      <c r="BG28">
        <v>14.5</v>
      </c>
      <c r="BH28">
        <v>17.9</v>
      </c>
      <c r="BI28">
        <v>37.57</v>
      </c>
      <c r="BM28">
        <v>0.605</v>
      </c>
      <c r="BN28">
        <v>61</v>
      </c>
      <c r="BR28">
        <v>16.6</v>
      </c>
      <c r="BS28">
        <v>1.52</v>
      </c>
      <c r="BT28">
        <v>32.4</v>
      </c>
      <c r="BU28">
        <v>21.8</v>
      </c>
      <c r="BV28">
        <v>1.59</v>
      </c>
      <c r="BW28">
        <v>243</v>
      </c>
      <c r="BX28">
        <v>67</v>
      </c>
      <c r="BY28" s="63">
        <v>34</v>
      </c>
      <c r="BZ28">
        <v>33</v>
      </c>
      <c r="CA28">
        <v>397</v>
      </c>
      <c r="CB28">
        <v>86</v>
      </c>
      <c r="CC28">
        <v>127</v>
      </c>
      <c r="CD28">
        <v>192</v>
      </c>
      <c r="CE28">
        <v>215</v>
      </c>
      <c r="CF28">
        <v>244.1</v>
      </c>
      <c r="CG28">
        <v>216.6</v>
      </c>
      <c r="CH28" s="57">
        <f t="shared" si="16"/>
        <v>4.61627906976744</v>
      </c>
      <c r="CI28" s="57">
        <f t="shared" si="17"/>
        <v>0.661458333333333</v>
      </c>
      <c r="CJ28" s="57">
        <f t="shared" si="18"/>
        <v>1.1269621421976</v>
      </c>
      <c r="CK28">
        <v>3.69</v>
      </c>
      <c r="CL28">
        <v>2.09</v>
      </c>
      <c r="CM28">
        <v>0.25</v>
      </c>
      <c r="CN28">
        <v>1.94</v>
      </c>
      <c r="CO28">
        <v>1.9</v>
      </c>
      <c r="CP28">
        <v>38</v>
      </c>
      <c r="CQ28">
        <v>155</v>
      </c>
      <c r="CR28">
        <v>7.6</v>
      </c>
      <c r="CS28">
        <v>2.15</v>
      </c>
      <c r="CT28">
        <v>3.7</v>
      </c>
      <c r="CU28">
        <v>139</v>
      </c>
      <c r="CV28">
        <v>106</v>
      </c>
      <c r="CW28">
        <v>24</v>
      </c>
      <c r="CX28">
        <v>12.7</v>
      </c>
      <c r="CY28">
        <v>17.4</v>
      </c>
      <c r="DE28">
        <v>3.47</v>
      </c>
      <c r="DF28">
        <v>17.61</v>
      </c>
      <c r="DG28">
        <v>0.065</v>
      </c>
      <c r="DH28">
        <v>56.6</v>
      </c>
      <c r="DI28">
        <v>3.7</v>
      </c>
      <c r="DJ28">
        <v>5.7</v>
      </c>
      <c r="DK28">
        <v>4</v>
      </c>
      <c r="DL28">
        <v>4.5</v>
      </c>
      <c r="DM28">
        <v>25.5</v>
      </c>
      <c r="DN28">
        <v>1.3</v>
      </c>
      <c r="DO28">
        <v>1</v>
      </c>
      <c r="DP28">
        <v>1760</v>
      </c>
      <c r="DQ28">
        <v>303</v>
      </c>
      <c r="DR28">
        <v>245</v>
      </c>
      <c r="DS28">
        <v>56.5</v>
      </c>
      <c r="DT28">
        <v>15.4</v>
      </c>
      <c r="DU28">
        <v>63</v>
      </c>
      <c r="DW28">
        <v>0.7</v>
      </c>
      <c r="DY28" s="62"/>
      <c r="EG28">
        <f t="shared" si="19"/>
        <v>12.503937007874</v>
      </c>
    </row>
    <row r="29" spans="1:137">
      <c r="A29" s="45" t="s">
        <v>112</v>
      </c>
      <c r="B29">
        <v>1064939</v>
      </c>
      <c r="C29">
        <v>2</v>
      </c>
      <c r="D29">
        <v>58</v>
      </c>
      <c r="E29" s="54">
        <v>1.68</v>
      </c>
      <c r="F29">
        <v>80</v>
      </c>
      <c r="G29" s="54">
        <f t="shared" si="23"/>
        <v>28.3446712018141</v>
      </c>
      <c r="H29" s="55">
        <v>96</v>
      </c>
      <c r="I29" s="56">
        <v>97.553</v>
      </c>
      <c r="J29" s="57">
        <v>158.8083</v>
      </c>
      <c r="K29" s="57">
        <v>151.2466</v>
      </c>
      <c r="L29" s="57">
        <v>145.4141</v>
      </c>
      <c r="M29" s="57">
        <f t="shared" si="31"/>
        <v>0.961437149661546</v>
      </c>
      <c r="N29" s="57">
        <f t="shared" si="32"/>
        <v>56.2671130952381</v>
      </c>
      <c r="O29" s="57">
        <f t="shared" si="33"/>
        <v>53.5879393424036</v>
      </c>
      <c r="P29" s="57">
        <f t="shared" si="34"/>
        <v>51.5214356575964</v>
      </c>
      <c r="Q29" s="57">
        <f t="shared" si="35"/>
        <v>105.109375</v>
      </c>
      <c r="R29" s="58">
        <v>-0.377846299810247</v>
      </c>
      <c r="S29" s="54"/>
      <c r="T29">
        <v>7.06</v>
      </c>
      <c r="U29" s="65">
        <v>1</v>
      </c>
      <c r="V29" s="65">
        <v>2</v>
      </c>
      <c r="W29" s="60">
        <f t="shared" si="6"/>
        <v>26.05</v>
      </c>
      <c r="X29" s="61">
        <v>43795</v>
      </c>
      <c r="Y29" s="61">
        <v>43792</v>
      </c>
      <c r="Z29" s="61">
        <v>43804</v>
      </c>
      <c r="AA29" s="62">
        <v>1</v>
      </c>
      <c r="AB29" s="62">
        <f t="shared" si="24"/>
        <v>12</v>
      </c>
      <c r="AC29" t="s">
        <v>113</v>
      </c>
      <c r="AD29">
        <v>18202241467</v>
      </c>
      <c r="AE29">
        <v>1</v>
      </c>
      <c r="AF29">
        <v>1</v>
      </c>
      <c r="AG29">
        <v>2</v>
      </c>
      <c r="AH29">
        <f t="shared" si="25"/>
        <v>1</v>
      </c>
      <c r="AI29">
        <f>_xlfn.IFS(BY29&lt;28,1,BY29=28-35,2,BY29&gt;35,3)</f>
        <v>1</v>
      </c>
      <c r="AJ29">
        <f t="shared" si="26"/>
        <v>1</v>
      </c>
      <c r="AK29">
        <f t="shared" si="27"/>
        <v>6</v>
      </c>
      <c r="AL29">
        <f>_xlfn.IFS(AK29&lt;7,1,AK29=7-9,2,AK29&gt;9,3)</f>
        <v>1</v>
      </c>
      <c r="AM29" s="1">
        <f t="shared" si="9"/>
        <v>32.6</v>
      </c>
      <c r="AN29" s="1">
        <f t="shared" si="10"/>
        <v>58</v>
      </c>
      <c r="AO29" s="1">
        <f t="shared" si="28"/>
        <v>1.24</v>
      </c>
      <c r="AP29" s="62">
        <f t="shared" si="29"/>
        <v>11.2611359861932</v>
      </c>
      <c r="AQ29">
        <v>1</v>
      </c>
      <c r="AR29">
        <f t="shared" si="30"/>
        <v>1</v>
      </c>
      <c r="AS29">
        <v>2.85</v>
      </c>
      <c r="AT29">
        <v>2.44</v>
      </c>
      <c r="AU29">
        <v>78</v>
      </c>
      <c r="AV29">
        <v>34</v>
      </c>
      <c r="AW29">
        <v>1.99</v>
      </c>
      <c r="AX29">
        <v>0.61</v>
      </c>
      <c r="AY29">
        <v>0.2</v>
      </c>
      <c r="AZ29">
        <f t="shared" si="13"/>
        <v>3.26229508196721</v>
      </c>
      <c r="BA29">
        <f t="shared" si="14"/>
        <v>55.7377049180328</v>
      </c>
      <c r="BB29">
        <f t="shared" si="15"/>
        <v>3.05</v>
      </c>
      <c r="BC29">
        <v>4.16</v>
      </c>
      <c r="BD29">
        <v>24.44</v>
      </c>
      <c r="BE29" s="54">
        <v>2.78</v>
      </c>
      <c r="BF29">
        <v>11.55</v>
      </c>
      <c r="BG29">
        <v>7.3</v>
      </c>
      <c r="BI29">
        <v>58.53</v>
      </c>
      <c r="BN29">
        <v>9</v>
      </c>
      <c r="BO29">
        <v>45</v>
      </c>
      <c r="BP29">
        <v>71</v>
      </c>
      <c r="BQ29">
        <v>76</v>
      </c>
      <c r="BR29">
        <v>13.6</v>
      </c>
      <c r="BS29">
        <v>1.24</v>
      </c>
      <c r="BT29">
        <v>28</v>
      </c>
      <c r="BU29">
        <v>26</v>
      </c>
      <c r="BV29">
        <v>1.62</v>
      </c>
      <c r="BW29">
        <v>2542</v>
      </c>
      <c r="BX29">
        <v>62</v>
      </c>
      <c r="BY29" s="63">
        <v>23</v>
      </c>
      <c r="BZ29">
        <v>79</v>
      </c>
      <c r="CA29">
        <v>14</v>
      </c>
      <c r="CB29">
        <v>22</v>
      </c>
      <c r="CC29">
        <v>97</v>
      </c>
      <c r="CD29">
        <v>58</v>
      </c>
      <c r="CE29">
        <v>243</v>
      </c>
      <c r="CF29">
        <v>32.6</v>
      </c>
      <c r="CG29">
        <v>14.2</v>
      </c>
      <c r="CH29" s="57">
        <f t="shared" si="16"/>
        <v>0.636363636363636</v>
      </c>
      <c r="CI29" s="57">
        <f t="shared" si="17"/>
        <v>1.67241379310345</v>
      </c>
      <c r="CJ29" s="57">
        <f t="shared" si="18"/>
        <v>2.29577464788732</v>
      </c>
      <c r="CO29">
        <v>3.2</v>
      </c>
      <c r="CP29">
        <v>58</v>
      </c>
      <c r="CQ29">
        <v>253</v>
      </c>
      <c r="CR29">
        <v>7.8</v>
      </c>
      <c r="CS29">
        <v>1.9</v>
      </c>
      <c r="CT29">
        <v>3.8</v>
      </c>
      <c r="CU29">
        <v>137</v>
      </c>
      <c r="CV29">
        <v>103</v>
      </c>
      <c r="CW29">
        <v>26</v>
      </c>
      <c r="CX29">
        <v>11.8</v>
      </c>
      <c r="CY29">
        <v>17</v>
      </c>
      <c r="DE29">
        <v>2.67</v>
      </c>
      <c r="DF29">
        <v>14.71</v>
      </c>
      <c r="DG29">
        <v>0.758</v>
      </c>
      <c r="DH29">
        <v>42.5</v>
      </c>
      <c r="DI29">
        <v>4.5</v>
      </c>
      <c r="DJ29">
        <v>4.9</v>
      </c>
      <c r="DK29">
        <v>7</v>
      </c>
      <c r="DL29">
        <v>7.5</v>
      </c>
      <c r="DM29">
        <v>33.6</v>
      </c>
      <c r="DN29">
        <v>0.74</v>
      </c>
      <c r="DO29">
        <v>1</v>
      </c>
      <c r="DP29">
        <v>1990</v>
      </c>
      <c r="DQ29">
        <v>718</v>
      </c>
      <c r="DR29">
        <v>135</v>
      </c>
      <c r="DS29">
        <v>67</v>
      </c>
      <c r="DT29">
        <v>11.7</v>
      </c>
      <c r="DU29">
        <v>33</v>
      </c>
      <c r="DV29">
        <v>0.1</v>
      </c>
      <c r="DW29">
        <v>2.3</v>
      </c>
      <c r="DY29" s="62">
        <v>4</v>
      </c>
      <c r="EG29">
        <f t="shared" si="19"/>
        <v>0.577319587628866</v>
      </c>
    </row>
    <row r="30" spans="1:137">
      <c r="A30" t="s">
        <v>115</v>
      </c>
      <c r="B30">
        <v>1032681</v>
      </c>
      <c r="C30">
        <v>1</v>
      </c>
      <c r="D30">
        <v>62</v>
      </c>
      <c r="E30" s="54">
        <v>1.73</v>
      </c>
      <c r="F30">
        <v>62</v>
      </c>
      <c r="G30" s="54">
        <f t="shared" si="23"/>
        <v>20.7156938086805</v>
      </c>
      <c r="H30" s="55">
        <v>119</v>
      </c>
      <c r="I30" s="56"/>
      <c r="J30" s="57"/>
      <c r="K30" s="57"/>
      <c r="L30" s="57"/>
      <c r="M30" s="57"/>
      <c r="N30" s="57"/>
      <c r="O30" s="57"/>
      <c r="P30" s="57"/>
      <c r="Q30" s="57"/>
      <c r="R30" s="58"/>
      <c r="S30" s="54">
        <v>26.4</v>
      </c>
      <c r="T30">
        <v>0.01</v>
      </c>
      <c r="U30" s="68">
        <v>6</v>
      </c>
      <c r="V30" s="68">
        <v>3</v>
      </c>
      <c r="W30" s="60">
        <f t="shared" si="6"/>
        <v>33.05</v>
      </c>
      <c r="X30" s="61">
        <v>43801</v>
      </c>
      <c r="Y30" s="61">
        <v>43799</v>
      </c>
      <c r="Z30" s="61">
        <v>43819</v>
      </c>
      <c r="AA30" s="62">
        <v>1</v>
      </c>
      <c r="AB30" s="62">
        <f t="shared" si="24"/>
        <v>20</v>
      </c>
      <c r="AC30" t="s">
        <v>3288</v>
      </c>
      <c r="AD30">
        <v>13920003730</v>
      </c>
      <c r="AE30">
        <v>0</v>
      </c>
      <c r="AF30">
        <v>1</v>
      </c>
      <c r="AG30">
        <v>3</v>
      </c>
      <c r="AH30">
        <f t="shared" si="25"/>
        <v>3</v>
      </c>
      <c r="AI30">
        <v>2</v>
      </c>
      <c r="AJ30">
        <f t="shared" si="26"/>
        <v>1</v>
      </c>
      <c r="AK30">
        <f t="shared" si="27"/>
        <v>10</v>
      </c>
      <c r="AL30">
        <f>_xlfn.IFS(AK30&lt;7,1,AK30=7-9,2,AK30&gt;9,3)</f>
        <v>3</v>
      </c>
      <c r="AM30" s="1">
        <f t="shared" si="9"/>
        <v>167.8</v>
      </c>
      <c r="AN30" s="1">
        <f t="shared" si="10"/>
        <v>62</v>
      </c>
      <c r="AO30" s="1">
        <f t="shared" si="28"/>
        <v>1.45</v>
      </c>
      <c r="AP30" s="62">
        <f t="shared" si="29"/>
        <v>12.8395502880369</v>
      </c>
      <c r="AQ30">
        <v>0</v>
      </c>
      <c r="AR30">
        <f t="shared" si="30"/>
        <v>1</v>
      </c>
      <c r="AS30">
        <v>6.06</v>
      </c>
      <c r="AT30">
        <v>2.63</v>
      </c>
      <c r="AU30">
        <v>99</v>
      </c>
      <c r="AV30">
        <v>122</v>
      </c>
      <c r="AW30">
        <v>4.63</v>
      </c>
      <c r="AX30">
        <v>0.81</v>
      </c>
      <c r="AY30">
        <v>0.49</v>
      </c>
      <c r="AZ30">
        <f t="shared" si="13"/>
        <v>5.71604938271605</v>
      </c>
      <c r="BA30">
        <f t="shared" si="14"/>
        <v>150.617283950617</v>
      </c>
      <c r="BB30">
        <f t="shared" si="15"/>
        <v>1.6530612244898</v>
      </c>
      <c r="BC30">
        <v>2.86</v>
      </c>
      <c r="BD30" t="s">
        <v>3410</v>
      </c>
      <c r="BE30" s="54">
        <v>19.87</v>
      </c>
      <c r="BF30">
        <v>62.64</v>
      </c>
      <c r="BM30">
        <v>0.353</v>
      </c>
      <c r="BN30">
        <v>64</v>
      </c>
      <c r="BR30">
        <v>15.9</v>
      </c>
      <c r="BS30">
        <v>1.45</v>
      </c>
      <c r="BT30">
        <v>31</v>
      </c>
      <c r="BU30">
        <v>26.6</v>
      </c>
      <c r="BV30">
        <v>1.61</v>
      </c>
      <c r="BW30">
        <v>2338</v>
      </c>
      <c r="BX30">
        <v>73</v>
      </c>
      <c r="BY30" s="63">
        <v>29</v>
      </c>
      <c r="BZ30">
        <v>44</v>
      </c>
      <c r="CA30">
        <v>38</v>
      </c>
      <c r="CB30">
        <v>130</v>
      </c>
      <c r="CC30">
        <v>170</v>
      </c>
      <c r="CD30">
        <v>337</v>
      </c>
      <c r="CE30">
        <v>184</v>
      </c>
      <c r="CF30">
        <v>167.8</v>
      </c>
      <c r="CG30">
        <v>93.4</v>
      </c>
      <c r="CH30" s="57">
        <f t="shared" si="16"/>
        <v>0.292307692307692</v>
      </c>
      <c r="CI30" s="57">
        <f t="shared" si="17"/>
        <v>0.504451038575668</v>
      </c>
      <c r="CJ30" s="57">
        <f t="shared" si="18"/>
        <v>1.796573875803</v>
      </c>
      <c r="CO30">
        <v>5.7</v>
      </c>
      <c r="CP30">
        <v>62</v>
      </c>
      <c r="CQ30">
        <v>314</v>
      </c>
      <c r="CR30">
        <v>9</v>
      </c>
      <c r="CS30">
        <v>2</v>
      </c>
      <c r="CT30">
        <v>4.2</v>
      </c>
      <c r="CU30">
        <v>136</v>
      </c>
      <c r="CV30">
        <v>105</v>
      </c>
      <c r="CW30">
        <v>16</v>
      </c>
      <c r="CX30">
        <v>19.2</v>
      </c>
      <c r="CZ30">
        <v>38</v>
      </c>
      <c r="DA30">
        <v>21</v>
      </c>
      <c r="DB30">
        <v>0.02</v>
      </c>
      <c r="DD30">
        <v>301</v>
      </c>
      <c r="DE30">
        <v>2.4</v>
      </c>
      <c r="DF30">
        <v>11.21</v>
      </c>
      <c r="DG30">
        <v>2.041</v>
      </c>
      <c r="DW30">
        <v>2.24</v>
      </c>
      <c r="DX30">
        <v>0.09</v>
      </c>
      <c r="DY30" s="62"/>
      <c r="DZ30">
        <v>12</v>
      </c>
      <c r="EA30">
        <v>48</v>
      </c>
      <c r="EB30">
        <v>2.8</v>
      </c>
      <c r="EC30">
        <v>5.27</v>
      </c>
      <c r="ED30">
        <v>7.5</v>
      </c>
      <c r="EE30">
        <v>111</v>
      </c>
      <c r="EF30">
        <v>1.18</v>
      </c>
      <c r="EG30">
        <f t="shared" si="19"/>
        <v>0.894117647058823</v>
      </c>
    </row>
    <row r="31" spans="1:137">
      <c r="A31" t="s">
        <v>118</v>
      </c>
      <c r="B31">
        <v>1065146</v>
      </c>
      <c r="C31">
        <v>2</v>
      </c>
      <c r="D31">
        <v>50</v>
      </c>
      <c r="E31" s="54">
        <v>1.5</v>
      </c>
      <c r="F31">
        <v>57</v>
      </c>
      <c r="G31" s="54">
        <f t="shared" si="23"/>
        <v>25.3333333333333</v>
      </c>
      <c r="H31" s="55">
        <v>84</v>
      </c>
      <c r="I31" s="56">
        <v>83.655</v>
      </c>
      <c r="J31" s="57">
        <v>104.9183</v>
      </c>
      <c r="K31" s="57">
        <v>163.7667</v>
      </c>
      <c r="L31" s="57">
        <v>76.4499</v>
      </c>
      <c r="M31" s="57">
        <f t="shared" ref="M31:M40" si="36">P31/O31</f>
        <v>0.466822009602685</v>
      </c>
      <c r="N31" s="57">
        <f t="shared" ref="N31:N40" si="37">J31/(E31*E31)</f>
        <v>46.6303555555556</v>
      </c>
      <c r="O31" s="57">
        <f t="shared" ref="O31:O40" si="38">K31/(E31*E31)</f>
        <v>72.7852</v>
      </c>
      <c r="P31" s="57">
        <f t="shared" ref="P31:P40" si="39">L31/(E31*E31)</f>
        <v>33.9777333333333</v>
      </c>
      <c r="Q31" s="57">
        <f t="shared" ref="Q31:Q40" si="40">O31+P31</f>
        <v>106.762933333333</v>
      </c>
      <c r="R31" s="58">
        <v>-0.501681075888569</v>
      </c>
      <c r="S31" s="54">
        <v>19</v>
      </c>
      <c r="T31">
        <v>7.37</v>
      </c>
      <c r="U31" s="64">
        <v>0</v>
      </c>
      <c r="V31" s="64">
        <v>1</v>
      </c>
      <c r="W31" s="60">
        <f t="shared" si="6"/>
        <v>30.25</v>
      </c>
      <c r="X31" s="61">
        <v>43801</v>
      </c>
      <c r="Y31" s="61">
        <v>43794</v>
      </c>
      <c r="Z31" s="61">
        <v>43806</v>
      </c>
      <c r="AA31" s="62">
        <v>1</v>
      </c>
      <c r="AB31" s="62">
        <f t="shared" si="24"/>
        <v>12</v>
      </c>
      <c r="AC31" t="s">
        <v>119</v>
      </c>
      <c r="AD31">
        <v>15620560346</v>
      </c>
      <c r="AE31">
        <v>1</v>
      </c>
      <c r="AF31">
        <v>1</v>
      </c>
      <c r="AG31">
        <v>1</v>
      </c>
      <c r="AH31">
        <f t="shared" si="25"/>
        <v>1</v>
      </c>
      <c r="AI31">
        <f>_xlfn.IFS(BY31&lt;28,1,BY31=28-35,2,BY31&gt;35,3)</f>
        <v>1</v>
      </c>
      <c r="AJ31">
        <f t="shared" si="26"/>
        <v>1</v>
      </c>
      <c r="AK31">
        <f t="shared" si="27"/>
        <v>5</v>
      </c>
      <c r="AL31">
        <f>_xlfn.IFS(AK31&lt;7,1,AK31=7-9,2,AK31&gt;9,3)</f>
        <v>1</v>
      </c>
      <c r="AM31" s="1">
        <f t="shared" si="9"/>
        <v>12.2</v>
      </c>
      <c r="AN31" s="1">
        <f t="shared" si="10"/>
        <v>36</v>
      </c>
      <c r="AO31" s="1">
        <f t="shared" si="28"/>
        <v>1.22</v>
      </c>
      <c r="AP31" s="62">
        <f t="shared" si="29"/>
        <v>8.62712961794585</v>
      </c>
      <c r="AQ31">
        <v>1</v>
      </c>
      <c r="AR31">
        <f t="shared" si="30"/>
        <v>1</v>
      </c>
      <c r="AS31">
        <v>3.21</v>
      </c>
      <c r="AT31">
        <v>2.11</v>
      </c>
      <c r="AU31">
        <v>47</v>
      </c>
      <c r="AV31">
        <v>35</v>
      </c>
      <c r="AW31">
        <v>2.32</v>
      </c>
      <c r="AX31">
        <v>0.65</v>
      </c>
      <c r="AY31">
        <v>0.23</v>
      </c>
      <c r="AZ31">
        <f t="shared" si="13"/>
        <v>3.56923076923077</v>
      </c>
      <c r="BA31">
        <f t="shared" si="14"/>
        <v>53.8461538461538</v>
      </c>
      <c r="BB31">
        <f t="shared" si="15"/>
        <v>2.82608695652174</v>
      </c>
      <c r="BC31">
        <v>3.38</v>
      </c>
      <c r="BD31">
        <v>9.31</v>
      </c>
      <c r="BE31" s="54">
        <v>1.99</v>
      </c>
      <c r="BF31">
        <v>5.51</v>
      </c>
      <c r="BG31">
        <v>11.1</v>
      </c>
      <c r="BI31">
        <v>41.7</v>
      </c>
      <c r="BR31">
        <v>13.4</v>
      </c>
      <c r="BS31">
        <v>1.22</v>
      </c>
      <c r="BT31">
        <v>32.6</v>
      </c>
      <c r="BU31">
        <v>25.3</v>
      </c>
      <c r="BV31">
        <v>1.56</v>
      </c>
      <c r="BW31">
        <v>532</v>
      </c>
      <c r="BX31">
        <v>66</v>
      </c>
      <c r="BY31" s="63">
        <v>27</v>
      </c>
      <c r="BZ31">
        <v>39</v>
      </c>
      <c r="CA31">
        <v>32</v>
      </c>
      <c r="CB31">
        <v>32</v>
      </c>
      <c r="CC31">
        <v>77</v>
      </c>
      <c r="CD31">
        <v>19</v>
      </c>
      <c r="CE31">
        <v>157</v>
      </c>
      <c r="CF31">
        <v>12.2</v>
      </c>
      <c r="CG31">
        <v>4.7</v>
      </c>
      <c r="CH31" s="57">
        <f t="shared" si="16"/>
        <v>1</v>
      </c>
      <c r="CI31" s="57">
        <f t="shared" si="17"/>
        <v>4.05263157894737</v>
      </c>
      <c r="CJ31" s="57">
        <f t="shared" si="18"/>
        <v>2.59574468085106</v>
      </c>
      <c r="CK31">
        <v>2.79</v>
      </c>
      <c r="CL31">
        <v>0.8</v>
      </c>
      <c r="CM31">
        <v>0.7</v>
      </c>
      <c r="CN31">
        <v>1.6</v>
      </c>
      <c r="CO31">
        <v>3.7</v>
      </c>
      <c r="CP31">
        <v>36</v>
      </c>
      <c r="CQ31">
        <v>171</v>
      </c>
      <c r="CS31">
        <v>1.9</v>
      </c>
      <c r="CT31">
        <v>4</v>
      </c>
      <c r="CU31">
        <v>134</v>
      </c>
      <c r="CV31">
        <v>106</v>
      </c>
      <c r="CW31">
        <v>25</v>
      </c>
      <c r="CX31">
        <v>7</v>
      </c>
      <c r="CZ31">
        <v>30</v>
      </c>
      <c r="DA31">
        <v>16</v>
      </c>
      <c r="DB31">
        <v>0.006</v>
      </c>
      <c r="DD31">
        <v>11.8</v>
      </c>
      <c r="DE31">
        <v>2.52</v>
      </c>
      <c r="DF31">
        <v>7.52</v>
      </c>
      <c r="DG31">
        <v>0.453</v>
      </c>
      <c r="DH31">
        <v>41.4</v>
      </c>
      <c r="DI31">
        <v>4</v>
      </c>
      <c r="DJ31">
        <v>7.3</v>
      </c>
      <c r="DK31">
        <v>6.6</v>
      </c>
      <c r="DL31">
        <v>4.5</v>
      </c>
      <c r="DM31">
        <v>36.2</v>
      </c>
      <c r="DN31">
        <v>0.71</v>
      </c>
      <c r="DO31">
        <v>1</v>
      </c>
      <c r="DP31">
        <v>2480</v>
      </c>
      <c r="DQ31">
        <v>408</v>
      </c>
      <c r="DR31">
        <v>156</v>
      </c>
      <c r="DS31">
        <v>45.9</v>
      </c>
      <c r="DT31">
        <v>10.7</v>
      </c>
      <c r="DU31">
        <v>161</v>
      </c>
      <c r="DW31">
        <v>0.46</v>
      </c>
      <c r="DY31" s="62"/>
      <c r="EG31">
        <f t="shared" si="19"/>
        <v>1.66233766233766</v>
      </c>
    </row>
    <row r="32" spans="1:137">
      <c r="A32" t="s">
        <v>3289</v>
      </c>
      <c r="B32">
        <v>1066179</v>
      </c>
      <c r="C32">
        <v>1</v>
      </c>
      <c r="D32">
        <v>70</v>
      </c>
      <c r="E32" s="54">
        <v>1.83</v>
      </c>
      <c r="F32">
        <v>82</v>
      </c>
      <c r="G32" s="54">
        <f t="shared" si="23"/>
        <v>24.485652005136</v>
      </c>
      <c r="H32" s="55">
        <v>104</v>
      </c>
      <c r="I32" s="56"/>
      <c r="J32" s="57"/>
      <c r="K32" s="57"/>
      <c r="L32" s="57"/>
      <c r="M32" s="57"/>
      <c r="N32" s="57"/>
      <c r="O32" s="57"/>
      <c r="P32" s="57"/>
      <c r="Q32" s="57"/>
      <c r="R32" s="58"/>
      <c r="S32" s="54">
        <v>34.2</v>
      </c>
      <c r="T32">
        <v>6.05</v>
      </c>
      <c r="U32" s="64">
        <v>0</v>
      </c>
      <c r="V32" s="64">
        <v>1</v>
      </c>
      <c r="W32" s="60">
        <f t="shared" si="6"/>
        <v>43.6</v>
      </c>
      <c r="X32" s="61">
        <v>43805</v>
      </c>
      <c r="Y32" s="61">
        <v>43801</v>
      </c>
      <c r="Z32" s="61">
        <v>43811</v>
      </c>
      <c r="AA32" s="62">
        <v>1</v>
      </c>
      <c r="AB32" s="62">
        <f t="shared" si="24"/>
        <v>10</v>
      </c>
      <c r="AC32" t="s">
        <v>3290</v>
      </c>
      <c r="AD32">
        <v>13682030302</v>
      </c>
      <c r="AE32">
        <v>1</v>
      </c>
      <c r="AF32">
        <v>1</v>
      </c>
      <c r="AG32">
        <v>2</v>
      </c>
      <c r="AH32">
        <f t="shared" si="25"/>
        <v>1</v>
      </c>
      <c r="AI32">
        <v>2</v>
      </c>
      <c r="AJ32">
        <f t="shared" si="26"/>
        <v>1</v>
      </c>
      <c r="AK32">
        <f t="shared" si="27"/>
        <v>7</v>
      </c>
      <c r="AL32">
        <v>2</v>
      </c>
      <c r="AM32" s="1">
        <f t="shared" si="9"/>
        <v>23</v>
      </c>
      <c r="AN32" s="1">
        <f t="shared" si="10"/>
        <v>54</v>
      </c>
      <c r="AO32" s="1">
        <f t="shared" si="28"/>
        <v>1.02</v>
      </c>
      <c r="AP32" s="62">
        <f t="shared" si="29"/>
        <v>7.74816928491525</v>
      </c>
      <c r="AQ32">
        <v>1</v>
      </c>
      <c r="AR32">
        <f t="shared" si="30"/>
        <v>1</v>
      </c>
      <c r="AS32">
        <v>6.91</v>
      </c>
      <c r="AT32">
        <v>4.28</v>
      </c>
      <c r="AU32">
        <v>142</v>
      </c>
      <c r="AV32">
        <v>178</v>
      </c>
      <c r="AW32">
        <v>4.32</v>
      </c>
      <c r="AX32">
        <v>1.92</v>
      </c>
      <c r="AY32">
        <v>0.49</v>
      </c>
      <c r="AZ32">
        <f t="shared" si="13"/>
        <v>2.25</v>
      </c>
      <c r="BA32">
        <f t="shared" si="14"/>
        <v>92.7083333333333</v>
      </c>
      <c r="BB32">
        <f t="shared" si="15"/>
        <v>3.91836734693878</v>
      </c>
      <c r="BC32">
        <v>2.72</v>
      </c>
      <c r="BD32">
        <v>435.17</v>
      </c>
      <c r="BE32" s="54">
        <v>22.11</v>
      </c>
      <c r="BF32" t="s">
        <v>3420</v>
      </c>
      <c r="BM32">
        <v>0.626</v>
      </c>
      <c r="BR32">
        <v>11.2</v>
      </c>
      <c r="BS32">
        <v>1.02</v>
      </c>
      <c r="BT32">
        <v>32.8</v>
      </c>
      <c r="BU32">
        <v>17.1</v>
      </c>
      <c r="BV32">
        <v>2.94</v>
      </c>
      <c r="BW32">
        <v>6753</v>
      </c>
      <c r="BX32">
        <v>67</v>
      </c>
      <c r="BY32" s="63">
        <v>34</v>
      </c>
      <c r="BZ32">
        <v>33</v>
      </c>
      <c r="CA32">
        <v>21</v>
      </c>
      <c r="CB32">
        <v>48</v>
      </c>
      <c r="CC32">
        <v>231</v>
      </c>
      <c r="CD32">
        <v>541</v>
      </c>
      <c r="CE32">
        <v>183</v>
      </c>
      <c r="CF32">
        <v>23</v>
      </c>
      <c r="CG32">
        <v>12.8</v>
      </c>
      <c r="CH32" s="57">
        <f t="shared" si="16"/>
        <v>0.4375</v>
      </c>
      <c r="CI32" s="57">
        <f t="shared" si="17"/>
        <v>0.426987060998152</v>
      </c>
      <c r="CJ32" s="57">
        <f t="shared" si="18"/>
        <v>1.796875</v>
      </c>
      <c r="CK32">
        <v>4.81</v>
      </c>
      <c r="CL32">
        <v>1.14</v>
      </c>
      <c r="CM32">
        <v>1.44</v>
      </c>
      <c r="CN32">
        <v>2.61</v>
      </c>
      <c r="CO32">
        <v>4.7</v>
      </c>
      <c r="CP32">
        <v>54</v>
      </c>
      <c r="CQ32">
        <v>306</v>
      </c>
      <c r="CR32">
        <v>4.6</v>
      </c>
      <c r="CS32">
        <v>2.16</v>
      </c>
      <c r="CT32">
        <v>4.1</v>
      </c>
      <c r="CU32">
        <v>138</v>
      </c>
      <c r="CV32">
        <v>102</v>
      </c>
      <c r="CW32">
        <v>27</v>
      </c>
      <c r="CX32">
        <v>13.1</v>
      </c>
      <c r="DE32">
        <v>4.39</v>
      </c>
      <c r="DF32">
        <v>12.18</v>
      </c>
      <c r="DG32">
        <v>2.044</v>
      </c>
      <c r="DY32" s="62"/>
      <c r="EG32">
        <f t="shared" si="19"/>
        <v>0.363636363636364</v>
      </c>
    </row>
    <row r="33" spans="1:137">
      <c r="A33" s="45" t="s">
        <v>121</v>
      </c>
      <c r="B33">
        <v>1066318</v>
      </c>
      <c r="C33">
        <v>2</v>
      </c>
      <c r="D33">
        <v>68</v>
      </c>
      <c r="E33" s="54">
        <v>1.65</v>
      </c>
      <c r="F33">
        <v>60</v>
      </c>
      <c r="G33" s="54">
        <f t="shared" si="23"/>
        <v>22.038567493113</v>
      </c>
      <c r="H33" s="55">
        <v>85</v>
      </c>
      <c r="I33" s="56">
        <v>80.603</v>
      </c>
      <c r="J33" s="57">
        <v>106.7145</v>
      </c>
      <c r="K33" s="57">
        <v>105.2718</v>
      </c>
      <c r="L33" s="57">
        <v>93.1427</v>
      </c>
      <c r="M33" s="57"/>
      <c r="N33" s="57"/>
      <c r="O33" s="57"/>
      <c r="P33" s="57"/>
      <c r="Q33" s="57"/>
      <c r="R33" s="58">
        <v>-0.232121212121212</v>
      </c>
      <c r="S33" s="54">
        <v>12.5</v>
      </c>
      <c r="T33">
        <v>0.01</v>
      </c>
      <c r="U33" s="64">
        <v>0</v>
      </c>
      <c r="V33" s="64">
        <v>1</v>
      </c>
      <c r="W33" s="60">
        <f t="shared" si="6"/>
        <v>27.95</v>
      </c>
      <c r="X33" s="61">
        <v>43805</v>
      </c>
      <c r="Y33" s="61">
        <v>43802</v>
      </c>
      <c r="Z33" s="61">
        <v>43815</v>
      </c>
      <c r="AA33" s="62">
        <v>1</v>
      </c>
      <c r="AB33" s="62">
        <f t="shared" si="24"/>
        <v>13</v>
      </c>
      <c r="AC33" t="s">
        <v>122</v>
      </c>
      <c r="AD33">
        <v>18526699801</v>
      </c>
      <c r="AE33">
        <v>1</v>
      </c>
      <c r="AF33">
        <v>1</v>
      </c>
      <c r="AG33">
        <v>1</v>
      </c>
      <c r="AH33">
        <f t="shared" si="25"/>
        <v>1</v>
      </c>
      <c r="AI33">
        <f>_xlfn.IFS(BY33&lt;28,1,BY33=28-35,2,BY33&gt;35,3)</f>
        <v>1</v>
      </c>
      <c r="AJ33">
        <f t="shared" si="26"/>
        <v>1</v>
      </c>
      <c r="AK33">
        <f t="shared" si="27"/>
        <v>5</v>
      </c>
      <c r="AL33">
        <f>_xlfn.IFS(AK33&lt;7,1,AK33=7-9,2,AK33&gt;9,3)</f>
        <v>1</v>
      </c>
      <c r="AM33" s="1">
        <f t="shared" si="9"/>
        <v>19.2</v>
      </c>
      <c r="AN33" s="1">
        <f t="shared" si="10"/>
        <v>41</v>
      </c>
      <c r="AO33" s="1">
        <f t="shared" si="28"/>
        <v>0.95</v>
      </c>
      <c r="AP33" s="62">
        <f t="shared" si="29"/>
        <v>6.2656760018549</v>
      </c>
      <c r="AQ33">
        <v>1</v>
      </c>
      <c r="AR33">
        <f t="shared" si="30"/>
        <v>1</v>
      </c>
      <c r="AS33">
        <v>4.55</v>
      </c>
      <c r="AT33">
        <v>2.45</v>
      </c>
      <c r="AU33">
        <v>56</v>
      </c>
      <c r="AV33">
        <v>117</v>
      </c>
      <c r="AW33">
        <v>3.72</v>
      </c>
      <c r="AX33">
        <v>0.59</v>
      </c>
      <c r="AY33">
        <v>0.18</v>
      </c>
      <c r="AZ33">
        <f t="shared" si="13"/>
        <v>6.30508474576271</v>
      </c>
      <c r="BA33">
        <f t="shared" si="14"/>
        <v>198.305084745763</v>
      </c>
      <c r="BB33">
        <f t="shared" si="15"/>
        <v>3.27777777777778</v>
      </c>
      <c r="BC33">
        <v>1.25</v>
      </c>
      <c r="BD33">
        <v>8.29</v>
      </c>
      <c r="BE33" s="54">
        <v>2.16</v>
      </c>
      <c r="BF33">
        <v>3.43</v>
      </c>
      <c r="BG33">
        <v>5</v>
      </c>
      <c r="BI33">
        <v>49.6</v>
      </c>
      <c r="BN33" t="s">
        <v>3415</v>
      </c>
      <c r="BR33">
        <v>10.4</v>
      </c>
      <c r="BS33">
        <v>0.95</v>
      </c>
      <c r="BT33">
        <v>24.7</v>
      </c>
      <c r="BU33">
        <v>26</v>
      </c>
      <c r="BV33">
        <v>1.45</v>
      </c>
      <c r="BW33">
        <v>706</v>
      </c>
      <c r="BX33">
        <v>48</v>
      </c>
      <c r="BY33" s="63">
        <v>25</v>
      </c>
      <c r="BZ33">
        <v>23</v>
      </c>
      <c r="CA33">
        <v>31</v>
      </c>
      <c r="CB33">
        <v>32</v>
      </c>
      <c r="CC33">
        <v>180</v>
      </c>
      <c r="CD33">
        <v>51</v>
      </c>
      <c r="CE33">
        <v>122</v>
      </c>
      <c r="CF33">
        <v>19.2</v>
      </c>
      <c r="CG33">
        <v>8.7</v>
      </c>
      <c r="CH33" s="57">
        <f t="shared" si="16"/>
        <v>0.96875</v>
      </c>
      <c r="CI33" s="57">
        <f t="shared" si="17"/>
        <v>3.52941176470588</v>
      </c>
      <c r="CJ33" s="57">
        <f t="shared" si="18"/>
        <v>2.20689655172414</v>
      </c>
      <c r="CK33">
        <v>3.71</v>
      </c>
      <c r="CL33">
        <v>0.83</v>
      </c>
      <c r="CM33">
        <v>0.84</v>
      </c>
      <c r="CN33">
        <v>2.33</v>
      </c>
      <c r="CO33">
        <v>5.5</v>
      </c>
      <c r="CP33">
        <v>41</v>
      </c>
      <c r="CQ33">
        <v>242</v>
      </c>
      <c r="CR33">
        <v>12.1</v>
      </c>
      <c r="CS33">
        <v>2.04</v>
      </c>
      <c r="CT33">
        <v>4.5</v>
      </c>
      <c r="CU33">
        <v>137</v>
      </c>
      <c r="CV33">
        <v>99</v>
      </c>
      <c r="CW33">
        <v>34</v>
      </c>
      <c r="CX33">
        <v>8.5</v>
      </c>
      <c r="CZ33">
        <v>32</v>
      </c>
      <c r="DA33">
        <v>23</v>
      </c>
      <c r="DB33">
        <v>0.008</v>
      </c>
      <c r="DC33">
        <v>391.6</v>
      </c>
      <c r="DE33">
        <v>3.2</v>
      </c>
      <c r="DF33">
        <v>10.75</v>
      </c>
      <c r="DG33">
        <v>0.651</v>
      </c>
      <c r="DH33">
        <v>54.8</v>
      </c>
      <c r="DI33">
        <v>5.5</v>
      </c>
      <c r="DJ33">
        <v>8.3</v>
      </c>
      <c r="DK33">
        <v>9.1</v>
      </c>
      <c r="DL33">
        <v>5.7</v>
      </c>
      <c r="DM33">
        <v>16.6</v>
      </c>
      <c r="DN33">
        <v>1.21</v>
      </c>
      <c r="DO33">
        <v>1</v>
      </c>
      <c r="DP33">
        <v>832</v>
      </c>
      <c r="DQ33">
        <v>273</v>
      </c>
      <c r="DR33">
        <v>108</v>
      </c>
      <c r="DS33">
        <v>70.1</v>
      </c>
      <c r="DT33">
        <v>15.3</v>
      </c>
      <c r="DU33" t="s">
        <v>3421</v>
      </c>
      <c r="DW33">
        <v>0.43</v>
      </c>
      <c r="DX33">
        <v>0.11</v>
      </c>
      <c r="DY33" s="62"/>
      <c r="EG33">
        <f t="shared" si="19"/>
        <v>0.688888888888889</v>
      </c>
    </row>
    <row r="34" spans="1:137">
      <c r="A34" t="s">
        <v>3063</v>
      </c>
      <c r="B34">
        <v>1066544</v>
      </c>
      <c r="C34">
        <v>1</v>
      </c>
      <c r="D34">
        <v>78</v>
      </c>
      <c r="E34" s="54">
        <v>1.7</v>
      </c>
      <c r="F34">
        <v>65</v>
      </c>
      <c r="G34" s="54">
        <f t="shared" si="23"/>
        <v>22.4913494809689</v>
      </c>
      <c r="H34" s="55">
        <v>85</v>
      </c>
      <c r="I34" s="66">
        <v>86.593</v>
      </c>
      <c r="J34" s="70">
        <v>130.6295</v>
      </c>
      <c r="K34" s="70">
        <v>71.6652</v>
      </c>
      <c r="L34" s="70">
        <v>58.9094</v>
      </c>
      <c r="M34" s="57">
        <f t="shared" si="36"/>
        <v>0.822008450405497</v>
      </c>
      <c r="N34" s="57">
        <f t="shared" si="37"/>
        <v>45.2005190311419</v>
      </c>
      <c r="O34" s="57">
        <f t="shared" si="38"/>
        <v>24.7976470588235</v>
      </c>
      <c r="P34" s="57">
        <f t="shared" si="39"/>
        <v>20.383875432526</v>
      </c>
      <c r="Q34" s="57">
        <f t="shared" si="40"/>
        <v>45.1815224913495</v>
      </c>
      <c r="R34" s="58">
        <v>-0.893590797041906</v>
      </c>
      <c r="S34" s="54">
        <v>22.3</v>
      </c>
      <c r="T34">
        <v>0.01</v>
      </c>
      <c r="U34" s="68">
        <v>2</v>
      </c>
      <c r="V34" s="68">
        <v>3</v>
      </c>
      <c r="W34" s="60">
        <f t="shared" si="6"/>
        <v>26.7</v>
      </c>
      <c r="X34" s="61">
        <v>43805</v>
      </c>
      <c r="Y34" s="61">
        <v>43803</v>
      </c>
      <c r="Z34" s="61">
        <v>43823</v>
      </c>
      <c r="AA34" s="62">
        <v>1</v>
      </c>
      <c r="AB34" s="62">
        <f t="shared" si="24"/>
        <v>20</v>
      </c>
      <c r="AC34" t="s">
        <v>3291</v>
      </c>
      <c r="AD34">
        <v>18202668553</v>
      </c>
      <c r="AE34">
        <v>1</v>
      </c>
      <c r="AF34">
        <v>1</v>
      </c>
      <c r="AG34">
        <v>2</v>
      </c>
      <c r="AH34">
        <f t="shared" si="25"/>
        <v>1</v>
      </c>
      <c r="AI34">
        <f>_xlfn.IFS(BY34&lt;28,1,BY34=28-35,2,BY34&gt;35,3)</f>
        <v>1</v>
      </c>
      <c r="AJ34">
        <f t="shared" si="26"/>
        <v>1</v>
      </c>
      <c r="AK34">
        <f t="shared" si="27"/>
        <v>6</v>
      </c>
      <c r="AL34">
        <f>_xlfn.IFS(AK34&lt;7,1,AK34=7-9,2,AK34&gt;9,3)</f>
        <v>1</v>
      </c>
      <c r="AM34" s="1">
        <f t="shared" si="9"/>
        <v>21.6</v>
      </c>
      <c r="AN34" s="1">
        <f t="shared" si="10"/>
        <v>86</v>
      </c>
      <c r="AO34" s="1">
        <f t="shared" si="28"/>
        <v>1.61</v>
      </c>
      <c r="AP34" s="62">
        <f t="shared" si="29"/>
        <v>6.22155923924908</v>
      </c>
      <c r="AQ34">
        <v>0</v>
      </c>
      <c r="AR34">
        <f t="shared" si="30"/>
        <v>1</v>
      </c>
      <c r="AS34">
        <v>2.85</v>
      </c>
      <c r="AT34">
        <v>2.47</v>
      </c>
      <c r="AU34">
        <v>83</v>
      </c>
      <c r="AV34">
        <v>98</v>
      </c>
      <c r="AW34">
        <v>2.35</v>
      </c>
      <c r="AX34">
        <v>0.34</v>
      </c>
      <c r="AY34">
        <v>0.14</v>
      </c>
      <c r="AZ34">
        <f t="shared" si="13"/>
        <v>6.91176470588235</v>
      </c>
      <c r="BA34">
        <f t="shared" si="14"/>
        <v>288.235294117647</v>
      </c>
      <c r="BB34">
        <f t="shared" si="15"/>
        <v>2.42857142857143</v>
      </c>
      <c r="BC34">
        <v>8.21</v>
      </c>
      <c r="BD34">
        <v>212.3</v>
      </c>
      <c r="BE34" s="54">
        <v>3.39</v>
      </c>
      <c r="BF34">
        <v>24.76</v>
      </c>
      <c r="BM34">
        <v>0.464</v>
      </c>
      <c r="BN34" t="s">
        <v>3415</v>
      </c>
      <c r="BO34">
        <v>91</v>
      </c>
      <c r="BQ34">
        <v>456</v>
      </c>
      <c r="BR34">
        <v>17.7</v>
      </c>
      <c r="BS34">
        <v>1.61</v>
      </c>
      <c r="BT34">
        <v>28</v>
      </c>
      <c r="BU34">
        <v>29.9</v>
      </c>
      <c r="BV34">
        <v>1.23</v>
      </c>
      <c r="BW34">
        <v>1555</v>
      </c>
      <c r="BX34">
        <v>55</v>
      </c>
      <c r="BY34" s="63">
        <v>25</v>
      </c>
      <c r="BZ34">
        <v>30</v>
      </c>
      <c r="CA34">
        <v>39</v>
      </c>
      <c r="CB34">
        <v>41</v>
      </c>
      <c r="CC34">
        <v>48</v>
      </c>
      <c r="CD34">
        <v>26</v>
      </c>
      <c r="CE34">
        <v>169</v>
      </c>
      <c r="CF34">
        <v>21.6</v>
      </c>
      <c r="CG34">
        <v>13.6</v>
      </c>
      <c r="CH34" s="57">
        <f t="shared" si="16"/>
        <v>0.951219512195122</v>
      </c>
      <c r="CI34" s="57">
        <f t="shared" si="17"/>
        <v>1.84615384615385</v>
      </c>
      <c r="CJ34" s="57">
        <f t="shared" si="18"/>
        <v>1.58823529411765</v>
      </c>
      <c r="CK34">
        <v>2.4</v>
      </c>
      <c r="CL34">
        <v>0.69</v>
      </c>
      <c r="CM34">
        <v>0.56</v>
      </c>
      <c r="CN34">
        <v>1.41</v>
      </c>
      <c r="CO34">
        <v>11.2</v>
      </c>
      <c r="CP34">
        <v>86</v>
      </c>
      <c r="CQ34">
        <v>371</v>
      </c>
      <c r="CS34">
        <v>1.9</v>
      </c>
      <c r="CT34">
        <v>4</v>
      </c>
      <c r="CU34">
        <v>144</v>
      </c>
      <c r="CV34">
        <v>115</v>
      </c>
      <c r="CW34">
        <v>23</v>
      </c>
      <c r="CX34">
        <v>10</v>
      </c>
      <c r="DB34">
        <v>0.023</v>
      </c>
      <c r="DC34">
        <v>1997</v>
      </c>
      <c r="DE34">
        <v>2.44</v>
      </c>
      <c r="DF34">
        <v>10.86</v>
      </c>
      <c r="DG34">
        <v>0.24</v>
      </c>
      <c r="DH34">
        <v>46.3</v>
      </c>
      <c r="DI34">
        <v>5.2</v>
      </c>
      <c r="DJ34">
        <v>8.6</v>
      </c>
      <c r="DK34">
        <v>5.1</v>
      </c>
      <c r="DL34">
        <v>4.8</v>
      </c>
      <c r="DM34">
        <v>30</v>
      </c>
      <c r="DN34">
        <v>0.86</v>
      </c>
      <c r="DO34">
        <v>1</v>
      </c>
      <c r="DP34">
        <v>1600</v>
      </c>
      <c r="DQ34">
        <v>301</v>
      </c>
      <c r="DR34">
        <v>62.2</v>
      </c>
      <c r="DS34">
        <v>42.2</v>
      </c>
      <c r="DT34">
        <v>15.1</v>
      </c>
      <c r="DU34">
        <v>39.6</v>
      </c>
      <c r="DV34">
        <v>0.15</v>
      </c>
      <c r="DW34">
        <v>0.36</v>
      </c>
      <c r="DY34" s="62">
        <v>4</v>
      </c>
      <c r="EG34">
        <f t="shared" si="19"/>
        <v>3.25</v>
      </c>
    </row>
    <row r="35" spans="1:137">
      <c r="A35" t="s">
        <v>124</v>
      </c>
      <c r="B35">
        <v>1046888</v>
      </c>
      <c r="C35">
        <v>2</v>
      </c>
      <c r="D35">
        <v>55</v>
      </c>
      <c r="E35" s="54">
        <v>1.64</v>
      </c>
      <c r="F35">
        <v>54</v>
      </c>
      <c r="G35" s="54">
        <f t="shared" si="23"/>
        <v>20.0773349196907</v>
      </c>
      <c r="H35" s="55">
        <v>95</v>
      </c>
      <c r="I35" s="56">
        <v>80.203</v>
      </c>
      <c r="J35" s="57">
        <v>83.828</v>
      </c>
      <c r="K35" s="57">
        <v>84.9843</v>
      </c>
      <c r="L35" s="57">
        <v>39.0325</v>
      </c>
      <c r="M35" s="57">
        <f t="shared" si="36"/>
        <v>0.459290716049906</v>
      </c>
      <c r="N35" s="57">
        <f t="shared" si="37"/>
        <v>31.1674598453302</v>
      </c>
      <c r="O35" s="57">
        <f t="shared" si="38"/>
        <v>31.5973750743605</v>
      </c>
      <c r="P35" s="57">
        <f t="shared" si="39"/>
        <v>14.5123810232005</v>
      </c>
      <c r="Q35" s="57">
        <f t="shared" si="40"/>
        <v>46.109756097561</v>
      </c>
      <c r="R35" s="58">
        <v>-0.607089552238806</v>
      </c>
      <c r="S35" s="54">
        <v>14.6</v>
      </c>
      <c r="T35">
        <v>0.01</v>
      </c>
      <c r="U35" s="65">
        <v>1</v>
      </c>
      <c r="V35" s="65">
        <v>2</v>
      </c>
      <c r="W35" s="60">
        <f t="shared" si="6"/>
        <v>22</v>
      </c>
      <c r="X35" s="61">
        <v>43805</v>
      </c>
      <c r="Y35" s="61">
        <v>43804</v>
      </c>
      <c r="Z35" s="61">
        <v>43820</v>
      </c>
      <c r="AA35" s="62">
        <v>1</v>
      </c>
      <c r="AB35" s="62">
        <f t="shared" si="24"/>
        <v>16</v>
      </c>
      <c r="AC35" t="s">
        <v>125</v>
      </c>
      <c r="AD35">
        <v>15222232859</v>
      </c>
      <c r="AE35">
        <v>1</v>
      </c>
      <c r="AF35">
        <v>1</v>
      </c>
      <c r="AG35">
        <v>3</v>
      </c>
      <c r="AH35">
        <v>2</v>
      </c>
      <c r="AI35">
        <f>_xlfn.IFS(BY35&lt;28,1,BY35=28-35,2,BY35&gt;35,3)</f>
        <v>1</v>
      </c>
      <c r="AJ35">
        <f t="shared" si="26"/>
        <v>1</v>
      </c>
      <c r="AK35">
        <f t="shared" si="27"/>
        <v>8</v>
      </c>
      <c r="AL35">
        <v>2</v>
      </c>
      <c r="AM35" s="1">
        <f t="shared" si="9"/>
        <v>39</v>
      </c>
      <c r="AN35" s="1">
        <f t="shared" si="10"/>
        <v>59</v>
      </c>
      <c r="AO35" s="1">
        <f t="shared" si="28"/>
        <v>1.23</v>
      </c>
      <c r="AP35" s="62">
        <f t="shared" si="29"/>
        <v>11.8515947910644</v>
      </c>
      <c r="AQ35">
        <v>1</v>
      </c>
      <c r="AR35">
        <f t="shared" si="30"/>
        <v>1</v>
      </c>
      <c r="AS35">
        <v>2.34</v>
      </c>
      <c r="AT35">
        <v>1.12</v>
      </c>
      <c r="AU35">
        <v>44</v>
      </c>
      <c r="AV35">
        <v>40</v>
      </c>
      <c r="AW35">
        <v>1.64</v>
      </c>
      <c r="AX35">
        <v>0.4</v>
      </c>
      <c r="AY35">
        <v>0.28</v>
      </c>
      <c r="AZ35">
        <f t="shared" si="13"/>
        <v>4.1</v>
      </c>
      <c r="BA35">
        <f t="shared" si="14"/>
        <v>100</v>
      </c>
      <c r="BB35">
        <f t="shared" si="15"/>
        <v>1.42857142857143</v>
      </c>
      <c r="BC35">
        <v>0.76</v>
      </c>
      <c r="BD35">
        <v>279.21</v>
      </c>
      <c r="BE35" s="54">
        <v>2.5</v>
      </c>
      <c r="BF35">
        <v>3.38</v>
      </c>
      <c r="BG35">
        <v>15</v>
      </c>
      <c r="BH35">
        <v>45.3</v>
      </c>
      <c r="BI35">
        <v>102.1</v>
      </c>
      <c r="BN35">
        <v>19</v>
      </c>
      <c r="BR35">
        <v>13.5</v>
      </c>
      <c r="BS35">
        <v>1.23</v>
      </c>
      <c r="BT35">
        <v>32.1</v>
      </c>
      <c r="BU35">
        <v>27.2</v>
      </c>
      <c r="BV35">
        <v>1.67</v>
      </c>
      <c r="BW35">
        <v>916</v>
      </c>
      <c r="BX35">
        <v>70</v>
      </c>
      <c r="BY35" s="63">
        <v>20</v>
      </c>
      <c r="BZ35">
        <v>50</v>
      </c>
      <c r="CA35">
        <v>15</v>
      </c>
      <c r="CB35">
        <v>14</v>
      </c>
      <c r="CC35">
        <v>247</v>
      </c>
      <c r="CD35">
        <v>151</v>
      </c>
      <c r="CE35">
        <v>103</v>
      </c>
      <c r="CF35">
        <v>39</v>
      </c>
      <c r="CG35">
        <v>28.1</v>
      </c>
      <c r="CH35" s="57">
        <f t="shared" si="16"/>
        <v>1.07142857142857</v>
      </c>
      <c r="CI35" s="57">
        <f t="shared" si="17"/>
        <v>1.63576158940397</v>
      </c>
      <c r="CJ35" s="57">
        <f t="shared" si="18"/>
        <v>1.38790035587189</v>
      </c>
      <c r="CK35">
        <v>3.21</v>
      </c>
      <c r="CL35">
        <v>0.83</v>
      </c>
      <c r="CM35">
        <v>0.51</v>
      </c>
      <c r="CN35">
        <v>1.75</v>
      </c>
      <c r="CO35">
        <v>3.7</v>
      </c>
      <c r="CP35">
        <v>59</v>
      </c>
      <c r="CQ35">
        <v>550</v>
      </c>
      <c r="CR35">
        <v>6.9</v>
      </c>
      <c r="CS35">
        <v>1.77</v>
      </c>
      <c r="CT35">
        <v>3.6</v>
      </c>
      <c r="CU35">
        <v>139</v>
      </c>
      <c r="CV35">
        <v>114</v>
      </c>
      <c r="CW35">
        <v>20</v>
      </c>
      <c r="CX35">
        <v>8.6</v>
      </c>
      <c r="DD35">
        <v>439</v>
      </c>
      <c r="DE35">
        <v>3.01</v>
      </c>
      <c r="DF35">
        <v>11.42</v>
      </c>
      <c r="DG35">
        <v>1.532</v>
      </c>
      <c r="DH35">
        <v>31.9</v>
      </c>
      <c r="DI35">
        <v>3.7</v>
      </c>
      <c r="DJ35">
        <v>6.1</v>
      </c>
      <c r="DK35">
        <v>5.3</v>
      </c>
      <c r="DL35">
        <v>9.6</v>
      </c>
      <c r="DM35">
        <v>43.4</v>
      </c>
      <c r="DN35">
        <v>0.47</v>
      </c>
      <c r="DO35">
        <v>1</v>
      </c>
      <c r="DP35">
        <v>3490</v>
      </c>
      <c r="DQ35">
        <v>945</v>
      </c>
      <c r="DR35">
        <v>185</v>
      </c>
      <c r="DS35">
        <v>22.2</v>
      </c>
      <c r="DT35">
        <v>4.59</v>
      </c>
      <c r="DU35">
        <v>11.1</v>
      </c>
      <c r="DW35">
        <v>1.12</v>
      </c>
      <c r="DX35">
        <v>0.06</v>
      </c>
      <c r="DY35" s="62">
        <v>4</v>
      </c>
      <c r="EG35">
        <f t="shared" si="19"/>
        <v>0.242914979757085</v>
      </c>
    </row>
    <row r="36" spans="1:137">
      <c r="A36" t="s">
        <v>127</v>
      </c>
      <c r="B36">
        <v>1066536</v>
      </c>
      <c r="C36">
        <v>2</v>
      </c>
      <c r="D36">
        <v>64</v>
      </c>
      <c r="E36" s="54">
        <v>1.58</v>
      </c>
      <c r="F36">
        <v>77</v>
      </c>
      <c r="G36" s="54">
        <f t="shared" si="23"/>
        <v>30.8444159589809</v>
      </c>
      <c r="H36" s="55">
        <v>105</v>
      </c>
      <c r="I36" s="56">
        <v>104.54</v>
      </c>
      <c r="J36" s="57">
        <v>142.6147</v>
      </c>
      <c r="K36" s="57">
        <v>307.7454</v>
      </c>
      <c r="L36" s="57">
        <v>122.5342</v>
      </c>
      <c r="M36" s="57">
        <f t="shared" si="36"/>
        <v>0.398167446207157</v>
      </c>
      <c r="N36" s="57">
        <f t="shared" si="37"/>
        <v>57.1281445281205</v>
      </c>
      <c r="O36" s="57">
        <f t="shared" si="38"/>
        <v>123.275676974844</v>
      </c>
      <c r="P36" s="57">
        <f t="shared" si="39"/>
        <v>49.084361480532</v>
      </c>
      <c r="Q36" s="57">
        <f t="shared" si="40"/>
        <v>172.360038455376</v>
      </c>
      <c r="R36" s="58">
        <v>-0.495484194681385</v>
      </c>
      <c r="S36" s="54">
        <v>34.1</v>
      </c>
      <c r="T36">
        <v>6.06</v>
      </c>
      <c r="U36" s="65">
        <v>1</v>
      </c>
      <c r="V36" s="65">
        <v>2</v>
      </c>
      <c r="W36" s="60">
        <f t="shared" si="6"/>
        <v>37.75</v>
      </c>
      <c r="X36" s="61">
        <v>43804</v>
      </c>
      <c r="Y36" s="61">
        <v>43803</v>
      </c>
      <c r="Z36" s="61">
        <v>43813</v>
      </c>
      <c r="AA36" s="62">
        <v>1</v>
      </c>
      <c r="AB36" s="62">
        <f t="shared" si="24"/>
        <v>10</v>
      </c>
      <c r="AC36" t="s">
        <v>128</v>
      </c>
      <c r="AD36">
        <v>13512016069</v>
      </c>
      <c r="AE36">
        <v>1</v>
      </c>
      <c r="AF36">
        <v>1</v>
      </c>
      <c r="AG36">
        <v>1</v>
      </c>
      <c r="AH36">
        <v>2</v>
      </c>
      <c r="AI36">
        <v>2</v>
      </c>
      <c r="AJ36">
        <f t="shared" si="26"/>
        <v>1</v>
      </c>
      <c r="AK36">
        <f t="shared" si="27"/>
        <v>7</v>
      </c>
      <c r="AL36">
        <v>2</v>
      </c>
      <c r="AM36" s="1">
        <f t="shared" si="9"/>
        <v>36.9</v>
      </c>
      <c r="AN36" s="1">
        <f t="shared" si="10"/>
        <v>59</v>
      </c>
      <c r="AO36" s="1">
        <f t="shared" si="28"/>
        <v>1.31</v>
      </c>
      <c r="AP36" s="62">
        <f t="shared" si="29"/>
        <v>12.3470096694302</v>
      </c>
      <c r="AQ36">
        <v>1</v>
      </c>
      <c r="AR36">
        <f t="shared" si="30"/>
        <v>1</v>
      </c>
      <c r="AS36">
        <v>3.38</v>
      </c>
      <c r="AT36">
        <v>3.74</v>
      </c>
      <c r="AU36">
        <v>131</v>
      </c>
      <c r="AV36">
        <v>61</v>
      </c>
      <c r="AW36">
        <v>1.44</v>
      </c>
      <c r="AX36">
        <v>1.55</v>
      </c>
      <c r="AY36">
        <v>0.3</v>
      </c>
      <c r="AZ36">
        <f t="shared" si="13"/>
        <v>0.929032258064516</v>
      </c>
      <c r="BA36">
        <f t="shared" si="14"/>
        <v>39.3548387096774</v>
      </c>
      <c r="BB36">
        <f t="shared" si="15"/>
        <v>5.16666666666667</v>
      </c>
      <c r="BC36">
        <v>10.19</v>
      </c>
      <c r="BD36">
        <v>187.89</v>
      </c>
      <c r="BE36" s="54">
        <v>7.19</v>
      </c>
      <c r="BF36">
        <v>10.09</v>
      </c>
      <c r="BG36">
        <v>11.4</v>
      </c>
      <c r="BH36">
        <v>474.7</v>
      </c>
      <c r="BI36">
        <v>75.62</v>
      </c>
      <c r="BR36">
        <v>14.4</v>
      </c>
      <c r="BS36">
        <v>1.31</v>
      </c>
      <c r="BT36">
        <v>37.8</v>
      </c>
      <c r="BU36">
        <v>25.4</v>
      </c>
      <c r="BV36">
        <v>1.88</v>
      </c>
      <c r="BW36">
        <v>3210</v>
      </c>
      <c r="BX36">
        <v>66</v>
      </c>
      <c r="BY36" s="63">
        <v>30</v>
      </c>
      <c r="BZ36">
        <v>36</v>
      </c>
      <c r="CA36">
        <v>41</v>
      </c>
      <c r="CB36">
        <v>65</v>
      </c>
      <c r="CC36">
        <v>171</v>
      </c>
      <c r="CD36">
        <v>43</v>
      </c>
      <c r="CE36">
        <v>325</v>
      </c>
      <c r="CF36">
        <v>36.9</v>
      </c>
      <c r="CG36">
        <v>12.7</v>
      </c>
      <c r="CH36" s="57">
        <f t="shared" si="16"/>
        <v>0.630769230769231</v>
      </c>
      <c r="CI36" s="57">
        <f t="shared" si="17"/>
        <v>3.97674418604651</v>
      </c>
      <c r="CJ36" s="57">
        <f t="shared" si="18"/>
        <v>2.90551181102362</v>
      </c>
      <c r="CK36">
        <v>4.12</v>
      </c>
      <c r="CL36">
        <v>1.33</v>
      </c>
      <c r="CM36">
        <v>1.6</v>
      </c>
      <c r="CN36">
        <v>1.45</v>
      </c>
      <c r="CO36">
        <v>3.2</v>
      </c>
      <c r="CP36">
        <v>59</v>
      </c>
      <c r="CQ36">
        <v>261</v>
      </c>
      <c r="CR36">
        <v>4.5</v>
      </c>
      <c r="CS36">
        <v>2.03</v>
      </c>
      <c r="CT36">
        <v>4.1</v>
      </c>
      <c r="CU36">
        <v>143</v>
      </c>
      <c r="CV36">
        <v>109</v>
      </c>
      <c r="CW36">
        <v>29</v>
      </c>
      <c r="CX36">
        <v>9.1</v>
      </c>
      <c r="DE36">
        <v>4.02</v>
      </c>
      <c r="DF36">
        <v>10.41</v>
      </c>
      <c r="DG36">
        <v>3.538</v>
      </c>
      <c r="DH36">
        <v>47.2</v>
      </c>
      <c r="DI36">
        <v>3.5</v>
      </c>
      <c r="DJ36">
        <v>6.2</v>
      </c>
      <c r="DK36">
        <v>5.5</v>
      </c>
      <c r="DL36">
        <v>7.1</v>
      </c>
      <c r="DM36">
        <v>30.5</v>
      </c>
      <c r="DN36">
        <v>0.89</v>
      </c>
      <c r="DO36">
        <v>1</v>
      </c>
      <c r="DP36">
        <v>1860</v>
      </c>
      <c r="DQ36">
        <v>480</v>
      </c>
      <c r="DR36">
        <v>59.4</v>
      </c>
      <c r="DS36">
        <v>56.9</v>
      </c>
      <c r="DT36">
        <v>11.2</v>
      </c>
      <c r="DU36">
        <v>6.1</v>
      </c>
      <c r="DV36">
        <v>0.01</v>
      </c>
      <c r="DW36">
        <v>0.57</v>
      </c>
      <c r="DY36" s="62"/>
      <c r="EG36">
        <f t="shared" si="19"/>
        <v>0.95906432748538</v>
      </c>
    </row>
    <row r="37" spans="1:137">
      <c r="A37" t="s">
        <v>130</v>
      </c>
      <c r="B37">
        <v>1066930</v>
      </c>
      <c r="C37">
        <v>2</v>
      </c>
      <c r="D37">
        <v>65</v>
      </c>
      <c r="E37" s="54">
        <v>1.6</v>
      </c>
      <c r="F37">
        <v>60</v>
      </c>
      <c r="G37" s="54">
        <f t="shared" si="23"/>
        <v>23.4375</v>
      </c>
      <c r="H37" s="55">
        <v>91</v>
      </c>
      <c r="I37" s="56">
        <v>96.236</v>
      </c>
      <c r="J37" s="57">
        <v>120.9014</v>
      </c>
      <c r="K37" s="57">
        <v>205.8137</v>
      </c>
      <c r="L37" s="57">
        <v>115.5622</v>
      </c>
      <c r="M37" s="57">
        <f t="shared" si="36"/>
        <v>0.561489346919083</v>
      </c>
      <c r="N37" s="57">
        <f t="shared" si="37"/>
        <v>47.227109375</v>
      </c>
      <c r="O37" s="57">
        <f t="shared" si="38"/>
        <v>80.3959765625</v>
      </c>
      <c r="P37" s="57">
        <f t="shared" si="39"/>
        <v>45.141484375</v>
      </c>
      <c r="Q37" s="57">
        <f t="shared" si="40"/>
        <v>125.5374609375</v>
      </c>
      <c r="R37" s="58">
        <v>-0.484555984555985</v>
      </c>
      <c r="S37" s="54">
        <v>29.4</v>
      </c>
      <c r="T37">
        <v>7.65</v>
      </c>
      <c r="U37" s="65">
        <v>1</v>
      </c>
      <c r="V37" s="65">
        <v>2</v>
      </c>
      <c r="W37" s="60">
        <f t="shared" si="6"/>
        <v>40.85</v>
      </c>
      <c r="X37" s="61">
        <v>43807</v>
      </c>
      <c r="Y37" s="61">
        <v>43805</v>
      </c>
      <c r="Z37" s="61">
        <v>43813</v>
      </c>
      <c r="AA37" s="62">
        <v>1</v>
      </c>
      <c r="AB37" s="62">
        <f t="shared" si="24"/>
        <v>8</v>
      </c>
      <c r="AC37" t="s">
        <v>131</v>
      </c>
      <c r="AD37">
        <v>13820510769</v>
      </c>
      <c r="AE37">
        <v>1</v>
      </c>
      <c r="AF37">
        <v>1</v>
      </c>
      <c r="AG37">
        <v>2</v>
      </c>
      <c r="AH37">
        <f t="shared" ref="AH37:AH42" si="41">_xlfn.IFS(CF37&lt;34,1,CF37=34-51,2,CF37&gt;51,3)</f>
        <v>1</v>
      </c>
      <c r="AI37">
        <f>_xlfn.IFS(BY37&lt;28,1,BY37=28-35,2,BY37&gt;35,3)</f>
        <v>3</v>
      </c>
      <c r="AJ37">
        <f t="shared" si="26"/>
        <v>1</v>
      </c>
      <c r="AK37">
        <f t="shared" si="27"/>
        <v>8</v>
      </c>
      <c r="AL37">
        <v>2</v>
      </c>
      <c r="AM37" s="1">
        <f t="shared" si="9"/>
        <v>33.5</v>
      </c>
      <c r="AN37" s="1">
        <f t="shared" si="10"/>
        <v>73</v>
      </c>
      <c r="AO37" s="1">
        <f t="shared" si="28"/>
        <v>1.11</v>
      </c>
      <c r="AP37" s="62">
        <f t="shared" si="29"/>
        <v>10.1242066778567</v>
      </c>
      <c r="AQ37">
        <v>1</v>
      </c>
      <c r="AR37">
        <f t="shared" si="30"/>
        <v>1</v>
      </c>
      <c r="AS37">
        <v>2.19</v>
      </c>
      <c r="AT37">
        <v>2.3</v>
      </c>
      <c r="AU37">
        <v>76</v>
      </c>
      <c r="AV37">
        <v>72</v>
      </c>
      <c r="AW37">
        <v>1.43</v>
      </c>
      <c r="AX37">
        <v>0.57</v>
      </c>
      <c r="AY37">
        <v>0.14</v>
      </c>
      <c r="AZ37">
        <f t="shared" si="13"/>
        <v>2.50877192982456</v>
      </c>
      <c r="BA37">
        <f t="shared" si="14"/>
        <v>126.315789473684</v>
      </c>
      <c r="BB37">
        <f t="shared" si="15"/>
        <v>4.07142857142857</v>
      </c>
      <c r="BC37">
        <v>1.57</v>
      </c>
      <c r="BD37">
        <v>56.68</v>
      </c>
      <c r="BE37" s="54">
        <v>2.11</v>
      </c>
      <c r="BF37">
        <v>13.8</v>
      </c>
      <c r="BG37">
        <v>15.6</v>
      </c>
      <c r="BH37">
        <v>92.1</v>
      </c>
      <c r="BI37">
        <v>40.55</v>
      </c>
      <c r="BN37">
        <v>21</v>
      </c>
      <c r="BR37">
        <v>12.2</v>
      </c>
      <c r="BS37">
        <v>1.11</v>
      </c>
      <c r="BT37">
        <v>23.1</v>
      </c>
      <c r="BU37">
        <v>25.4</v>
      </c>
      <c r="BV37">
        <v>2.06</v>
      </c>
      <c r="BW37">
        <v>471</v>
      </c>
      <c r="BX37">
        <v>55</v>
      </c>
      <c r="BY37" s="63">
        <v>38</v>
      </c>
      <c r="BZ37">
        <v>17</v>
      </c>
      <c r="CA37">
        <v>17</v>
      </c>
      <c r="CB37">
        <v>25</v>
      </c>
      <c r="CC37">
        <v>47</v>
      </c>
      <c r="CD37">
        <v>17</v>
      </c>
      <c r="CE37">
        <v>182</v>
      </c>
      <c r="CF37">
        <v>33.5</v>
      </c>
      <c r="CG37">
        <v>8.4</v>
      </c>
      <c r="CH37" s="57">
        <f t="shared" si="16"/>
        <v>0.68</v>
      </c>
      <c r="CI37" s="57">
        <f t="shared" si="17"/>
        <v>2.76470588235294</v>
      </c>
      <c r="CJ37" s="57">
        <f t="shared" si="18"/>
        <v>3.98809523809524</v>
      </c>
      <c r="CO37">
        <v>2.1</v>
      </c>
      <c r="CP37">
        <v>73</v>
      </c>
      <c r="CQ37">
        <v>303</v>
      </c>
      <c r="CR37">
        <v>7.1</v>
      </c>
      <c r="CS37">
        <v>1.93</v>
      </c>
      <c r="CT37">
        <v>4.1</v>
      </c>
      <c r="CU37">
        <v>143</v>
      </c>
      <c r="CV37">
        <v>107</v>
      </c>
      <c r="CW37">
        <v>31</v>
      </c>
      <c r="CX37">
        <v>9.1</v>
      </c>
      <c r="CZ37">
        <v>136</v>
      </c>
      <c r="DA37">
        <v>24</v>
      </c>
      <c r="DB37" t="s">
        <v>3422</v>
      </c>
      <c r="DC37">
        <v>417</v>
      </c>
      <c r="DE37">
        <v>2.53</v>
      </c>
      <c r="DF37">
        <v>11.66</v>
      </c>
      <c r="DG37">
        <v>0.644</v>
      </c>
      <c r="DH37">
        <v>61.9</v>
      </c>
      <c r="DI37">
        <v>5</v>
      </c>
      <c r="DJ37">
        <v>10.3</v>
      </c>
      <c r="DK37">
        <v>5.7</v>
      </c>
      <c r="DL37">
        <v>3.8</v>
      </c>
      <c r="DM37">
        <v>13.3</v>
      </c>
      <c r="DN37">
        <v>1.62</v>
      </c>
      <c r="DO37">
        <v>0</v>
      </c>
      <c r="DP37">
        <v>886</v>
      </c>
      <c r="DQ37">
        <v>95.8</v>
      </c>
      <c r="DR37">
        <v>41.8</v>
      </c>
      <c r="DS37">
        <v>55.3</v>
      </c>
      <c r="DT37">
        <v>19.9</v>
      </c>
      <c r="DU37">
        <v>53.6</v>
      </c>
      <c r="DW37">
        <v>0.24</v>
      </c>
      <c r="DY37" s="62">
        <v>4</v>
      </c>
      <c r="EG37">
        <f t="shared" si="19"/>
        <v>1.4468085106383</v>
      </c>
    </row>
    <row r="38" spans="1:137">
      <c r="A38" t="s">
        <v>133</v>
      </c>
      <c r="B38">
        <v>1067046</v>
      </c>
      <c r="C38">
        <v>1</v>
      </c>
      <c r="D38">
        <v>40</v>
      </c>
      <c r="E38" s="54">
        <v>1.7</v>
      </c>
      <c r="F38">
        <v>76</v>
      </c>
      <c r="G38" s="54">
        <f t="shared" si="23"/>
        <v>26.2975778546713</v>
      </c>
      <c r="H38" s="55">
        <v>96.5</v>
      </c>
      <c r="I38" s="56">
        <v>99.016</v>
      </c>
      <c r="J38" s="57">
        <v>124.4353</v>
      </c>
      <c r="K38" s="57">
        <v>61.2702</v>
      </c>
      <c r="L38" s="57">
        <v>183.9868</v>
      </c>
      <c r="M38" s="57">
        <f t="shared" si="36"/>
        <v>3.0028757862713</v>
      </c>
      <c r="N38" s="57">
        <f t="shared" si="37"/>
        <v>43.0571972318339</v>
      </c>
      <c r="O38" s="57">
        <f t="shared" si="38"/>
        <v>21.2007612456747</v>
      </c>
      <c r="P38" s="57">
        <f t="shared" si="39"/>
        <v>63.6632525951557</v>
      </c>
      <c r="Q38" s="57">
        <f t="shared" si="40"/>
        <v>84.8640138408304</v>
      </c>
      <c r="R38" s="58">
        <v>-0.563956639566396</v>
      </c>
      <c r="S38" s="54"/>
      <c r="T38">
        <v>11.56</v>
      </c>
      <c r="U38" s="68">
        <v>6</v>
      </c>
      <c r="V38" s="68">
        <v>3</v>
      </c>
      <c r="W38" s="60">
        <f t="shared" si="6"/>
        <v>30.05</v>
      </c>
      <c r="X38" s="61">
        <v>43807</v>
      </c>
      <c r="Y38" s="61">
        <v>43806</v>
      </c>
      <c r="Z38" s="61">
        <v>43815</v>
      </c>
      <c r="AA38" s="62">
        <v>1</v>
      </c>
      <c r="AB38" s="62">
        <f t="shared" si="24"/>
        <v>9</v>
      </c>
      <c r="AC38" t="s">
        <v>134</v>
      </c>
      <c r="AD38">
        <v>15620897421</v>
      </c>
      <c r="AE38">
        <v>0</v>
      </c>
      <c r="AF38">
        <v>1</v>
      </c>
      <c r="AG38">
        <v>3</v>
      </c>
      <c r="AH38">
        <f t="shared" si="41"/>
        <v>3</v>
      </c>
      <c r="AI38">
        <f>_xlfn.IFS(BY38&lt;28,1,BY38=28-35,2,BY38&gt;35,3)</f>
        <v>1</v>
      </c>
      <c r="AJ38">
        <f t="shared" si="26"/>
        <v>3</v>
      </c>
      <c r="AK38">
        <f t="shared" si="27"/>
        <v>11</v>
      </c>
      <c r="AL38">
        <f>_xlfn.IFS(AK38&lt;7,1,AK38=7-9,2,AK38&gt;9,3)</f>
        <v>3</v>
      </c>
      <c r="AM38" s="1">
        <f t="shared" si="9"/>
        <v>447.2</v>
      </c>
      <c r="AN38" s="1">
        <f t="shared" si="10"/>
        <v>56</v>
      </c>
      <c r="AO38" s="1">
        <f t="shared" si="28"/>
        <v>2.38</v>
      </c>
      <c r="AP38" s="62">
        <f t="shared" si="29"/>
        <v>22.1144498037165</v>
      </c>
      <c r="AQ38">
        <v>0</v>
      </c>
      <c r="AR38">
        <f t="shared" si="30"/>
        <v>3</v>
      </c>
      <c r="AS38">
        <v>27.56</v>
      </c>
      <c r="AT38">
        <v>2.46</v>
      </c>
      <c r="AU38">
        <v>104</v>
      </c>
      <c r="AV38">
        <v>137</v>
      </c>
      <c r="AW38">
        <v>23.92</v>
      </c>
      <c r="AX38">
        <v>1.21</v>
      </c>
      <c r="AY38">
        <v>2.21</v>
      </c>
      <c r="AZ38">
        <f t="shared" si="13"/>
        <v>19.7685950413223</v>
      </c>
      <c r="BA38">
        <f t="shared" si="14"/>
        <v>113.223140495868</v>
      </c>
      <c r="BB38">
        <f t="shared" si="15"/>
        <v>0.547511312217195</v>
      </c>
      <c r="BE38" s="54"/>
      <c r="BN38">
        <v>28</v>
      </c>
      <c r="BR38">
        <v>26.3</v>
      </c>
      <c r="BS38">
        <v>2.38</v>
      </c>
      <c r="BT38">
        <v>36.6</v>
      </c>
      <c r="BU38">
        <v>23</v>
      </c>
      <c r="BV38">
        <v>2.05</v>
      </c>
      <c r="BW38">
        <v>3929</v>
      </c>
      <c r="BX38">
        <v>56</v>
      </c>
      <c r="BY38" s="63">
        <v>24</v>
      </c>
      <c r="BZ38">
        <v>32</v>
      </c>
      <c r="CA38">
        <v>23</v>
      </c>
      <c r="CB38">
        <v>57</v>
      </c>
      <c r="CC38">
        <v>257</v>
      </c>
      <c r="CD38">
        <v>529</v>
      </c>
      <c r="CE38">
        <v>236</v>
      </c>
      <c r="CF38">
        <v>447.2</v>
      </c>
      <c r="CG38">
        <v>343.7</v>
      </c>
      <c r="CH38" s="57">
        <f t="shared" si="16"/>
        <v>0.403508771929825</v>
      </c>
      <c r="CI38" s="57">
        <f t="shared" si="17"/>
        <v>0.485822306238185</v>
      </c>
      <c r="CJ38" s="57">
        <f t="shared" si="18"/>
        <v>1.30113471050335</v>
      </c>
      <c r="CO38">
        <v>3.9</v>
      </c>
      <c r="CP38">
        <v>56</v>
      </c>
      <c r="CQ38">
        <v>212</v>
      </c>
      <c r="CR38">
        <v>5.4</v>
      </c>
      <c r="CS38">
        <v>2</v>
      </c>
      <c r="CT38">
        <v>3.7</v>
      </c>
      <c r="CU38">
        <v>137</v>
      </c>
      <c r="CV38">
        <v>97</v>
      </c>
      <c r="CW38">
        <v>30</v>
      </c>
      <c r="CX38">
        <v>13.7</v>
      </c>
      <c r="DH38">
        <v>52.1</v>
      </c>
      <c r="DI38">
        <v>5.7</v>
      </c>
      <c r="DJ38">
        <v>10</v>
      </c>
      <c r="DK38">
        <v>4.7</v>
      </c>
      <c r="DL38">
        <v>7.1</v>
      </c>
      <c r="DM38">
        <v>20.4</v>
      </c>
      <c r="DN38">
        <v>1.03</v>
      </c>
      <c r="DO38">
        <v>1</v>
      </c>
      <c r="DP38">
        <v>1340</v>
      </c>
      <c r="DQ38">
        <v>326</v>
      </c>
      <c r="DR38">
        <v>329</v>
      </c>
      <c r="DS38">
        <v>98.3</v>
      </c>
      <c r="DT38">
        <v>24.2</v>
      </c>
      <c r="DU38">
        <v>114</v>
      </c>
      <c r="DW38">
        <v>8.12</v>
      </c>
      <c r="DX38">
        <v>0.45</v>
      </c>
      <c r="DY38" s="62"/>
      <c r="EG38">
        <f t="shared" si="19"/>
        <v>0.357976653696498</v>
      </c>
    </row>
    <row r="39" spans="1:137">
      <c r="A39" s="45" t="s">
        <v>135</v>
      </c>
      <c r="B39">
        <v>1067065</v>
      </c>
      <c r="C39">
        <v>1</v>
      </c>
      <c r="D39">
        <v>69</v>
      </c>
      <c r="E39" s="54">
        <v>1.83</v>
      </c>
      <c r="F39">
        <v>83</v>
      </c>
      <c r="G39" s="54">
        <f t="shared" si="23"/>
        <v>24.7842575173938</v>
      </c>
      <c r="H39" s="55"/>
      <c r="I39" s="56">
        <v>109.69</v>
      </c>
      <c r="J39" s="57">
        <v>118.3859</v>
      </c>
      <c r="K39" s="57">
        <v>132.2974</v>
      </c>
      <c r="L39" s="57">
        <v>377.4993</v>
      </c>
      <c r="M39" s="57">
        <f t="shared" si="36"/>
        <v>2.85341435281419</v>
      </c>
      <c r="N39" s="57">
        <f t="shared" si="37"/>
        <v>35.3506823135955</v>
      </c>
      <c r="O39" s="57">
        <f t="shared" si="38"/>
        <v>39.5047328973693</v>
      </c>
      <c r="P39" s="57">
        <f t="shared" si="39"/>
        <v>112.723371853444</v>
      </c>
      <c r="Q39" s="57">
        <f t="shared" si="40"/>
        <v>152.228104750813</v>
      </c>
      <c r="R39" s="58">
        <v>-0.46728515625</v>
      </c>
      <c r="S39" s="54">
        <v>25.3</v>
      </c>
      <c r="T39">
        <v>7.18</v>
      </c>
      <c r="U39" s="68">
        <v>6</v>
      </c>
      <c r="V39" s="68">
        <v>3</v>
      </c>
      <c r="W39" s="60">
        <f t="shared" si="6"/>
        <v>24.6</v>
      </c>
      <c r="X39" s="61">
        <v>43809</v>
      </c>
      <c r="Y39" s="61">
        <v>43806</v>
      </c>
      <c r="Z39" s="61">
        <v>43818</v>
      </c>
      <c r="AA39" s="62">
        <v>1</v>
      </c>
      <c r="AB39" s="62">
        <f t="shared" si="24"/>
        <v>12</v>
      </c>
      <c r="AC39" t="s">
        <v>136</v>
      </c>
      <c r="AD39">
        <v>15122999296</v>
      </c>
      <c r="AE39">
        <v>0</v>
      </c>
      <c r="AF39">
        <v>1</v>
      </c>
      <c r="AG39">
        <v>3</v>
      </c>
      <c r="AH39">
        <f t="shared" si="41"/>
        <v>1</v>
      </c>
      <c r="AI39">
        <f>_xlfn.IFS(BY39&lt;28,1,BY39=28-35,2,BY39&gt;35,3)</f>
        <v>1</v>
      </c>
      <c r="AJ39">
        <f t="shared" si="26"/>
        <v>1</v>
      </c>
      <c r="AK39">
        <f t="shared" si="27"/>
        <v>7</v>
      </c>
      <c r="AL39">
        <v>2</v>
      </c>
      <c r="AM39" s="1">
        <f t="shared" si="9"/>
        <v>33.8</v>
      </c>
      <c r="AN39" s="1">
        <f t="shared" si="10"/>
        <v>80</v>
      </c>
      <c r="AO39" s="1">
        <f t="shared" si="28"/>
        <v>1.3</v>
      </c>
      <c r="AP39" s="62">
        <f t="shared" si="29"/>
        <v>11.9277326501613</v>
      </c>
      <c r="AQ39">
        <v>1</v>
      </c>
      <c r="AR39">
        <f t="shared" si="30"/>
        <v>1</v>
      </c>
      <c r="AS39">
        <v>1.96</v>
      </c>
      <c r="AT39">
        <v>3.41</v>
      </c>
      <c r="AU39">
        <v>98</v>
      </c>
      <c r="AV39">
        <v>59</v>
      </c>
      <c r="AW39">
        <v>1.06</v>
      </c>
      <c r="AX39">
        <v>0.32</v>
      </c>
      <c r="AY39">
        <v>0.51</v>
      </c>
      <c r="AZ39">
        <f t="shared" si="13"/>
        <v>3.3125</v>
      </c>
      <c r="BA39">
        <f t="shared" si="14"/>
        <v>184.375</v>
      </c>
      <c r="BB39">
        <f t="shared" si="15"/>
        <v>0.627450980392157</v>
      </c>
      <c r="BC39">
        <v>2.65</v>
      </c>
      <c r="BD39">
        <v>36.81</v>
      </c>
      <c r="BE39" s="54">
        <v>2.98</v>
      </c>
      <c r="BF39">
        <v>6.07</v>
      </c>
      <c r="BM39">
        <v>0.386</v>
      </c>
      <c r="BN39">
        <v>85</v>
      </c>
      <c r="BR39">
        <v>14.3</v>
      </c>
      <c r="BS39">
        <v>1.3</v>
      </c>
      <c r="BT39">
        <v>36</v>
      </c>
      <c r="BU39">
        <v>23.7</v>
      </c>
      <c r="BV39">
        <v>2.06</v>
      </c>
      <c r="BW39">
        <v>1035</v>
      </c>
      <c r="BX39">
        <v>55</v>
      </c>
      <c r="BY39" s="63">
        <v>23</v>
      </c>
      <c r="BZ39">
        <v>32</v>
      </c>
      <c r="CA39">
        <v>26</v>
      </c>
      <c r="CB39">
        <v>45</v>
      </c>
      <c r="CC39">
        <v>102</v>
      </c>
      <c r="CD39">
        <v>407</v>
      </c>
      <c r="CE39">
        <v>192</v>
      </c>
      <c r="CF39">
        <v>33.8</v>
      </c>
      <c r="CG39">
        <v>22.8</v>
      </c>
      <c r="CH39" s="57">
        <f t="shared" si="16"/>
        <v>0.577777777777778</v>
      </c>
      <c r="CI39" s="57">
        <f t="shared" si="17"/>
        <v>0.250614250614251</v>
      </c>
      <c r="CJ39" s="57">
        <f t="shared" si="18"/>
        <v>1.48245614035088</v>
      </c>
      <c r="CK39">
        <v>3.33</v>
      </c>
      <c r="CL39">
        <v>0.76</v>
      </c>
      <c r="CM39">
        <v>0.94</v>
      </c>
      <c r="CN39">
        <v>1.97</v>
      </c>
      <c r="CO39">
        <v>4.9</v>
      </c>
      <c r="CP39">
        <v>80</v>
      </c>
      <c r="CQ39">
        <v>325</v>
      </c>
      <c r="CR39">
        <v>5.2</v>
      </c>
      <c r="CS39">
        <v>2.16</v>
      </c>
      <c r="CT39">
        <v>3.5</v>
      </c>
      <c r="CU39">
        <v>138</v>
      </c>
      <c r="CV39">
        <v>109</v>
      </c>
      <c r="CW39">
        <v>25</v>
      </c>
      <c r="CX39">
        <v>7.5</v>
      </c>
      <c r="DD39">
        <v>214</v>
      </c>
      <c r="DE39">
        <v>3.18</v>
      </c>
      <c r="DF39">
        <v>13.83</v>
      </c>
      <c r="DG39">
        <v>1.355</v>
      </c>
      <c r="DH39">
        <v>46.1</v>
      </c>
      <c r="DI39">
        <v>4.9</v>
      </c>
      <c r="DJ39">
        <v>9</v>
      </c>
      <c r="DK39">
        <v>6.4</v>
      </c>
      <c r="DL39">
        <v>6.4</v>
      </c>
      <c r="DM39">
        <v>27.2</v>
      </c>
      <c r="DN39">
        <v>0.86</v>
      </c>
      <c r="DO39">
        <v>1</v>
      </c>
      <c r="DP39">
        <v>1430</v>
      </c>
      <c r="DQ39">
        <v>414</v>
      </c>
      <c r="DR39">
        <v>65.4</v>
      </c>
      <c r="DS39">
        <v>68.8</v>
      </c>
      <c r="DT39">
        <v>19.3</v>
      </c>
      <c r="DU39">
        <v>261</v>
      </c>
      <c r="DV39">
        <v>0.13</v>
      </c>
      <c r="DW39">
        <v>0.67</v>
      </c>
      <c r="DY39" s="62">
        <v>4</v>
      </c>
      <c r="DZ39">
        <v>13</v>
      </c>
      <c r="EA39">
        <v>55</v>
      </c>
      <c r="EB39">
        <v>3.3</v>
      </c>
      <c r="EC39">
        <v>1.02</v>
      </c>
      <c r="ED39">
        <v>7.1</v>
      </c>
      <c r="EE39">
        <v>115</v>
      </c>
      <c r="EF39">
        <v>1.31</v>
      </c>
      <c r="EG39">
        <f t="shared" si="19"/>
        <v>1.01960784313726</v>
      </c>
    </row>
    <row r="40" spans="1:137">
      <c r="A40" t="s">
        <v>3076</v>
      </c>
      <c r="B40">
        <v>1067318</v>
      </c>
      <c r="C40">
        <v>1</v>
      </c>
      <c r="D40">
        <v>64</v>
      </c>
      <c r="E40" s="54">
        <v>1.74</v>
      </c>
      <c r="F40">
        <v>85.5</v>
      </c>
      <c r="G40" s="54">
        <f t="shared" si="23"/>
        <v>28.2401902497027</v>
      </c>
      <c r="H40" s="55">
        <v>110</v>
      </c>
      <c r="I40" s="56">
        <v>107.49</v>
      </c>
      <c r="J40" s="57">
        <v>167.6827</v>
      </c>
      <c r="K40" s="57">
        <v>131.8196</v>
      </c>
      <c r="L40" s="57">
        <v>20.1535</v>
      </c>
      <c r="M40" s="57">
        <f t="shared" si="36"/>
        <v>0.152886975836674</v>
      </c>
      <c r="N40" s="57">
        <f t="shared" si="37"/>
        <v>55.3846941471793</v>
      </c>
      <c r="O40" s="57">
        <f t="shared" si="38"/>
        <v>43.5393050601136</v>
      </c>
      <c r="P40" s="57">
        <f t="shared" si="39"/>
        <v>6.65659268067116</v>
      </c>
      <c r="Q40" s="57">
        <f t="shared" si="40"/>
        <v>50.1958977407848</v>
      </c>
      <c r="R40" s="58">
        <v>-1.37484116899619</v>
      </c>
      <c r="S40" s="54"/>
      <c r="T40">
        <v>0.01</v>
      </c>
      <c r="U40" s="65">
        <v>1</v>
      </c>
      <c r="V40" s="65">
        <v>2</v>
      </c>
      <c r="W40" s="60">
        <f t="shared" si="6"/>
        <v>25.1</v>
      </c>
      <c r="X40" s="61">
        <v>43807</v>
      </c>
      <c r="Y40" s="61">
        <v>43808</v>
      </c>
      <c r="Z40" s="61">
        <v>43822</v>
      </c>
      <c r="AA40" s="62">
        <v>1</v>
      </c>
      <c r="AB40" s="62">
        <f t="shared" si="24"/>
        <v>14</v>
      </c>
      <c r="AC40" t="s">
        <v>3292</v>
      </c>
      <c r="AD40">
        <v>13820758593</v>
      </c>
      <c r="AE40">
        <v>0</v>
      </c>
      <c r="AF40">
        <v>1</v>
      </c>
      <c r="AG40">
        <v>3</v>
      </c>
      <c r="AH40">
        <f t="shared" si="41"/>
        <v>1</v>
      </c>
      <c r="AI40">
        <f>_xlfn.IFS(BY40&lt;28,1,BY40=28-35,2,BY40&gt;35,3)</f>
        <v>1</v>
      </c>
      <c r="AJ40">
        <f t="shared" si="26"/>
        <v>1</v>
      </c>
      <c r="AK40">
        <f t="shared" si="27"/>
        <v>7</v>
      </c>
      <c r="AL40">
        <v>2</v>
      </c>
      <c r="AM40" s="1">
        <f t="shared" si="9"/>
        <v>31.2</v>
      </c>
      <c r="AN40" s="1">
        <f t="shared" si="10"/>
        <v>109</v>
      </c>
      <c r="AO40" s="1">
        <f t="shared" si="28"/>
        <v>1.55</v>
      </c>
      <c r="AP40" s="62">
        <f t="shared" si="29"/>
        <v>15.6045145862161</v>
      </c>
      <c r="AQ40">
        <v>1</v>
      </c>
      <c r="AR40">
        <v>2</v>
      </c>
      <c r="AS40">
        <v>3.34</v>
      </c>
      <c r="AT40">
        <v>2.66</v>
      </c>
      <c r="AU40">
        <v>86</v>
      </c>
      <c r="AV40">
        <v>84</v>
      </c>
      <c r="AW40">
        <v>1.68</v>
      </c>
      <c r="AX40">
        <v>1.22</v>
      </c>
      <c r="AY40">
        <v>0.22</v>
      </c>
      <c r="AZ40">
        <f t="shared" si="13"/>
        <v>1.37704918032787</v>
      </c>
      <c r="BA40">
        <f t="shared" si="14"/>
        <v>68.8524590163934</v>
      </c>
      <c r="BB40">
        <f t="shared" si="15"/>
        <v>5.54545454545454</v>
      </c>
      <c r="BC40">
        <v>14.95</v>
      </c>
      <c r="BD40">
        <v>85.9</v>
      </c>
      <c r="BE40" s="54">
        <v>3.69</v>
      </c>
      <c r="BF40">
        <v>6.5</v>
      </c>
      <c r="BG40">
        <v>0.26</v>
      </c>
      <c r="BJ40">
        <v>5.79</v>
      </c>
      <c r="BK40">
        <v>1.8</v>
      </c>
      <c r="BL40">
        <v>56.85</v>
      </c>
      <c r="BM40">
        <v>0.269</v>
      </c>
      <c r="BN40">
        <v>45</v>
      </c>
      <c r="BR40">
        <v>17</v>
      </c>
      <c r="BS40">
        <v>1.55</v>
      </c>
      <c r="BT40">
        <v>34.3</v>
      </c>
      <c r="BU40">
        <v>27.1</v>
      </c>
      <c r="BV40">
        <v>1.2</v>
      </c>
      <c r="BW40">
        <v>4412</v>
      </c>
      <c r="BX40">
        <v>63</v>
      </c>
      <c r="BY40" s="63">
        <v>19</v>
      </c>
      <c r="BZ40">
        <v>44</v>
      </c>
      <c r="CA40">
        <v>32</v>
      </c>
      <c r="CB40">
        <v>29</v>
      </c>
      <c r="CC40">
        <v>110</v>
      </c>
      <c r="CD40">
        <v>61</v>
      </c>
      <c r="CE40">
        <v>235</v>
      </c>
      <c r="CF40">
        <v>31.2</v>
      </c>
      <c r="CG40">
        <v>15.3</v>
      </c>
      <c r="CH40" s="57">
        <f t="shared" si="16"/>
        <v>1.10344827586207</v>
      </c>
      <c r="CI40" s="57">
        <f t="shared" si="17"/>
        <v>1.80327868852459</v>
      </c>
      <c r="CJ40" s="57">
        <f t="shared" si="18"/>
        <v>2.03921568627451</v>
      </c>
      <c r="CK40">
        <v>3.02</v>
      </c>
      <c r="CL40">
        <v>0.61</v>
      </c>
      <c r="CM40">
        <v>0.9</v>
      </c>
      <c r="CN40">
        <v>1.47</v>
      </c>
      <c r="CO40">
        <v>5.9</v>
      </c>
      <c r="CP40">
        <v>109</v>
      </c>
      <c r="CQ40">
        <v>426</v>
      </c>
      <c r="CR40">
        <v>3.6</v>
      </c>
      <c r="CS40">
        <v>1.7</v>
      </c>
      <c r="CT40">
        <v>3</v>
      </c>
      <c r="CU40">
        <v>140</v>
      </c>
      <c r="CV40">
        <v>110</v>
      </c>
      <c r="CW40">
        <v>26</v>
      </c>
      <c r="CX40">
        <v>7</v>
      </c>
      <c r="DE40">
        <v>3.07</v>
      </c>
      <c r="DF40">
        <v>15.23</v>
      </c>
      <c r="DG40">
        <v>2.347</v>
      </c>
      <c r="DH40">
        <v>37.1</v>
      </c>
      <c r="DI40">
        <v>3.7</v>
      </c>
      <c r="DJ40">
        <v>5.8</v>
      </c>
      <c r="DK40">
        <v>5</v>
      </c>
      <c r="DL40">
        <v>6.4</v>
      </c>
      <c r="DM40">
        <v>42</v>
      </c>
      <c r="DN40">
        <v>0.59</v>
      </c>
      <c r="DO40">
        <v>1</v>
      </c>
      <c r="DP40">
        <v>2570</v>
      </c>
      <c r="DQ40">
        <v>657</v>
      </c>
      <c r="DR40">
        <v>388</v>
      </c>
      <c r="DS40">
        <v>44.6</v>
      </c>
      <c r="DT40">
        <v>10.8</v>
      </c>
      <c r="DU40">
        <v>144</v>
      </c>
      <c r="DV40">
        <v>1.82</v>
      </c>
      <c r="DW40">
        <v>1.34</v>
      </c>
      <c r="DY40" s="62">
        <v>4</v>
      </c>
      <c r="EG40">
        <f t="shared" si="19"/>
        <v>1.16363636363636</v>
      </c>
    </row>
    <row r="41" spans="1:137">
      <c r="A41" t="s">
        <v>138</v>
      </c>
      <c r="B41">
        <v>711356</v>
      </c>
      <c r="C41">
        <v>2</v>
      </c>
      <c r="D41">
        <v>82</v>
      </c>
      <c r="E41" s="54">
        <v>1.62</v>
      </c>
      <c r="F41">
        <v>62</v>
      </c>
      <c r="G41" s="54">
        <f t="shared" si="23"/>
        <v>23.6244474927602</v>
      </c>
      <c r="H41" s="55">
        <v>106</v>
      </c>
      <c r="I41" s="56"/>
      <c r="J41" s="57"/>
      <c r="K41" s="57"/>
      <c r="L41" s="57"/>
      <c r="M41" s="57"/>
      <c r="N41" s="57"/>
      <c r="O41" s="57"/>
      <c r="P41" s="57"/>
      <c r="Q41" s="57"/>
      <c r="R41" s="58"/>
      <c r="S41" s="54">
        <v>13.7</v>
      </c>
      <c r="T41">
        <v>0.01</v>
      </c>
      <c r="U41" s="68">
        <v>2</v>
      </c>
      <c r="V41" s="68">
        <v>3</v>
      </c>
      <c r="W41" s="60">
        <f t="shared" si="6"/>
        <v>30.2</v>
      </c>
      <c r="X41" s="61">
        <v>43807</v>
      </c>
      <c r="Y41" s="61">
        <v>43808</v>
      </c>
      <c r="Z41" s="61">
        <v>43812</v>
      </c>
      <c r="AA41" s="62">
        <v>1</v>
      </c>
      <c r="AB41" s="62">
        <f t="shared" si="24"/>
        <v>4</v>
      </c>
      <c r="AC41" t="s">
        <v>139</v>
      </c>
      <c r="AD41">
        <v>13752571128</v>
      </c>
      <c r="AE41">
        <v>1</v>
      </c>
      <c r="AF41">
        <v>1</v>
      </c>
      <c r="AG41">
        <v>1</v>
      </c>
      <c r="AH41">
        <f t="shared" si="41"/>
        <v>1</v>
      </c>
      <c r="AI41">
        <v>2</v>
      </c>
      <c r="AJ41">
        <f t="shared" si="26"/>
        <v>1</v>
      </c>
      <c r="AK41">
        <f t="shared" si="27"/>
        <v>6</v>
      </c>
      <c r="AL41">
        <f>_xlfn.IFS(AK41&lt;7,1,AK41=7-9,2,AK41&gt;9,3)</f>
        <v>1</v>
      </c>
      <c r="AM41" s="1">
        <f t="shared" si="9"/>
        <v>9.4</v>
      </c>
      <c r="AN41" s="1">
        <f t="shared" si="10"/>
        <v>185</v>
      </c>
      <c r="AO41" s="1">
        <f t="shared" si="28"/>
        <v>1.26</v>
      </c>
      <c r="AP41" s="62">
        <f t="shared" si="29"/>
        <v>16.0778962869633</v>
      </c>
      <c r="AQ41">
        <v>1</v>
      </c>
      <c r="AR41">
        <v>2</v>
      </c>
      <c r="AS41">
        <v>3.51</v>
      </c>
      <c r="AT41">
        <v>2.77</v>
      </c>
      <c r="AU41">
        <v>71</v>
      </c>
      <c r="AV41">
        <v>127</v>
      </c>
      <c r="AW41">
        <v>2.85</v>
      </c>
      <c r="AX41">
        <v>0.24</v>
      </c>
      <c r="AY41">
        <v>0.27</v>
      </c>
      <c r="AZ41">
        <f t="shared" si="13"/>
        <v>11.875</v>
      </c>
      <c r="BA41">
        <f t="shared" si="14"/>
        <v>529.166666666667</v>
      </c>
      <c r="BB41">
        <f t="shared" si="15"/>
        <v>0.888888888888889</v>
      </c>
      <c r="BC41">
        <v>1.51</v>
      </c>
      <c r="BD41">
        <v>15.46</v>
      </c>
      <c r="BE41" s="54">
        <v>2.71</v>
      </c>
      <c r="BF41">
        <v>16.39</v>
      </c>
      <c r="BG41">
        <v>12.5</v>
      </c>
      <c r="BI41">
        <v>406.4</v>
      </c>
      <c r="BN41">
        <v>43</v>
      </c>
      <c r="BR41">
        <v>13.8</v>
      </c>
      <c r="BS41">
        <v>1.26</v>
      </c>
      <c r="BT41">
        <v>29</v>
      </c>
      <c r="BU41">
        <v>22.9</v>
      </c>
      <c r="BV41">
        <v>3.01</v>
      </c>
      <c r="BW41">
        <v>3008</v>
      </c>
      <c r="BX41">
        <v>61</v>
      </c>
      <c r="BY41" s="63">
        <v>29</v>
      </c>
      <c r="BZ41">
        <v>32</v>
      </c>
      <c r="CA41">
        <v>21</v>
      </c>
      <c r="CB41">
        <v>32</v>
      </c>
      <c r="CC41">
        <v>87</v>
      </c>
      <c r="CD41">
        <v>40</v>
      </c>
      <c r="CE41">
        <v>178</v>
      </c>
      <c r="CF41">
        <v>9.4</v>
      </c>
      <c r="CG41">
        <v>3</v>
      </c>
      <c r="CH41" s="57">
        <f t="shared" si="16"/>
        <v>0.65625</v>
      </c>
      <c r="CI41" s="57">
        <f t="shared" si="17"/>
        <v>2.175</v>
      </c>
      <c r="CJ41" s="57">
        <f t="shared" si="18"/>
        <v>3.13333333333333</v>
      </c>
      <c r="CK41">
        <v>2.78</v>
      </c>
      <c r="CL41">
        <v>0.79</v>
      </c>
      <c r="CM41">
        <v>1.12</v>
      </c>
      <c r="CN41">
        <v>1.09</v>
      </c>
      <c r="CO41">
        <v>13.4</v>
      </c>
      <c r="CP41">
        <v>185</v>
      </c>
      <c r="CQ41">
        <v>360</v>
      </c>
      <c r="CS41">
        <v>2.2</v>
      </c>
      <c r="CT41">
        <v>4.6</v>
      </c>
      <c r="CU41">
        <v>137</v>
      </c>
      <c r="CV41">
        <v>106</v>
      </c>
      <c r="CW41">
        <v>21</v>
      </c>
      <c r="CX41">
        <v>14.6</v>
      </c>
      <c r="CZ41">
        <v>44</v>
      </c>
      <c r="DA41">
        <v>11</v>
      </c>
      <c r="DB41">
        <v>0.147</v>
      </c>
      <c r="DE41">
        <v>3.77</v>
      </c>
      <c r="DF41">
        <v>11.56</v>
      </c>
      <c r="DG41">
        <v>1.554</v>
      </c>
      <c r="DH41">
        <v>53.7</v>
      </c>
      <c r="DI41">
        <v>4.2</v>
      </c>
      <c r="DJ41">
        <v>10.2</v>
      </c>
      <c r="DK41">
        <v>5.1</v>
      </c>
      <c r="DL41">
        <v>5.2</v>
      </c>
      <c r="DM41">
        <v>21.6</v>
      </c>
      <c r="DN41">
        <v>1.16</v>
      </c>
      <c r="DO41">
        <v>1</v>
      </c>
      <c r="DP41">
        <v>1380</v>
      </c>
      <c r="DQ41">
        <v>304</v>
      </c>
      <c r="DR41">
        <v>76.6</v>
      </c>
      <c r="DS41">
        <v>67.4</v>
      </c>
      <c r="DT41">
        <v>20</v>
      </c>
      <c r="DU41">
        <v>41.8</v>
      </c>
      <c r="DW41">
        <v>0.6</v>
      </c>
      <c r="DY41" s="62"/>
      <c r="EG41">
        <f t="shared" si="19"/>
        <v>0.96551724137931</v>
      </c>
    </row>
    <row r="42" spans="1:137">
      <c r="A42" t="s">
        <v>3084</v>
      </c>
      <c r="B42">
        <v>1067626</v>
      </c>
      <c r="C42">
        <v>1</v>
      </c>
      <c r="D42">
        <v>76</v>
      </c>
      <c r="E42" s="54">
        <v>1.83</v>
      </c>
      <c r="F42">
        <v>73</v>
      </c>
      <c r="G42" s="54">
        <f t="shared" si="23"/>
        <v>21.7982023948162</v>
      </c>
      <c r="H42" s="55">
        <v>82</v>
      </c>
      <c r="I42" s="56">
        <v>94.086</v>
      </c>
      <c r="J42" s="57">
        <v>151.4053</v>
      </c>
      <c r="K42" s="57">
        <v>98.7967</v>
      </c>
      <c r="L42" s="57">
        <v>138.9004</v>
      </c>
      <c r="M42" s="57">
        <f>P42/O42</f>
        <v>1.40592145284205</v>
      </c>
      <c r="N42" s="57">
        <f>J42/(E42*E42)</f>
        <v>45.2104571650393</v>
      </c>
      <c r="O42" s="57">
        <f>K42/(E42*E42)</f>
        <v>29.5012392128759</v>
      </c>
      <c r="P42" s="57">
        <f>L42/(E42*E42)</f>
        <v>41.4764250948072</v>
      </c>
      <c r="Q42" s="57">
        <f>O42+P42</f>
        <v>70.9776643076831</v>
      </c>
      <c r="R42" s="58">
        <v>-0.592096876991715</v>
      </c>
      <c r="S42" s="54"/>
      <c r="T42">
        <v>0.01</v>
      </c>
      <c r="U42" s="68">
        <v>3</v>
      </c>
      <c r="V42" s="68">
        <v>3</v>
      </c>
      <c r="W42" s="60">
        <f t="shared" si="6"/>
        <v>40.85</v>
      </c>
      <c r="X42" s="61">
        <v>43815</v>
      </c>
      <c r="Y42" s="61">
        <v>43810</v>
      </c>
      <c r="Z42" s="61">
        <v>43823</v>
      </c>
      <c r="AA42" s="62">
        <v>1</v>
      </c>
      <c r="AB42" s="62">
        <f t="shared" si="24"/>
        <v>13</v>
      </c>
      <c r="AC42" t="s">
        <v>3293</v>
      </c>
      <c r="AD42">
        <v>13821182229</v>
      </c>
      <c r="AE42">
        <v>0</v>
      </c>
      <c r="AF42">
        <v>1</v>
      </c>
      <c r="AG42">
        <v>3</v>
      </c>
      <c r="AH42">
        <f t="shared" si="41"/>
        <v>3</v>
      </c>
      <c r="AI42">
        <f>_xlfn.IFS(BY42&lt;28,1,BY42=28-35,2,BY42&gt;35,3)</f>
        <v>1</v>
      </c>
      <c r="AJ42">
        <f t="shared" si="26"/>
        <v>1</v>
      </c>
      <c r="AK42">
        <f t="shared" si="27"/>
        <v>9</v>
      </c>
      <c r="AL42">
        <v>2</v>
      </c>
      <c r="AM42" s="1">
        <f t="shared" si="9"/>
        <v>56.5</v>
      </c>
      <c r="AN42" s="1">
        <f t="shared" si="10"/>
        <v>68</v>
      </c>
      <c r="AO42" s="1">
        <f t="shared" si="28"/>
        <v>1.17</v>
      </c>
      <c r="AP42" s="62">
        <f t="shared" si="29"/>
        <v>12.7000582503146</v>
      </c>
      <c r="AQ42">
        <v>1</v>
      </c>
      <c r="AR42">
        <f t="shared" ref="AR42:AR49" si="42">_xlfn.IFS(AP42&lt;15,1,AP42=15-18,2,AP42&gt;18,3)</f>
        <v>1</v>
      </c>
      <c r="AS42">
        <v>11.8</v>
      </c>
      <c r="AT42">
        <v>3.04</v>
      </c>
      <c r="AU42">
        <v>81</v>
      </c>
      <c r="AV42">
        <v>128</v>
      </c>
      <c r="AW42">
        <v>7.49</v>
      </c>
      <c r="AX42">
        <v>3.17</v>
      </c>
      <c r="AY42">
        <v>0.99</v>
      </c>
      <c r="AZ42">
        <f t="shared" si="13"/>
        <v>2.36277602523659</v>
      </c>
      <c r="BA42">
        <f t="shared" si="14"/>
        <v>40.3785488958991</v>
      </c>
      <c r="BB42">
        <f t="shared" si="15"/>
        <v>3.2020202020202</v>
      </c>
      <c r="BC42">
        <v>1.75</v>
      </c>
      <c r="BD42">
        <v>44.04</v>
      </c>
      <c r="BE42" s="54">
        <v>12.67</v>
      </c>
      <c r="BF42" t="s">
        <v>3414</v>
      </c>
      <c r="BM42">
        <v>2.587</v>
      </c>
      <c r="BR42">
        <v>12.8</v>
      </c>
      <c r="BS42">
        <v>1.17</v>
      </c>
      <c r="BT42">
        <v>27.4</v>
      </c>
      <c r="BU42">
        <v>24.7</v>
      </c>
      <c r="BV42">
        <v>1.05</v>
      </c>
      <c r="BW42" t="s">
        <v>3423</v>
      </c>
      <c r="BX42">
        <v>50</v>
      </c>
      <c r="BY42" s="63">
        <v>25</v>
      </c>
      <c r="BZ42">
        <v>25</v>
      </c>
      <c r="CA42">
        <v>114</v>
      </c>
      <c r="CB42">
        <v>61</v>
      </c>
      <c r="CC42">
        <v>409</v>
      </c>
      <c r="CD42">
        <v>732</v>
      </c>
      <c r="CE42">
        <v>271</v>
      </c>
      <c r="CF42">
        <v>56.5</v>
      </c>
      <c r="CG42">
        <v>41.7</v>
      </c>
      <c r="CH42" s="57">
        <f t="shared" si="16"/>
        <v>1.86885245901639</v>
      </c>
      <c r="CI42" s="57">
        <f t="shared" si="17"/>
        <v>0.558743169398907</v>
      </c>
      <c r="CJ42" s="57">
        <f t="shared" si="18"/>
        <v>1.35491606714628</v>
      </c>
      <c r="CK42">
        <v>3.23</v>
      </c>
      <c r="CL42">
        <v>1.84</v>
      </c>
      <c r="CM42">
        <v>0.57</v>
      </c>
      <c r="CN42">
        <v>1.61</v>
      </c>
      <c r="CO42">
        <v>8.1</v>
      </c>
      <c r="CP42">
        <v>68</v>
      </c>
      <c r="CQ42">
        <v>274</v>
      </c>
      <c r="CR42">
        <v>5.3</v>
      </c>
      <c r="CS42">
        <v>1.77</v>
      </c>
      <c r="CT42">
        <v>4</v>
      </c>
      <c r="CU42">
        <v>139</v>
      </c>
      <c r="CV42">
        <v>112</v>
      </c>
      <c r="CW42">
        <v>24</v>
      </c>
      <c r="CX42">
        <v>7</v>
      </c>
      <c r="CZ42">
        <v>68</v>
      </c>
      <c r="DA42">
        <v>7</v>
      </c>
      <c r="DB42">
        <v>0.016</v>
      </c>
      <c r="DD42">
        <v>295</v>
      </c>
      <c r="DE42">
        <v>2.56</v>
      </c>
      <c r="DF42">
        <v>9.51</v>
      </c>
      <c r="DG42">
        <v>0.198</v>
      </c>
      <c r="DH42">
        <v>53.7</v>
      </c>
      <c r="DI42">
        <v>5.8</v>
      </c>
      <c r="DJ42">
        <v>7.9</v>
      </c>
      <c r="DK42">
        <v>7.7</v>
      </c>
      <c r="DL42">
        <v>3.7</v>
      </c>
      <c r="DM42">
        <v>21.2</v>
      </c>
      <c r="DN42">
        <v>1.16</v>
      </c>
      <c r="DO42">
        <v>1</v>
      </c>
      <c r="DP42">
        <v>1390</v>
      </c>
      <c r="DQ42">
        <v>196</v>
      </c>
      <c r="DR42">
        <v>49</v>
      </c>
      <c r="DS42">
        <v>71.9</v>
      </c>
      <c r="DT42">
        <v>16</v>
      </c>
      <c r="DU42">
        <v>12.7</v>
      </c>
      <c r="DV42">
        <v>0.3</v>
      </c>
      <c r="DW42">
        <v>0.48</v>
      </c>
      <c r="DX42">
        <v>0.16</v>
      </c>
      <c r="DY42" s="62"/>
      <c r="EG42">
        <f t="shared" si="19"/>
        <v>1.11491442542787</v>
      </c>
    </row>
    <row r="43" spans="1:137">
      <c r="A43" t="s">
        <v>141</v>
      </c>
      <c r="B43">
        <v>705890</v>
      </c>
      <c r="C43">
        <v>2</v>
      </c>
      <c r="D43">
        <v>61</v>
      </c>
      <c r="E43" s="54">
        <v>1.58</v>
      </c>
      <c r="F43">
        <v>71</v>
      </c>
      <c r="G43" s="54">
        <f t="shared" si="23"/>
        <v>28.4409549751642</v>
      </c>
      <c r="H43" s="55">
        <v>95</v>
      </c>
      <c r="I43" s="1">
        <v>94.08</v>
      </c>
      <c r="J43" s="1">
        <v>89.1718</v>
      </c>
      <c r="K43" s="1">
        <v>201.6174</v>
      </c>
      <c r="L43" s="1">
        <v>189.7979</v>
      </c>
      <c r="M43" s="57">
        <f>P43/O43</f>
        <v>0.941376587536591</v>
      </c>
      <c r="N43" s="57">
        <f>J43/(E43*E43)</f>
        <v>35.7201570261176</v>
      </c>
      <c r="O43" s="57">
        <f>K43/(E43*E43)</f>
        <v>80.763259093094</v>
      </c>
      <c r="P43" s="57">
        <f>L43/(E43*E43)</f>
        <v>76.0286412433905</v>
      </c>
      <c r="Q43" s="57">
        <f>O43+P43</f>
        <v>156.791900336485</v>
      </c>
      <c r="R43" s="1">
        <v>-0.383694150161216</v>
      </c>
      <c r="S43" s="54">
        <v>14.9</v>
      </c>
      <c r="T43">
        <v>5.42</v>
      </c>
      <c r="U43" s="64">
        <v>0</v>
      </c>
      <c r="V43" s="64">
        <v>1</v>
      </c>
      <c r="W43" s="60">
        <f t="shared" si="6"/>
        <v>36.35</v>
      </c>
      <c r="X43" s="61">
        <v>43815</v>
      </c>
      <c r="Y43" s="61">
        <v>43812</v>
      </c>
      <c r="Z43" s="61">
        <v>43824</v>
      </c>
      <c r="AA43" s="62">
        <v>1</v>
      </c>
      <c r="AB43" s="62">
        <f t="shared" si="24"/>
        <v>12</v>
      </c>
      <c r="AC43" t="s">
        <v>142</v>
      </c>
      <c r="AD43">
        <v>13920425065</v>
      </c>
      <c r="AE43">
        <v>1</v>
      </c>
      <c r="AF43">
        <v>1</v>
      </c>
      <c r="AG43">
        <v>1</v>
      </c>
      <c r="AH43">
        <v>2</v>
      </c>
      <c r="AI43">
        <v>2</v>
      </c>
      <c r="AJ43">
        <f t="shared" si="26"/>
        <v>1</v>
      </c>
      <c r="AK43">
        <f t="shared" si="27"/>
        <v>7</v>
      </c>
      <c r="AL43">
        <v>2</v>
      </c>
      <c r="AM43" s="1">
        <f t="shared" si="9"/>
        <v>37.4</v>
      </c>
      <c r="AN43" s="1">
        <f t="shared" si="10"/>
        <v>50</v>
      </c>
      <c r="AO43" s="1">
        <f t="shared" si="28"/>
        <v>1.2</v>
      </c>
      <c r="AP43" s="62">
        <f t="shared" si="29"/>
        <v>11.4158519515574</v>
      </c>
      <c r="AQ43">
        <v>1</v>
      </c>
      <c r="AR43">
        <f t="shared" si="42"/>
        <v>1</v>
      </c>
      <c r="AS43">
        <v>3.66</v>
      </c>
      <c r="AT43">
        <v>4.15</v>
      </c>
      <c r="AU43">
        <v>141</v>
      </c>
      <c r="AV43">
        <v>61</v>
      </c>
      <c r="AW43">
        <v>2.03</v>
      </c>
      <c r="AX43">
        <v>0.87</v>
      </c>
      <c r="AY43">
        <v>0.62</v>
      </c>
      <c r="AZ43">
        <f t="shared" si="13"/>
        <v>2.33333333333333</v>
      </c>
      <c r="BA43">
        <f t="shared" si="14"/>
        <v>70.1149425287356</v>
      </c>
      <c r="BB43">
        <f t="shared" si="15"/>
        <v>1.40322580645161</v>
      </c>
      <c r="BC43">
        <v>10.08</v>
      </c>
      <c r="BD43">
        <v>48.12</v>
      </c>
      <c r="BE43" s="54">
        <v>2.3</v>
      </c>
      <c r="BF43">
        <v>5.78</v>
      </c>
      <c r="BG43">
        <v>7.9</v>
      </c>
      <c r="BI43">
        <v>124.7</v>
      </c>
      <c r="BN43">
        <v>57</v>
      </c>
      <c r="BR43">
        <v>13.1</v>
      </c>
      <c r="BS43">
        <v>1.2</v>
      </c>
      <c r="BT43">
        <v>31.1</v>
      </c>
      <c r="BU43">
        <v>21.1</v>
      </c>
      <c r="BV43">
        <v>2.81</v>
      </c>
      <c r="BW43">
        <v>469</v>
      </c>
      <c r="BX43">
        <v>63</v>
      </c>
      <c r="BY43" s="63">
        <v>32</v>
      </c>
      <c r="BZ43">
        <v>31</v>
      </c>
      <c r="CA43">
        <v>21</v>
      </c>
      <c r="CB43">
        <v>57</v>
      </c>
      <c r="CC43">
        <v>112</v>
      </c>
      <c r="CD43">
        <v>45</v>
      </c>
      <c r="CE43">
        <v>253</v>
      </c>
      <c r="CF43">
        <v>37.4</v>
      </c>
      <c r="CG43">
        <v>13.4</v>
      </c>
      <c r="CH43" s="57">
        <f t="shared" si="16"/>
        <v>0.368421052631579</v>
      </c>
      <c r="CI43" s="57">
        <f t="shared" si="17"/>
        <v>2.48888888888889</v>
      </c>
      <c r="CJ43" s="57">
        <f t="shared" si="18"/>
        <v>2.7910447761194</v>
      </c>
      <c r="CO43">
        <v>5.9</v>
      </c>
      <c r="CP43">
        <v>50</v>
      </c>
      <c r="CQ43">
        <v>351</v>
      </c>
      <c r="CR43">
        <v>5.8</v>
      </c>
      <c r="CS43">
        <v>2.01</v>
      </c>
      <c r="CT43">
        <v>2.9</v>
      </c>
      <c r="CU43">
        <v>140</v>
      </c>
      <c r="CV43">
        <v>103</v>
      </c>
      <c r="CW43">
        <v>29</v>
      </c>
      <c r="CX43">
        <v>10.9</v>
      </c>
      <c r="DD43">
        <v>31.9</v>
      </c>
      <c r="DY43" s="62"/>
      <c r="EG43">
        <f t="shared" si="19"/>
        <v>0.75</v>
      </c>
    </row>
    <row r="44" spans="1:137">
      <c r="A44" t="s">
        <v>144</v>
      </c>
      <c r="B44">
        <v>1003341</v>
      </c>
      <c r="C44">
        <v>1</v>
      </c>
      <c r="D44">
        <v>29</v>
      </c>
      <c r="E44" s="54">
        <v>1.78</v>
      </c>
      <c r="F44">
        <v>75</v>
      </c>
      <c r="G44" s="54">
        <f t="shared" si="23"/>
        <v>23.6712536295922</v>
      </c>
      <c r="H44" s="55">
        <v>80</v>
      </c>
      <c r="I44" s="1">
        <v>84.977</v>
      </c>
      <c r="J44" s="1">
        <v>149.6857</v>
      </c>
      <c r="K44" s="1">
        <v>105.0351</v>
      </c>
      <c r="L44" s="1">
        <v>35.0475</v>
      </c>
      <c r="M44" s="57">
        <f>P44/O44</f>
        <v>0.333674171776863</v>
      </c>
      <c r="N44" s="57">
        <f>J44/(E44*E44)</f>
        <v>47.2433089256407</v>
      </c>
      <c r="O44" s="57">
        <f>K44/(E44*E44)</f>
        <v>33.1508332281278</v>
      </c>
      <c r="P44" s="57">
        <f>L44/(E44*E44)</f>
        <v>11.0615768211084</v>
      </c>
      <c r="Q44" s="57">
        <f>O44+P44</f>
        <v>44.2124100492362</v>
      </c>
      <c r="R44" s="58">
        <v>-0.645311732940599</v>
      </c>
      <c r="S44" s="54"/>
      <c r="T44">
        <v>5.06</v>
      </c>
      <c r="U44" s="65">
        <v>1</v>
      </c>
      <c r="V44" s="65">
        <v>2</v>
      </c>
      <c r="W44" s="60">
        <f t="shared" si="6"/>
        <v>44.4</v>
      </c>
      <c r="X44" s="61">
        <v>43815</v>
      </c>
      <c r="Y44" s="61">
        <v>43812</v>
      </c>
      <c r="Z44" s="61">
        <v>43820</v>
      </c>
      <c r="AA44" s="62">
        <v>1</v>
      </c>
      <c r="AB44" s="62">
        <f t="shared" si="24"/>
        <v>8</v>
      </c>
      <c r="AC44" t="s">
        <v>145</v>
      </c>
      <c r="AD44">
        <v>15122312643</v>
      </c>
      <c r="AE44">
        <v>1</v>
      </c>
      <c r="AF44">
        <v>1</v>
      </c>
      <c r="AG44">
        <v>2</v>
      </c>
      <c r="AH44">
        <f t="shared" ref="AH44:AH53" si="43">_xlfn.IFS(CF44&lt;34,1,CF44=34-51,2,CF44&gt;51,3)</f>
        <v>1</v>
      </c>
      <c r="AI44">
        <f>_xlfn.IFS(BY44&lt;28,1,BY44=28-35,2,BY44&gt;35,3)</f>
        <v>3</v>
      </c>
      <c r="AJ44">
        <f t="shared" si="26"/>
        <v>1</v>
      </c>
      <c r="AK44">
        <f t="shared" si="27"/>
        <v>8</v>
      </c>
      <c r="AL44">
        <v>2</v>
      </c>
      <c r="AM44" s="1">
        <f t="shared" si="9"/>
        <v>5.7</v>
      </c>
      <c r="AN44" s="1">
        <f t="shared" si="10"/>
        <v>77</v>
      </c>
      <c r="AO44" s="1">
        <f t="shared" si="28"/>
        <v>1.37</v>
      </c>
      <c r="AP44" s="62">
        <f t="shared" si="29"/>
        <v>9.92588028620838</v>
      </c>
      <c r="AQ44">
        <v>1</v>
      </c>
      <c r="AR44">
        <f t="shared" si="42"/>
        <v>1</v>
      </c>
      <c r="AS44">
        <v>6.43</v>
      </c>
      <c r="AT44">
        <v>4.76</v>
      </c>
      <c r="AU44">
        <v>98</v>
      </c>
      <c r="AV44">
        <v>41</v>
      </c>
      <c r="AW44">
        <v>5.09</v>
      </c>
      <c r="AX44">
        <v>0.88</v>
      </c>
      <c r="AY44">
        <v>0.38</v>
      </c>
      <c r="AZ44">
        <f t="shared" si="13"/>
        <v>5.78409090909091</v>
      </c>
      <c r="BA44">
        <f t="shared" si="14"/>
        <v>46.5909090909091</v>
      </c>
      <c r="BB44">
        <f t="shared" si="15"/>
        <v>2.31578947368421</v>
      </c>
      <c r="BC44">
        <v>1.28</v>
      </c>
      <c r="BD44">
        <v>30.14</v>
      </c>
      <c r="BE44" s="54">
        <v>1.23</v>
      </c>
      <c r="BF44">
        <v>8.5</v>
      </c>
      <c r="BM44">
        <v>0.356</v>
      </c>
      <c r="BR44">
        <v>15</v>
      </c>
      <c r="BS44">
        <v>1.37</v>
      </c>
      <c r="BT44">
        <v>34.6</v>
      </c>
      <c r="BU44">
        <v>21.7</v>
      </c>
      <c r="BV44">
        <v>1.84</v>
      </c>
      <c r="BW44">
        <v>208</v>
      </c>
      <c r="BX44">
        <v>79</v>
      </c>
      <c r="BY44" s="63">
        <v>40</v>
      </c>
      <c r="BZ44">
        <v>39</v>
      </c>
      <c r="CA44">
        <v>19</v>
      </c>
      <c r="CB44">
        <v>19</v>
      </c>
      <c r="CC44">
        <v>67</v>
      </c>
      <c r="CD44">
        <v>18</v>
      </c>
      <c r="CE44">
        <v>108</v>
      </c>
      <c r="CF44">
        <v>5.7</v>
      </c>
      <c r="CG44">
        <v>3</v>
      </c>
      <c r="CH44" s="57">
        <f t="shared" si="16"/>
        <v>1</v>
      </c>
      <c r="CI44" s="57">
        <f t="shared" si="17"/>
        <v>3.72222222222222</v>
      </c>
      <c r="CJ44" s="57">
        <f t="shared" si="18"/>
        <v>1.9</v>
      </c>
      <c r="CK44">
        <v>2.04</v>
      </c>
      <c r="CL44">
        <v>0.37</v>
      </c>
      <c r="CM44">
        <v>0.86</v>
      </c>
      <c r="CN44">
        <v>1.14</v>
      </c>
      <c r="CO44">
        <v>5.7</v>
      </c>
      <c r="CP44">
        <v>77</v>
      </c>
      <c r="CQ44">
        <v>563</v>
      </c>
      <c r="CR44">
        <v>5.4</v>
      </c>
      <c r="CS44">
        <v>2.17</v>
      </c>
      <c r="CT44">
        <v>4</v>
      </c>
      <c r="CU44">
        <v>138</v>
      </c>
      <c r="CV44">
        <v>103</v>
      </c>
      <c r="CW44">
        <v>31</v>
      </c>
      <c r="CX44">
        <v>8</v>
      </c>
      <c r="DE44">
        <v>5.68</v>
      </c>
      <c r="DF44">
        <v>13.65</v>
      </c>
      <c r="DG44" t="s">
        <v>3424</v>
      </c>
      <c r="DH44">
        <v>52.1</v>
      </c>
      <c r="DI44">
        <v>3.2</v>
      </c>
      <c r="DJ44">
        <v>7.8</v>
      </c>
      <c r="DK44">
        <v>6</v>
      </c>
      <c r="DL44">
        <v>5.3</v>
      </c>
      <c r="DM44">
        <v>25.6</v>
      </c>
      <c r="DN44">
        <v>1.09</v>
      </c>
      <c r="DO44">
        <v>0</v>
      </c>
      <c r="DP44">
        <v>2090</v>
      </c>
      <c r="DQ44">
        <v>465</v>
      </c>
      <c r="DR44">
        <v>113</v>
      </c>
      <c r="DS44">
        <v>65.4</v>
      </c>
      <c r="DT44">
        <v>14.4</v>
      </c>
      <c r="DU44">
        <v>153</v>
      </c>
      <c r="DV44">
        <v>1.61</v>
      </c>
      <c r="DW44">
        <v>0.25</v>
      </c>
      <c r="DY44" s="62"/>
      <c r="EG44">
        <f t="shared" si="19"/>
        <v>1.13432835820896</v>
      </c>
    </row>
    <row r="45" spans="1:137">
      <c r="A45" t="s">
        <v>147</v>
      </c>
      <c r="B45">
        <v>790501</v>
      </c>
      <c r="C45">
        <v>2</v>
      </c>
      <c r="D45">
        <v>70</v>
      </c>
      <c r="E45" s="54">
        <v>1.58</v>
      </c>
      <c r="F45">
        <v>45</v>
      </c>
      <c r="G45" s="54">
        <f t="shared" si="23"/>
        <v>18.0259573786252</v>
      </c>
      <c r="H45" s="55">
        <v>74</v>
      </c>
      <c r="I45" s="1">
        <v>74.255</v>
      </c>
      <c r="J45" s="1">
        <v>83.7194</v>
      </c>
      <c r="K45" s="1">
        <v>77.818</v>
      </c>
      <c r="L45" s="1">
        <v>41.9077</v>
      </c>
      <c r="M45" s="57">
        <f>P45/O45</f>
        <v>0.53853478629623</v>
      </c>
      <c r="N45" s="57">
        <f>J45/(E45*E45)</f>
        <v>33.5360519147572</v>
      </c>
      <c r="O45" s="57">
        <f>K45/(E45*E45)</f>
        <v>31.1720878064413</v>
      </c>
      <c r="P45" s="57">
        <f>L45/(E45*E45)</f>
        <v>16.7872536452492</v>
      </c>
      <c r="Q45" s="57">
        <f>O45+P45</f>
        <v>47.9593414516905</v>
      </c>
      <c r="R45" s="58">
        <v>-0.659746251441753</v>
      </c>
      <c r="S45" s="54">
        <v>16.5</v>
      </c>
      <c r="T45">
        <v>6.94</v>
      </c>
      <c r="U45" s="68">
        <v>2</v>
      </c>
      <c r="V45" s="68">
        <v>3</v>
      </c>
      <c r="W45" s="60">
        <f t="shared" si="6"/>
        <v>41.3</v>
      </c>
      <c r="X45" s="61">
        <v>43815</v>
      </c>
      <c r="Y45" s="61">
        <v>43813</v>
      </c>
      <c r="Z45" s="61">
        <v>43822</v>
      </c>
      <c r="AA45" s="62">
        <v>1</v>
      </c>
      <c r="AB45" s="62">
        <f t="shared" si="24"/>
        <v>9</v>
      </c>
      <c r="AC45" t="s">
        <v>148</v>
      </c>
      <c r="AD45">
        <v>13633267692</v>
      </c>
      <c r="AE45">
        <v>1</v>
      </c>
      <c r="AF45">
        <v>1</v>
      </c>
      <c r="AG45">
        <v>3</v>
      </c>
      <c r="AH45">
        <f t="shared" si="43"/>
        <v>1</v>
      </c>
      <c r="AI45">
        <v>2</v>
      </c>
      <c r="AJ45">
        <f t="shared" si="26"/>
        <v>1</v>
      </c>
      <c r="AK45">
        <f t="shared" si="27"/>
        <v>8</v>
      </c>
      <c r="AL45">
        <v>2</v>
      </c>
      <c r="AM45" s="1">
        <f t="shared" si="9"/>
        <v>14</v>
      </c>
      <c r="AN45" s="1">
        <f t="shared" si="10"/>
        <v>52</v>
      </c>
      <c r="AO45" s="1">
        <f t="shared" si="28"/>
        <v>1.08</v>
      </c>
      <c r="AP45" s="62">
        <f t="shared" si="29"/>
        <v>7.26196366072464</v>
      </c>
      <c r="AQ45">
        <v>1</v>
      </c>
      <c r="AR45">
        <f t="shared" si="42"/>
        <v>1</v>
      </c>
      <c r="AS45">
        <v>3.91</v>
      </c>
      <c r="AT45">
        <v>2.99</v>
      </c>
      <c r="AU45">
        <v>96</v>
      </c>
      <c r="AV45">
        <v>136</v>
      </c>
      <c r="AW45">
        <v>1.04</v>
      </c>
      <c r="AX45">
        <v>1.86</v>
      </c>
      <c r="AY45">
        <v>0.73</v>
      </c>
      <c r="AZ45">
        <f t="shared" si="13"/>
        <v>0.559139784946237</v>
      </c>
      <c r="BA45">
        <f t="shared" si="14"/>
        <v>73.1182795698925</v>
      </c>
      <c r="BB45">
        <f t="shared" si="15"/>
        <v>2.54794520547945</v>
      </c>
      <c r="BC45">
        <v>2.97</v>
      </c>
      <c r="BD45">
        <v>52.7</v>
      </c>
      <c r="BE45" s="54">
        <v>5.71</v>
      </c>
      <c r="BF45">
        <v>16.83</v>
      </c>
      <c r="BG45">
        <v>13.8</v>
      </c>
      <c r="BH45">
        <v>42.6</v>
      </c>
      <c r="BI45">
        <v>172.47</v>
      </c>
      <c r="BN45">
        <v>29</v>
      </c>
      <c r="BR45">
        <v>11.8</v>
      </c>
      <c r="BS45">
        <v>1.08</v>
      </c>
      <c r="BT45">
        <v>32.9</v>
      </c>
      <c r="BU45">
        <v>22.1</v>
      </c>
      <c r="BV45">
        <v>2.01</v>
      </c>
      <c r="BW45">
        <v>508</v>
      </c>
      <c r="BX45">
        <v>70</v>
      </c>
      <c r="BY45" s="63">
        <v>32</v>
      </c>
      <c r="BZ45">
        <v>38</v>
      </c>
      <c r="CA45">
        <v>16</v>
      </c>
      <c r="CB45">
        <v>42</v>
      </c>
      <c r="CC45">
        <v>77</v>
      </c>
      <c r="CD45">
        <v>64</v>
      </c>
      <c r="CE45">
        <v>242</v>
      </c>
      <c r="CF45">
        <v>14</v>
      </c>
      <c r="CG45">
        <v>5.6</v>
      </c>
      <c r="CH45" s="57">
        <f t="shared" si="16"/>
        <v>0.380952380952381</v>
      </c>
      <c r="CI45" s="57">
        <f t="shared" si="17"/>
        <v>1.203125</v>
      </c>
      <c r="CJ45" s="57">
        <f t="shared" si="18"/>
        <v>2.5</v>
      </c>
      <c r="CK45">
        <v>4.56</v>
      </c>
      <c r="CL45">
        <v>0.8</v>
      </c>
      <c r="CM45">
        <v>1.92</v>
      </c>
      <c r="CN45">
        <v>2.08</v>
      </c>
      <c r="CO45">
        <v>4.9</v>
      </c>
      <c r="CP45">
        <v>52</v>
      </c>
      <c r="CQ45">
        <v>223</v>
      </c>
      <c r="CR45">
        <v>4.8</v>
      </c>
      <c r="CS45">
        <v>2.07</v>
      </c>
      <c r="CT45">
        <v>4.7</v>
      </c>
      <c r="CU45">
        <v>140</v>
      </c>
      <c r="CV45">
        <v>109</v>
      </c>
      <c r="CW45">
        <v>29</v>
      </c>
      <c r="CX45">
        <v>6.7</v>
      </c>
      <c r="DE45">
        <v>3.77</v>
      </c>
      <c r="DF45">
        <v>9.19</v>
      </c>
      <c r="DG45">
        <v>1.059</v>
      </c>
      <c r="DH45">
        <v>49.4</v>
      </c>
      <c r="DI45">
        <v>3.2</v>
      </c>
      <c r="DJ45">
        <v>8</v>
      </c>
      <c r="DK45">
        <v>5.1</v>
      </c>
      <c r="DL45">
        <v>5</v>
      </c>
      <c r="DM45">
        <v>29.3</v>
      </c>
      <c r="DN45">
        <v>0.98</v>
      </c>
      <c r="DO45">
        <v>1</v>
      </c>
      <c r="DP45">
        <v>1650</v>
      </c>
      <c r="DQ45">
        <v>316</v>
      </c>
      <c r="DR45">
        <v>442</v>
      </c>
      <c r="DS45">
        <v>47.3</v>
      </c>
      <c r="DT45">
        <v>6.89</v>
      </c>
      <c r="DU45">
        <v>21.4</v>
      </c>
      <c r="DV45">
        <v>1.21</v>
      </c>
      <c r="DW45">
        <v>0.7</v>
      </c>
      <c r="DY45" s="62">
        <v>4</v>
      </c>
      <c r="EG45">
        <f t="shared" si="19"/>
        <v>0.831168831168831</v>
      </c>
    </row>
    <row r="46" spans="1:137">
      <c r="A46" t="s">
        <v>3102</v>
      </c>
      <c r="B46">
        <v>1068638</v>
      </c>
      <c r="C46">
        <v>1</v>
      </c>
      <c r="D46">
        <v>62</v>
      </c>
      <c r="E46" s="54">
        <v>1.83</v>
      </c>
      <c r="F46">
        <v>55</v>
      </c>
      <c r="G46" s="54">
        <f t="shared" si="23"/>
        <v>16.4233031741766</v>
      </c>
      <c r="H46" s="55">
        <v>78</v>
      </c>
      <c r="I46" s="1">
        <v>88.943</v>
      </c>
      <c r="J46" s="1">
        <v>89.7172</v>
      </c>
      <c r="K46" s="1">
        <v>28.2919</v>
      </c>
      <c r="L46" s="1">
        <v>6.9438</v>
      </c>
      <c r="M46" s="57">
        <f>P46/O46</f>
        <v>0.245434205549998</v>
      </c>
      <c r="N46" s="57">
        <f>J46/(E46*E46)</f>
        <v>26.7900504643316</v>
      </c>
      <c r="O46" s="57">
        <f>K46/(E46*E46)</f>
        <v>8.44811729224521</v>
      </c>
      <c r="P46" s="57">
        <f>L46/(E46*E46)</f>
        <v>2.07345695601541</v>
      </c>
      <c r="Q46" s="57">
        <f>O46+P46</f>
        <v>10.5215742482606</v>
      </c>
      <c r="R46" s="1">
        <v>-0.4207258834766</v>
      </c>
      <c r="S46" s="54"/>
      <c r="T46">
        <v>0.01</v>
      </c>
      <c r="U46" s="68">
        <v>4</v>
      </c>
      <c r="V46" s="68">
        <v>3</v>
      </c>
      <c r="W46" s="60">
        <f t="shared" si="6"/>
        <v>28.2</v>
      </c>
      <c r="X46" s="61">
        <v>43818</v>
      </c>
      <c r="Y46" s="61">
        <v>43817</v>
      </c>
      <c r="Z46" s="61">
        <v>43833</v>
      </c>
      <c r="AA46" s="62">
        <v>1</v>
      </c>
      <c r="AB46" s="62">
        <f t="shared" si="24"/>
        <v>16</v>
      </c>
      <c r="AC46" t="s">
        <v>3294</v>
      </c>
      <c r="AD46">
        <v>13012286457</v>
      </c>
      <c r="AE46">
        <v>0</v>
      </c>
      <c r="AF46">
        <v>1</v>
      </c>
      <c r="AG46">
        <v>3</v>
      </c>
      <c r="AH46">
        <f t="shared" si="43"/>
        <v>1</v>
      </c>
      <c r="AI46">
        <f>_xlfn.IFS(BY46&lt;28,1,BY46=28-35,2,BY46&gt;35,3)</f>
        <v>1</v>
      </c>
      <c r="AJ46">
        <f t="shared" si="26"/>
        <v>1</v>
      </c>
      <c r="AK46">
        <f t="shared" si="27"/>
        <v>7</v>
      </c>
      <c r="AL46">
        <v>2</v>
      </c>
      <c r="AM46" s="1">
        <f t="shared" si="9"/>
        <v>22.8</v>
      </c>
      <c r="AN46" s="1">
        <f t="shared" si="10"/>
        <v>61</v>
      </c>
      <c r="AO46" s="1">
        <f t="shared" si="28"/>
        <v>1.45</v>
      </c>
      <c r="AP46" s="62">
        <f t="shared" si="29"/>
        <v>11.6547037073606</v>
      </c>
      <c r="AQ46">
        <v>1</v>
      </c>
      <c r="AR46">
        <f t="shared" si="42"/>
        <v>1</v>
      </c>
      <c r="AS46">
        <v>4.44</v>
      </c>
      <c r="AT46">
        <v>3.33</v>
      </c>
      <c r="AU46">
        <v>110</v>
      </c>
      <c r="AV46">
        <v>64</v>
      </c>
      <c r="AW46">
        <v>3.03</v>
      </c>
      <c r="AX46">
        <v>1.04</v>
      </c>
      <c r="AY46">
        <v>0.3</v>
      </c>
      <c r="AZ46">
        <f t="shared" si="13"/>
        <v>2.91346153846154</v>
      </c>
      <c r="BA46">
        <f t="shared" si="14"/>
        <v>61.5384615384615</v>
      </c>
      <c r="BB46">
        <f t="shared" si="15"/>
        <v>3.46666666666667</v>
      </c>
      <c r="BC46">
        <v>2.16</v>
      </c>
      <c r="BD46">
        <v>410.75</v>
      </c>
      <c r="BE46" s="54">
        <v>2.7</v>
      </c>
      <c r="BF46">
        <v>18.57</v>
      </c>
      <c r="BM46">
        <v>0.284</v>
      </c>
      <c r="BN46">
        <v>68</v>
      </c>
      <c r="BO46">
        <v>56</v>
      </c>
      <c r="BQ46">
        <v>101</v>
      </c>
      <c r="BR46">
        <v>15.9</v>
      </c>
      <c r="BS46">
        <v>1.45</v>
      </c>
      <c r="BT46">
        <v>27.1</v>
      </c>
      <c r="BU46">
        <v>24</v>
      </c>
      <c r="BV46">
        <v>2.12</v>
      </c>
      <c r="BW46">
        <v>1928</v>
      </c>
      <c r="BX46">
        <v>58</v>
      </c>
      <c r="BY46" s="63">
        <v>23</v>
      </c>
      <c r="BZ46">
        <v>35</v>
      </c>
      <c r="CA46">
        <v>21</v>
      </c>
      <c r="CB46">
        <v>28</v>
      </c>
      <c r="CC46">
        <v>53</v>
      </c>
      <c r="CD46">
        <v>18</v>
      </c>
      <c r="CE46">
        <v>178</v>
      </c>
      <c r="CF46">
        <v>22.8</v>
      </c>
      <c r="CG46">
        <v>8.9</v>
      </c>
      <c r="CH46" s="57">
        <f t="shared" si="16"/>
        <v>0.75</v>
      </c>
      <c r="CI46" s="57">
        <f t="shared" si="17"/>
        <v>2.94444444444444</v>
      </c>
      <c r="CJ46" s="57">
        <f t="shared" si="18"/>
        <v>2.56179775280899</v>
      </c>
      <c r="CK46">
        <v>2.72</v>
      </c>
      <c r="CL46">
        <v>1.09</v>
      </c>
      <c r="CM46">
        <v>0.54</v>
      </c>
      <c r="CN46">
        <v>1.83</v>
      </c>
      <c r="CO46">
        <v>3.3</v>
      </c>
      <c r="CP46">
        <v>61</v>
      </c>
      <c r="CQ46">
        <v>421</v>
      </c>
      <c r="CR46">
        <v>5.1</v>
      </c>
      <c r="CS46">
        <v>1.77</v>
      </c>
      <c r="CT46">
        <v>2</v>
      </c>
      <c r="CU46">
        <v>144</v>
      </c>
      <c r="CV46">
        <v>108</v>
      </c>
      <c r="CW46">
        <v>31</v>
      </c>
      <c r="CX46">
        <v>7</v>
      </c>
      <c r="DE46">
        <v>1.83</v>
      </c>
      <c r="DF46">
        <v>11.11</v>
      </c>
      <c r="DG46">
        <v>0.034</v>
      </c>
      <c r="DH46">
        <v>44.2</v>
      </c>
      <c r="DI46">
        <v>5.6</v>
      </c>
      <c r="DJ46">
        <v>8.5</v>
      </c>
      <c r="DK46">
        <v>4.9</v>
      </c>
      <c r="DL46">
        <v>6.6</v>
      </c>
      <c r="DM46">
        <v>30.2</v>
      </c>
      <c r="DN46">
        <v>9.2</v>
      </c>
      <c r="DO46">
        <v>1</v>
      </c>
      <c r="DP46">
        <v>1770</v>
      </c>
      <c r="DQ46">
        <v>588</v>
      </c>
      <c r="DR46">
        <v>103</v>
      </c>
      <c r="DS46">
        <v>52.7</v>
      </c>
      <c r="DT46">
        <v>23.6</v>
      </c>
      <c r="DU46">
        <v>107</v>
      </c>
      <c r="DW46">
        <v>1.66</v>
      </c>
      <c r="DX46">
        <v>0.07</v>
      </c>
      <c r="DY46" s="62">
        <v>4</v>
      </c>
      <c r="DZ46">
        <v>5</v>
      </c>
      <c r="EA46">
        <v>20</v>
      </c>
      <c r="EB46">
        <v>1.4</v>
      </c>
      <c r="EC46">
        <v>0.79</v>
      </c>
      <c r="ED46">
        <v>5.1</v>
      </c>
      <c r="EE46">
        <v>112</v>
      </c>
      <c r="EF46">
        <v>1.06</v>
      </c>
      <c r="EG46">
        <f t="shared" si="19"/>
        <v>1.58490566037736</v>
      </c>
    </row>
    <row r="47" spans="1:137">
      <c r="A47" t="s">
        <v>150</v>
      </c>
      <c r="B47">
        <v>1068378</v>
      </c>
      <c r="C47">
        <v>1</v>
      </c>
      <c r="D47">
        <v>37</v>
      </c>
      <c r="E47" s="54">
        <v>1.72</v>
      </c>
      <c r="F47">
        <v>100</v>
      </c>
      <c r="G47" s="54">
        <f t="shared" si="23"/>
        <v>33.802055164954</v>
      </c>
      <c r="H47" s="55">
        <v>115</v>
      </c>
      <c r="I47" s="56"/>
      <c r="J47" s="57"/>
      <c r="K47" s="57"/>
      <c r="L47" s="57"/>
      <c r="M47" s="57"/>
      <c r="N47" s="57"/>
      <c r="O47" s="57"/>
      <c r="P47" s="57"/>
      <c r="Q47" s="57"/>
      <c r="R47" s="58">
        <v>-0.542728237791932</v>
      </c>
      <c r="S47" s="54">
        <v>39.8</v>
      </c>
      <c r="T47">
        <v>6.25</v>
      </c>
      <c r="U47" s="68">
        <v>2</v>
      </c>
      <c r="V47" s="68">
        <v>3</v>
      </c>
      <c r="W47" s="60">
        <f t="shared" si="6"/>
        <v>23.85</v>
      </c>
      <c r="X47" s="61">
        <v>43818</v>
      </c>
      <c r="Y47" s="61">
        <v>43815</v>
      </c>
      <c r="Z47" s="61">
        <v>43823</v>
      </c>
      <c r="AA47" s="62">
        <v>1</v>
      </c>
      <c r="AB47" s="62">
        <f t="shared" si="24"/>
        <v>8</v>
      </c>
      <c r="AC47" t="s">
        <v>151</v>
      </c>
      <c r="AD47">
        <v>13820714611</v>
      </c>
      <c r="AE47">
        <v>1</v>
      </c>
      <c r="AF47">
        <v>1</v>
      </c>
      <c r="AG47">
        <v>3</v>
      </c>
      <c r="AH47">
        <f t="shared" si="43"/>
        <v>1</v>
      </c>
      <c r="AI47">
        <f>_xlfn.IFS(BY47&lt;28,1,BY47=28-35,2,BY47&gt;35,3)</f>
        <v>1</v>
      </c>
      <c r="AJ47">
        <f t="shared" si="26"/>
        <v>1</v>
      </c>
      <c r="AK47">
        <f t="shared" si="27"/>
        <v>7</v>
      </c>
      <c r="AL47">
        <v>2</v>
      </c>
      <c r="AM47" s="1">
        <f t="shared" si="9"/>
        <v>5.9</v>
      </c>
      <c r="AN47" s="1">
        <f t="shared" si="10"/>
        <v>159</v>
      </c>
      <c r="AO47" s="1">
        <f t="shared" si="28"/>
        <v>1.24</v>
      </c>
      <c r="AP47" s="62">
        <f t="shared" si="29"/>
        <v>8.04475688444547</v>
      </c>
      <c r="AQ47">
        <v>0</v>
      </c>
      <c r="AR47">
        <f t="shared" si="42"/>
        <v>1</v>
      </c>
      <c r="AS47">
        <v>5.86</v>
      </c>
      <c r="AT47">
        <v>2.63</v>
      </c>
      <c r="AU47">
        <v>80</v>
      </c>
      <c r="AV47">
        <v>105</v>
      </c>
      <c r="AW47">
        <v>3.42</v>
      </c>
      <c r="AX47">
        <v>1.37</v>
      </c>
      <c r="AY47">
        <v>0.79</v>
      </c>
      <c r="AZ47">
        <f t="shared" si="13"/>
        <v>2.4963503649635</v>
      </c>
      <c r="BA47">
        <f t="shared" si="14"/>
        <v>76.6423357664234</v>
      </c>
      <c r="BB47">
        <f t="shared" si="15"/>
        <v>1.73417721518987</v>
      </c>
      <c r="BC47">
        <v>1.97</v>
      </c>
      <c r="BD47">
        <v>370.92</v>
      </c>
      <c r="BE47" s="54">
        <v>2.42</v>
      </c>
      <c r="BF47">
        <v>25.78</v>
      </c>
      <c r="BG47">
        <v>0.134</v>
      </c>
      <c r="BN47" t="s">
        <v>3415</v>
      </c>
      <c r="BO47">
        <v>383</v>
      </c>
      <c r="BP47">
        <v>712</v>
      </c>
      <c r="BQ47">
        <v>667</v>
      </c>
      <c r="BR47">
        <v>13.6</v>
      </c>
      <c r="BS47">
        <v>1.24</v>
      </c>
      <c r="BT47">
        <v>31</v>
      </c>
      <c r="BU47">
        <v>23</v>
      </c>
      <c r="BV47">
        <v>2.9</v>
      </c>
      <c r="BW47">
        <v>3106</v>
      </c>
      <c r="BX47">
        <v>44</v>
      </c>
      <c r="BY47" s="63">
        <v>17</v>
      </c>
      <c r="BZ47">
        <v>27</v>
      </c>
      <c r="CA47">
        <v>22</v>
      </c>
      <c r="CB47">
        <v>36</v>
      </c>
      <c r="CC47">
        <v>79</v>
      </c>
      <c r="CD47">
        <v>181</v>
      </c>
      <c r="CE47">
        <v>238</v>
      </c>
      <c r="CF47">
        <v>5.9</v>
      </c>
      <c r="CG47">
        <v>2.8</v>
      </c>
      <c r="CH47" s="57">
        <f t="shared" si="16"/>
        <v>0.611111111111111</v>
      </c>
      <c r="CI47" s="57">
        <f t="shared" si="17"/>
        <v>0.43646408839779</v>
      </c>
      <c r="CJ47" s="57">
        <f t="shared" si="18"/>
        <v>2.10714285714286</v>
      </c>
      <c r="CO47">
        <v>26.9</v>
      </c>
      <c r="CP47">
        <v>159</v>
      </c>
      <c r="CQ47">
        <v>515</v>
      </c>
      <c r="CR47">
        <v>4.3</v>
      </c>
      <c r="CS47">
        <v>1.6</v>
      </c>
      <c r="CT47">
        <v>4.7</v>
      </c>
      <c r="CU47">
        <v>138</v>
      </c>
      <c r="CV47">
        <v>111</v>
      </c>
      <c r="CW47">
        <v>23</v>
      </c>
      <c r="CX47">
        <v>8.7</v>
      </c>
      <c r="CZ47">
        <v>220</v>
      </c>
      <c r="DA47">
        <v>35</v>
      </c>
      <c r="DD47">
        <v>149</v>
      </c>
      <c r="DE47">
        <v>2.41</v>
      </c>
      <c r="DF47">
        <v>7.05</v>
      </c>
      <c r="DG47">
        <v>2.159</v>
      </c>
      <c r="DH47">
        <v>42.9</v>
      </c>
      <c r="DI47">
        <v>6.7</v>
      </c>
      <c r="DJ47">
        <v>12.4</v>
      </c>
      <c r="DK47">
        <v>7</v>
      </c>
      <c r="DL47">
        <v>9.6</v>
      </c>
      <c r="DM47">
        <v>21.4</v>
      </c>
      <c r="DN47">
        <v>0.75</v>
      </c>
      <c r="DO47">
        <v>0</v>
      </c>
      <c r="DP47">
        <v>1140</v>
      </c>
      <c r="DQ47">
        <v>559</v>
      </c>
      <c r="DR47">
        <v>77.6</v>
      </c>
      <c r="DS47">
        <v>60.4</v>
      </c>
      <c r="DT47">
        <v>19.3</v>
      </c>
      <c r="DU47">
        <v>84.9</v>
      </c>
      <c r="DV47">
        <v>1.24</v>
      </c>
      <c r="DW47">
        <v>1.5</v>
      </c>
      <c r="DY47" s="62" t="s">
        <v>3425</v>
      </c>
      <c r="DZ47">
        <v>6</v>
      </c>
      <c r="EA47">
        <v>35</v>
      </c>
      <c r="EB47">
        <v>4</v>
      </c>
      <c r="EC47">
        <v>1.72</v>
      </c>
      <c r="ED47">
        <v>5.7</v>
      </c>
      <c r="EE47">
        <v>119</v>
      </c>
      <c r="EF47">
        <v>0.85</v>
      </c>
      <c r="EG47">
        <f t="shared" si="19"/>
        <v>1.11392405063291</v>
      </c>
    </row>
    <row r="48" spans="1:137">
      <c r="A48" t="s">
        <v>153</v>
      </c>
      <c r="B48">
        <v>1000696</v>
      </c>
      <c r="C48">
        <v>1</v>
      </c>
      <c r="D48">
        <v>62</v>
      </c>
      <c r="E48" s="54"/>
      <c r="G48" s="54"/>
      <c r="H48" s="55">
        <v>105</v>
      </c>
      <c r="I48" s="1">
        <v>105.59</v>
      </c>
      <c r="J48" s="1">
        <v>140.3334</v>
      </c>
      <c r="K48" s="1">
        <v>92.8888</v>
      </c>
      <c r="L48" s="1">
        <v>222.4458</v>
      </c>
      <c r="M48" s="57"/>
      <c r="N48" s="57"/>
      <c r="O48" s="57"/>
      <c r="P48" s="57"/>
      <c r="Q48" s="57"/>
      <c r="R48" s="1">
        <v>-0.48489932885906</v>
      </c>
      <c r="S48" s="54"/>
      <c r="T48">
        <v>0.01</v>
      </c>
      <c r="U48" s="68">
        <v>6</v>
      </c>
      <c r="V48" s="68">
        <v>3</v>
      </c>
      <c r="W48" s="60">
        <f t="shared" si="6"/>
        <v>27.95</v>
      </c>
      <c r="X48" s="61">
        <v>43818</v>
      </c>
      <c r="Y48" s="61">
        <v>43818</v>
      </c>
      <c r="Z48" s="61">
        <v>43834</v>
      </c>
      <c r="AA48" s="62">
        <v>1</v>
      </c>
      <c r="AB48" s="62">
        <f t="shared" si="24"/>
        <v>16</v>
      </c>
      <c r="AC48" t="s">
        <v>154</v>
      </c>
      <c r="AD48">
        <v>17695927404</v>
      </c>
      <c r="AE48">
        <v>1</v>
      </c>
      <c r="AF48">
        <v>1</v>
      </c>
      <c r="AG48">
        <v>3</v>
      </c>
      <c r="AH48">
        <f t="shared" si="43"/>
        <v>1</v>
      </c>
      <c r="AI48">
        <f>_xlfn.IFS(BY48&lt;28,1,BY48=28-35,2,BY48&gt;35,3)</f>
        <v>1</v>
      </c>
      <c r="AJ48">
        <f t="shared" si="26"/>
        <v>1</v>
      </c>
      <c r="AK48">
        <f t="shared" si="27"/>
        <v>7</v>
      </c>
      <c r="AL48">
        <v>2</v>
      </c>
      <c r="AM48" s="1">
        <f t="shared" si="9"/>
        <v>12.1</v>
      </c>
      <c r="AN48" s="1">
        <f t="shared" si="10"/>
        <v>83</v>
      </c>
      <c r="AO48" s="1">
        <f t="shared" si="28"/>
        <v>1.3</v>
      </c>
      <c r="AP48" s="62">
        <f t="shared" si="29"/>
        <v>2.9384797620359</v>
      </c>
      <c r="AQ48">
        <v>0</v>
      </c>
      <c r="AR48">
        <f t="shared" si="42"/>
        <v>1</v>
      </c>
      <c r="AS48">
        <v>2.2</v>
      </c>
      <c r="AT48">
        <v>2.56</v>
      </c>
      <c r="AU48">
        <v>80</v>
      </c>
      <c r="AV48">
        <v>63</v>
      </c>
      <c r="AW48">
        <v>1.64</v>
      </c>
      <c r="AX48">
        <v>0.19</v>
      </c>
      <c r="AY48">
        <v>0.33</v>
      </c>
      <c r="AZ48">
        <f t="shared" si="13"/>
        <v>8.63157894736842</v>
      </c>
      <c r="BA48">
        <f t="shared" si="14"/>
        <v>331.578947368421</v>
      </c>
      <c r="BB48">
        <f t="shared" si="15"/>
        <v>0.575757575757576</v>
      </c>
      <c r="BC48">
        <v>2.83</v>
      </c>
      <c r="BD48">
        <v>294.45</v>
      </c>
      <c r="BE48" s="54">
        <v>4.03</v>
      </c>
      <c r="BF48">
        <v>6.42</v>
      </c>
      <c r="BM48">
        <v>0.167</v>
      </c>
      <c r="BN48" t="s">
        <v>3415</v>
      </c>
      <c r="BR48">
        <v>14.3</v>
      </c>
      <c r="BS48">
        <v>1.3</v>
      </c>
      <c r="BT48">
        <v>33.6</v>
      </c>
      <c r="BU48">
        <v>17.4</v>
      </c>
      <c r="BV48">
        <v>1.99</v>
      </c>
      <c r="BW48">
        <v>900</v>
      </c>
      <c r="BX48">
        <v>48</v>
      </c>
      <c r="BY48" s="63">
        <v>27</v>
      </c>
      <c r="BZ48">
        <v>21</v>
      </c>
      <c r="CA48">
        <v>15</v>
      </c>
      <c r="CB48">
        <v>40</v>
      </c>
      <c r="CC48">
        <v>68</v>
      </c>
      <c r="CD48">
        <v>39</v>
      </c>
      <c r="CE48">
        <v>225</v>
      </c>
      <c r="CF48">
        <v>12.1</v>
      </c>
      <c r="CG48">
        <v>5.4</v>
      </c>
      <c r="CH48" s="57">
        <f t="shared" si="16"/>
        <v>0.375</v>
      </c>
      <c r="CI48" s="57">
        <f t="shared" si="17"/>
        <v>1.74358974358974</v>
      </c>
      <c r="CJ48" s="57">
        <f t="shared" si="18"/>
        <v>2.24074074074074</v>
      </c>
      <c r="CK48">
        <v>2.73</v>
      </c>
      <c r="CL48">
        <v>0.74</v>
      </c>
      <c r="CM48">
        <v>0.79</v>
      </c>
      <c r="CN48">
        <v>1.8</v>
      </c>
      <c r="CO48">
        <v>9.2</v>
      </c>
      <c r="CP48">
        <v>83</v>
      </c>
      <c r="CQ48">
        <v>332</v>
      </c>
      <c r="CR48">
        <v>5</v>
      </c>
      <c r="CS48">
        <v>1.68</v>
      </c>
      <c r="CT48">
        <v>4.3</v>
      </c>
      <c r="CU48">
        <v>112</v>
      </c>
      <c r="CV48">
        <v>84</v>
      </c>
      <c r="CW48">
        <v>22</v>
      </c>
      <c r="CX48">
        <v>10.3</v>
      </c>
      <c r="CZ48">
        <v>287</v>
      </c>
      <c r="DA48">
        <v>43</v>
      </c>
      <c r="DB48">
        <v>0.013</v>
      </c>
      <c r="DC48">
        <v>1130</v>
      </c>
      <c r="DE48">
        <v>2.91</v>
      </c>
      <c r="DF48">
        <v>12.51</v>
      </c>
      <c r="DG48">
        <v>1.12</v>
      </c>
      <c r="DH48">
        <v>60.3</v>
      </c>
      <c r="DI48">
        <v>5.8</v>
      </c>
      <c r="DJ48">
        <v>7.3</v>
      </c>
      <c r="DK48">
        <v>5.7</v>
      </c>
      <c r="DL48">
        <v>4.4</v>
      </c>
      <c r="DM48">
        <v>16.5</v>
      </c>
      <c r="DN48">
        <v>1.52</v>
      </c>
      <c r="DO48">
        <v>0</v>
      </c>
      <c r="DP48">
        <v>981</v>
      </c>
      <c r="DQ48">
        <v>216</v>
      </c>
      <c r="DR48">
        <v>34.7</v>
      </c>
      <c r="DS48">
        <v>39.7</v>
      </c>
      <c r="DT48">
        <v>12.8</v>
      </c>
      <c r="DU48">
        <v>139</v>
      </c>
      <c r="DW48">
        <v>1.22</v>
      </c>
      <c r="DY48" s="62"/>
      <c r="DZ48">
        <v>4</v>
      </c>
      <c r="EA48">
        <v>17</v>
      </c>
      <c r="EB48">
        <v>1.1</v>
      </c>
      <c r="EC48">
        <v>0.27</v>
      </c>
      <c r="ED48">
        <v>6.8</v>
      </c>
      <c r="EE48">
        <v>90</v>
      </c>
      <c r="EF48">
        <v>0.93</v>
      </c>
      <c r="EG48">
        <f t="shared" si="19"/>
        <v>0.882352941176471</v>
      </c>
    </row>
    <row r="49" spans="1:137">
      <c r="A49" t="s">
        <v>130</v>
      </c>
      <c r="B49">
        <v>1066930</v>
      </c>
      <c r="C49">
        <v>2</v>
      </c>
      <c r="D49">
        <v>50</v>
      </c>
      <c r="E49" s="54">
        <v>1.66</v>
      </c>
      <c r="F49">
        <v>67</v>
      </c>
      <c r="G49" s="54">
        <f t="shared" ref="G49:G54" si="44">F49/(E49*E49)</f>
        <v>24.3141239657425</v>
      </c>
      <c r="H49" s="55">
        <v>70</v>
      </c>
      <c r="I49" s="56">
        <v>96.236</v>
      </c>
      <c r="J49" s="57">
        <v>120.9014</v>
      </c>
      <c r="K49" s="57">
        <v>205.8137</v>
      </c>
      <c r="L49" s="57">
        <v>115.5622</v>
      </c>
      <c r="M49" s="57"/>
      <c r="N49" s="57"/>
      <c r="O49" s="57"/>
      <c r="P49" s="57"/>
      <c r="Q49" s="57"/>
      <c r="R49" s="57">
        <v>-0.484555984555985</v>
      </c>
      <c r="S49" s="54">
        <v>26.2</v>
      </c>
      <c r="T49">
        <v>5.65</v>
      </c>
      <c r="U49" s="64">
        <v>0</v>
      </c>
      <c r="V49" s="64">
        <v>1</v>
      </c>
      <c r="W49" s="60">
        <f t="shared" si="6"/>
        <v>41.9</v>
      </c>
      <c r="X49" s="61">
        <v>43826</v>
      </c>
      <c r="Y49" s="61">
        <v>43825</v>
      </c>
      <c r="Z49" s="61">
        <v>43844</v>
      </c>
      <c r="AA49" s="62">
        <v>2</v>
      </c>
      <c r="AB49" s="62">
        <v>19</v>
      </c>
      <c r="AC49" t="s">
        <v>156</v>
      </c>
      <c r="AD49">
        <v>13820510769</v>
      </c>
      <c r="AE49">
        <v>1</v>
      </c>
      <c r="AF49">
        <v>1</v>
      </c>
      <c r="AG49">
        <v>1</v>
      </c>
      <c r="AH49">
        <f t="shared" si="43"/>
        <v>1</v>
      </c>
      <c r="AI49">
        <f>_xlfn.IFS(BY49&lt;28,1,BY49=28-35,2,BY49&gt;35,3)</f>
        <v>3</v>
      </c>
      <c r="AJ49">
        <f t="shared" si="26"/>
        <v>1</v>
      </c>
      <c r="AK49">
        <f t="shared" si="27"/>
        <v>7</v>
      </c>
      <c r="AL49">
        <v>2</v>
      </c>
      <c r="AM49" s="1">
        <f t="shared" si="9"/>
        <v>8.3</v>
      </c>
      <c r="AN49" s="1">
        <f t="shared" si="10"/>
        <v>51</v>
      </c>
      <c r="AO49" s="1">
        <f t="shared" si="28"/>
        <v>1.15</v>
      </c>
      <c r="AP49" s="62">
        <f t="shared" si="29"/>
        <v>7.96533375460178</v>
      </c>
      <c r="AQ49">
        <v>1</v>
      </c>
      <c r="AR49">
        <f t="shared" si="42"/>
        <v>1</v>
      </c>
      <c r="AS49">
        <v>1.72</v>
      </c>
      <c r="AT49">
        <v>3.01</v>
      </c>
      <c r="AU49">
        <v>90</v>
      </c>
      <c r="AV49">
        <v>89</v>
      </c>
      <c r="AW49">
        <v>0.93</v>
      </c>
      <c r="AX49">
        <v>0.58</v>
      </c>
      <c r="AY49">
        <v>0.16</v>
      </c>
      <c r="AZ49">
        <f t="shared" si="13"/>
        <v>1.60344827586207</v>
      </c>
      <c r="BA49">
        <f t="shared" si="14"/>
        <v>153.448275862069</v>
      </c>
      <c r="BB49">
        <f t="shared" si="15"/>
        <v>3.625</v>
      </c>
      <c r="BE49" s="54"/>
      <c r="BR49">
        <v>12.6</v>
      </c>
      <c r="BS49">
        <v>1.15</v>
      </c>
      <c r="BT49">
        <v>28.6</v>
      </c>
      <c r="BU49">
        <v>23.8</v>
      </c>
      <c r="BV49">
        <v>1.88</v>
      </c>
      <c r="BW49">
        <v>1160</v>
      </c>
      <c r="BX49">
        <v>59</v>
      </c>
      <c r="BY49" s="63">
        <v>39</v>
      </c>
      <c r="BZ49">
        <v>20</v>
      </c>
      <c r="CA49">
        <v>7</v>
      </c>
      <c r="CB49">
        <v>23</v>
      </c>
      <c r="CC49">
        <v>47</v>
      </c>
      <c r="CD49">
        <v>20</v>
      </c>
      <c r="CE49">
        <v>154</v>
      </c>
      <c r="CF49">
        <v>8.3</v>
      </c>
      <c r="CG49">
        <v>2.7</v>
      </c>
      <c r="CH49" s="57">
        <f t="shared" si="16"/>
        <v>0.304347826086957</v>
      </c>
      <c r="CI49" s="57">
        <f t="shared" si="17"/>
        <v>2.35</v>
      </c>
      <c r="CJ49" s="57">
        <f t="shared" si="18"/>
        <v>3.07407407407407</v>
      </c>
      <c r="CO49">
        <v>3.9</v>
      </c>
      <c r="CP49">
        <v>51</v>
      </c>
      <c r="CQ49">
        <v>199</v>
      </c>
      <c r="CR49">
        <v>4.1</v>
      </c>
      <c r="CS49">
        <v>1.97</v>
      </c>
      <c r="CT49">
        <v>4.1</v>
      </c>
      <c r="CU49">
        <v>143</v>
      </c>
      <c r="CV49">
        <v>109</v>
      </c>
      <c r="CW49">
        <v>29</v>
      </c>
      <c r="CX49">
        <v>9.1</v>
      </c>
      <c r="DY49" s="62"/>
      <c r="EG49">
        <f t="shared" si="19"/>
        <v>0.595744680851064</v>
      </c>
    </row>
    <row r="50" spans="1:137">
      <c r="A50" t="s">
        <v>121</v>
      </c>
      <c r="B50">
        <v>1066318</v>
      </c>
      <c r="C50">
        <v>2</v>
      </c>
      <c r="D50">
        <v>68</v>
      </c>
      <c r="E50" s="54">
        <v>1.65</v>
      </c>
      <c r="F50">
        <v>63</v>
      </c>
      <c r="G50" s="54">
        <f t="shared" si="44"/>
        <v>23.1404958677686</v>
      </c>
      <c r="H50" s="55">
        <v>71</v>
      </c>
      <c r="I50" s="1">
        <v>80.603</v>
      </c>
      <c r="J50" s="1">
        <v>106.7145</v>
      </c>
      <c r="K50" s="1">
        <v>105.2718</v>
      </c>
      <c r="L50" s="1">
        <v>93.1427</v>
      </c>
      <c r="M50" s="57">
        <f>P50/O50</f>
        <v>0.884783009314935</v>
      </c>
      <c r="N50" s="57">
        <f>J50/(E50*E50)</f>
        <v>39.1972451790634</v>
      </c>
      <c r="O50" s="57">
        <f>K50/(E50*E50)</f>
        <v>38.6673278236915</v>
      </c>
      <c r="P50" s="57">
        <f>L50/(E50*E50)</f>
        <v>34.2121946740129</v>
      </c>
      <c r="Q50" s="57">
        <f>O50+P50</f>
        <v>72.8795224977044</v>
      </c>
      <c r="R50" s="58">
        <v>-0.232121212121212</v>
      </c>
      <c r="S50" s="54">
        <v>12.5</v>
      </c>
      <c r="T50">
        <v>0.01</v>
      </c>
      <c r="U50" s="64">
        <v>0</v>
      </c>
      <c r="V50" s="64">
        <v>1</v>
      </c>
      <c r="W50" s="60">
        <f t="shared" si="6"/>
        <v>34</v>
      </c>
      <c r="X50" s="61">
        <v>43826</v>
      </c>
      <c r="Y50" s="61">
        <v>43822</v>
      </c>
      <c r="Z50" s="61">
        <v>43832</v>
      </c>
      <c r="AA50" s="62">
        <v>2</v>
      </c>
      <c r="AB50" s="62">
        <f>DATEDIF(Y50,Z50,"D")</f>
        <v>10</v>
      </c>
      <c r="AC50" t="s">
        <v>122</v>
      </c>
      <c r="AD50">
        <v>18526699801</v>
      </c>
      <c r="AE50">
        <v>1</v>
      </c>
      <c r="AF50">
        <v>1</v>
      </c>
      <c r="AG50">
        <v>1</v>
      </c>
      <c r="AH50">
        <f t="shared" si="43"/>
        <v>1</v>
      </c>
      <c r="AI50">
        <v>2</v>
      </c>
      <c r="AM50" s="1">
        <f t="shared" si="9"/>
        <v>10.5</v>
      </c>
      <c r="AN50" s="1">
        <f t="shared" si="10"/>
        <v>37</v>
      </c>
      <c r="AO50" s="1"/>
      <c r="AP50" s="62"/>
      <c r="AQ50">
        <v>1</v>
      </c>
      <c r="AS50">
        <v>2.63</v>
      </c>
      <c r="AT50">
        <v>3.33</v>
      </c>
      <c r="AU50">
        <v>88</v>
      </c>
      <c r="AV50">
        <v>113</v>
      </c>
      <c r="AW50">
        <v>1.67</v>
      </c>
      <c r="AX50">
        <v>0.6</v>
      </c>
      <c r="AY50">
        <v>0.26</v>
      </c>
      <c r="AZ50">
        <f t="shared" si="13"/>
        <v>2.78333333333333</v>
      </c>
      <c r="BA50">
        <f t="shared" si="14"/>
        <v>188.333333333333</v>
      </c>
      <c r="BB50">
        <f t="shared" si="15"/>
        <v>2.30769230769231</v>
      </c>
      <c r="BE50" s="54"/>
      <c r="BN50">
        <v>23</v>
      </c>
      <c r="BX50">
        <v>53</v>
      </c>
      <c r="BY50" s="63">
        <v>31</v>
      </c>
      <c r="BZ50">
        <v>22</v>
      </c>
      <c r="CA50">
        <v>37</v>
      </c>
      <c r="CB50">
        <v>68</v>
      </c>
      <c r="CC50">
        <v>219</v>
      </c>
      <c r="CD50">
        <v>206</v>
      </c>
      <c r="CE50">
        <v>153</v>
      </c>
      <c r="CF50">
        <v>10.5</v>
      </c>
      <c r="CG50">
        <v>6</v>
      </c>
      <c r="CH50" s="57">
        <f t="shared" si="16"/>
        <v>0.544117647058823</v>
      </c>
      <c r="CI50" s="57">
        <f t="shared" si="17"/>
        <v>1.0631067961165</v>
      </c>
      <c r="CJ50" s="57">
        <f t="shared" si="18"/>
        <v>1.75</v>
      </c>
      <c r="CO50">
        <v>4.1</v>
      </c>
      <c r="CP50">
        <v>37</v>
      </c>
      <c r="CQ50">
        <v>111</v>
      </c>
      <c r="CR50">
        <v>7.1</v>
      </c>
      <c r="CS50">
        <v>2.07</v>
      </c>
      <c r="CT50">
        <v>4.6</v>
      </c>
      <c r="CU50">
        <v>141</v>
      </c>
      <c r="CV50">
        <v>106</v>
      </c>
      <c r="CW50">
        <v>33</v>
      </c>
      <c r="CX50">
        <v>6.6</v>
      </c>
      <c r="DY50" s="62"/>
      <c r="EG50">
        <f t="shared" si="19"/>
        <v>0.675799086757991</v>
      </c>
    </row>
    <row r="51" spans="1:137">
      <c r="A51" t="s">
        <v>158</v>
      </c>
      <c r="B51">
        <v>1060639</v>
      </c>
      <c r="C51">
        <v>1</v>
      </c>
      <c r="D51">
        <v>53</v>
      </c>
      <c r="E51" s="54"/>
      <c r="G51" s="54"/>
      <c r="H51" s="55"/>
      <c r="I51" s="1">
        <v>99.273</v>
      </c>
      <c r="J51" s="1">
        <v>127.0722</v>
      </c>
      <c r="K51" s="1">
        <v>147.7121</v>
      </c>
      <c r="L51" s="1">
        <v>127.3142</v>
      </c>
      <c r="M51" s="57"/>
      <c r="N51" s="57"/>
      <c r="O51" s="57"/>
      <c r="P51" s="57"/>
      <c r="Q51" s="57"/>
      <c r="R51" s="1">
        <v>-0.396637891867333</v>
      </c>
      <c r="S51" s="54"/>
      <c r="T51">
        <v>0.01</v>
      </c>
      <c r="U51" s="68">
        <v>6</v>
      </c>
      <c r="V51" s="68">
        <v>3</v>
      </c>
      <c r="W51" s="60">
        <f t="shared" si="6"/>
        <v>42.3</v>
      </c>
      <c r="X51" s="61">
        <v>43841</v>
      </c>
      <c r="Y51" s="61">
        <v>43807</v>
      </c>
      <c r="Z51" s="61">
        <v>43841</v>
      </c>
      <c r="AA51" s="62">
        <v>1</v>
      </c>
      <c r="AB51" s="62">
        <v>34</v>
      </c>
      <c r="AC51" t="s">
        <v>159</v>
      </c>
      <c r="AD51">
        <v>15222182216</v>
      </c>
      <c r="AE51">
        <v>1</v>
      </c>
      <c r="AF51">
        <v>1</v>
      </c>
      <c r="AG51">
        <v>3</v>
      </c>
      <c r="AH51">
        <f t="shared" si="43"/>
        <v>3</v>
      </c>
      <c r="AI51">
        <v>2</v>
      </c>
      <c r="AJ51">
        <f>_xlfn.IFS(BS51&lt;1.7,1,BS51=1.7-2.3,2,BS51&gt;2.3,3)</f>
        <v>1</v>
      </c>
      <c r="AK51">
        <f>AF51+AG51+AH51+AI51+AJ51</f>
        <v>10</v>
      </c>
      <c r="AL51">
        <v>3</v>
      </c>
      <c r="AM51" s="1">
        <f t="shared" si="9"/>
        <v>54</v>
      </c>
      <c r="AN51" s="1">
        <f t="shared" si="10"/>
        <v>88</v>
      </c>
      <c r="AO51" s="1">
        <f>BS51</f>
        <v>1.63</v>
      </c>
      <c r="AP51" s="62">
        <f>LN(IF(CF51/17.1&gt;1,CF51/17.1,1))*3.8+LN(IF(CP51/88.4&gt;1,CP51/88.4,1))*9.6+11.2*LN(BS51)+6.4*AQ51</f>
        <v>16.2417373815806</v>
      </c>
      <c r="AQ51">
        <v>1</v>
      </c>
      <c r="AR51">
        <v>1</v>
      </c>
      <c r="AS51">
        <v>10.31</v>
      </c>
      <c r="AT51">
        <v>5.24</v>
      </c>
      <c r="AU51">
        <v>164</v>
      </c>
      <c r="AV51">
        <v>47</v>
      </c>
      <c r="AW51">
        <v>7.69</v>
      </c>
      <c r="AX51">
        <v>1.46</v>
      </c>
      <c r="AY51">
        <v>1.08</v>
      </c>
      <c r="AZ51">
        <f t="shared" si="13"/>
        <v>5.26712328767123</v>
      </c>
      <c r="BA51">
        <f t="shared" si="14"/>
        <v>32.1917808219178</v>
      </c>
      <c r="BB51">
        <f t="shared" si="15"/>
        <v>1.35185185185185</v>
      </c>
      <c r="BC51">
        <v>1.16</v>
      </c>
      <c r="BD51">
        <v>225.22</v>
      </c>
      <c r="BE51" s="54">
        <v>3.03</v>
      </c>
      <c r="BF51">
        <v>2.3</v>
      </c>
      <c r="BM51">
        <v>0.215</v>
      </c>
      <c r="BN51">
        <v>28</v>
      </c>
      <c r="BR51">
        <v>17.9</v>
      </c>
      <c r="BS51">
        <v>1.63</v>
      </c>
      <c r="BT51">
        <v>33.3</v>
      </c>
      <c r="BU51">
        <v>19.5</v>
      </c>
      <c r="BV51">
        <v>2.65</v>
      </c>
      <c r="BW51">
        <v>2312</v>
      </c>
      <c r="BX51">
        <v>66</v>
      </c>
      <c r="BY51" s="63">
        <v>35</v>
      </c>
      <c r="BZ51">
        <v>31</v>
      </c>
      <c r="CA51">
        <v>414</v>
      </c>
      <c r="CB51">
        <v>407</v>
      </c>
      <c r="CC51">
        <v>289</v>
      </c>
      <c r="CD51">
        <v>427</v>
      </c>
      <c r="CE51">
        <v>490.6</v>
      </c>
      <c r="CF51">
        <v>54</v>
      </c>
      <c r="CG51">
        <v>22.4</v>
      </c>
      <c r="CH51" s="57">
        <f t="shared" si="16"/>
        <v>1.01719901719902</v>
      </c>
      <c r="CI51" s="57">
        <f t="shared" si="17"/>
        <v>0.676814988290398</v>
      </c>
      <c r="CJ51" s="57">
        <f t="shared" si="18"/>
        <v>2.41071428571429</v>
      </c>
      <c r="CK51">
        <v>3.34</v>
      </c>
      <c r="CL51">
        <v>0.56</v>
      </c>
      <c r="CM51">
        <v>1.15</v>
      </c>
      <c r="CN51">
        <v>1.74</v>
      </c>
      <c r="CO51">
        <v>4.4</v>
      </c>
      <c r="CP51">
        <v>88</v>
      </c>
      <c r="CQ51">
        <v>331</v>
      </c>
      <c r="CR51">
        <v>5</v>
      </c>
      <c r="CS51">
        <v>2.11</v>
      </c>
      <c r="CT51">
        <v>4.1</v>
      </c>
      <c r="CU51">
        <v>138</v>
      </c>
      <c r="CV51">
        <v>97</v>
      </c>
      <c r="CW51">
        <v>30</v>
      </c>
      <c r="CX51">
        <v>15.1</v>
      </c>
      <c r="DD51">
        <v>9.6</v>
      </c>
      <c r="DE51">
        <v>3.04</v>
      </c>
      <c r="DF51">
        <v>13.72</v>
      </c>
      <c r="DG51">
        <v>3.068</v>
      </c>
      <c r="DH51">
        <v>53.1</v>
      </c>
      <c r="DI51">
        <v>5.7</v>
      </c>
      <c r="DJ51">
        <v>8.6</v>
      </c>
      <c r="DK51">
        <v>6.1</v>
      </c>
      <c r="DL51">
        <v>7.7</v>
      </c>
      <c r="DM51">
        <v>18.8</v>
      </c>
      <c r="DN51">
        <v>1.13</v>
      </c>
      <c r="DO51">
        <v>1</v>
      </c>
      <c r="DP51">
        <v>1330</v>
      </c>
      <c r="DQ51">
        <v>385</v>
      </c>
      <c r="DR51">
        <v>102</v>
      </c>
      <c r="DS51">
        <v>84.5</v>
      </c>
      <c r="DT51">
        <v>39.9</v>
      </c>
      <c r="DU51">
        <v>692</v>
      </c>
      <c r="DV51">
        <v>1.28</v>
      </c>
      <c r="DW51">
        <v>2.15</v>
      </c>
      <c r="DY51" s="62">
        <v>4</v>
      </c>
      <c r="DZ51">
        <v>28</v>
      </c>
      <c r="EA51">
        <v>223</v>
      </c>
      <c r="EB51">
        <v>6.7</v>
      </c>
      <c r="EC51">
        <v>7.53</v>
      </c>
      <c r="ED51">
        <v>9.8</v>
      </c>
      <c r="EE51">
        <v>102</v>
      </c>
      <c r="EF51">
        <v>2.18</v>
      </c>
      <c r="EG51">
        <f t="shared" si="19"/>
        <v>5.73010380622837</v>
      </c>
    </row>
    <row r="52" spans="1:137">
      <c r="A52" t="s">
        <v>160</v>
      </c>
      <c r="B52">
        <v>1069996</v>
      </c>
      <c r="C52">
        <v>1</v>
      </c>
      <c r="D52">
        <v>72</v>
      </c>
      <c r="E52" s="54">
        <v>1.74</v>
      </c>
      <c r="F52">
        <v>80</v>
      </c>
      <c r="G52" s="54">
        <v>26.42</v>
      </c>
      <c r="H52" s="55">
        <v>104</v>
      </c>
      <c r="I52" s="1">
        <v>103.32</v>
      </c>
      <c r="J52" s="1">
        <v>163.6574</v>
      </c>
      <c r="K52" s="1">
        <v>164.4858</v>
      </c>
      <c r="L52" s="1">
        <v>212.8788</v>
      </c>
      <c r="M52" s="57"/>
      <c r="N52" s="57"/>
      <c r="O52" s="57"/>
      <c r="P52" s="57"/>
      <c r="Q52" s="57"/>
      <c r="R52" s="58">
        <v>-0.441798941798942</v>
      </c>
      <c r="S52" s="54">
        <v>30.3</v>
      </c>
      <c r="W52" s="60">
        <f t="shared" si="6"/>
        <v>35.7</v>
      </c>
      <c r="X52" s="61">
        <v>43845</v>
      </c>
      <c r="Y52" s="61">
        <v>43827</v>
      </c>
      <c r="Z52" s="61">
        <v>43845</v>
      </c>
      <c r="AA52" s="62">
        <v>1</v>
      </c>
      <c r="AB52" s="62">
        <v>18</v>
      </c>
      <c r="AC52" t="s">
        <v>161</v>
      </c>
      <c r="AD52">
        <v>15822802269</v>
      </c>
      <c r="AE52">
        <v>1</v>
      </c>
      <c r="AF52">
        <v>1</v>
      </c>
      <c r="AG52">
        <v>2</v>
      </c>
      <c r="AH52">
        <f t="shared" si="43"/>
        <v>1</v>
      </c>
      <c r="AI52">
        <v>2</v>
      </c>
      <c r="AJ52">
        <f>_xlfn.IFS(BS52&lt;1.7,1,BS52=1.7-2.3,2,BS52&gt;2.3,3)</f>
        <v>1</v>
      </c>
      <c r="AK52">
        <f>AF52+AG52+AH52+AI52+AJ52</f>
        <v>7</v>
      </c>
      <c r="AL52">
        <v>2</v>
      </c>
      <c r="AM52" s="1">
        <f t="shared" si="9"/>
        <v>12.6</v>
      </c>
      <c r="AN52" s="1">
        <f t="shared" si="10"/>
        <v>70</v>
      </c>
      <c r="AO52" s="1">
        <f>BS52</f>
        <v>1.33</v>
      </c>
      <c r="AP52" s="62">
        <f>LN(IF(CF52/17.1&gt;1,CF52/17.1,1))*3.8+LN(IF(CP52/88.4&gt;1,CP52/88.4,1))*9.6+11.2*LN(BS52)+6.4*AQ52</f>
        <v>3.19400415301702</v>
      </c>
      <c r="AQ52">
        <v>0</v>
      </c>
      <c r="AR52">
        <f>_xlfn.IFS(AP52&lt;15,1,AP52=15-18,2,AP52&gt;18,3)</f>
        <v>1</v>
      </c>
      <c r="AS52">
        <v>4.86</v>
      </c>
      <c r="AT52">
        <v>2.58</v>
      </c>
      <c r="AU52">
        <v>85</v>
      </c>
      <c r="AV52">
        <v>69</v>
      </c>
      <c r="AW52">
        <v>3.22</v>
      </c>
      <c r="AX52">
        <v>1.14</v>
      </c>
      <c r="AY52">
        <v>0.47</v>
      </c>
      <c r="AZ52">
        <f t="shared" si="13"/>
        <v>2.82456140350877</v>
      </c>
      <c r="BA52">
        <f t="shared" si="14"/>
        <v>60.5263157894737</v>
      </c>
      <c r="BB52">
        <f t="shared" si="15"/>
        <v>2.42553191489362</v>
      </c>
      <c r="BC52">
        <v>1.27</v>
      </c>
      <c r="BD52">
        <v>57.14</v>
      </c>
      <c r="BE52" s="54">
        <v>3.03</v>
      </c>
      <c r="BF52">
        <v>10.76</v>
      </c>
      <c r="BM52">
        <v>0.481</v>
      </c>
      <c r="BN52">
        <v>16</v>
      </c>
      <c r="BR52">
        <v>14.6</v>
      </c>
      <c r="BS52">
        <v>1.33</v>
      </c>
      <c r="BT52">
        <v>26.7</v>
      </c>
      <c r="BU52">
        <v>22</v>
      </c>
      <c r="BV52">
        <v>2.56</v>
      </c>
      <c r="BW52">
        <v>2613</v>
      </c>
      <c r="BX52">
        <v>56</v>
      </c>
      <c r="BY52" s="63">
        <v>30</v>
      </c>
      <c r="BZ52">
        <v>26</v>
      </c>
      <c r="CA52">
        <v>44</v>
      </c>
      <c r="CB52">
        <v>28</v>
      </c>
      <c r="CC52">
        <v>77</v>
      </c>
      <c r="CD52">
        <v>53</v>
      </c>
      <c r="CE52">
        <v>156</v>
      </c>
      <c r="CF52">
        <v>12.6</v>
      </c>
      <c r="CG52">
        <v>6</v>
      </c>
      <c r="CH52" s="57">
        <f t="shared" si="16"/>
        <v>1.57142857142857</v>
      </c>
      <c r="CI52" s="57">
        <f t="shared" si="17"/>
        <v>1.45283018867925</v>
      </c>
      <c r="CJ52" s="57">
        <f t="shared" si="18"/>
        <v>2.1</v>
      </c>
      <c r="CK52">
        <v>3.64</v>
      </c>
      <c r="CL52">
        <v>0.82</v>
      </c>
      <c r="CM52">
        <v>0.87</v>
      </c>
      <c r="CN52">
        <v>2.13</v>
      </c>
      <c r="CO52">
        <v>2.6</v>
      </c>
      <c r="CP52">
        <v>70</v>
      </c>
      <c r="CQ52">
        <v>332</v>
      </c>
      <c r="CR52">
        <v>5.2</v>
      </c>
      <c r="CS52">
        <v>1.77</v>
      </c>
      <c r="CT52">
        <v>4.2</v>
      </c>
      <c r="CU52">
        <v>142</v>
      </c>
      <c r="CV52">
        <v>108</v>
      </c>
      <c r="CW52">
        <v>29</v>
      </c>
      <c r="CX52">
        <v>9.2</v>
      </c>
      <c r="CZ52">
        <v>82</v>
      </c>
      <c r="DA52">
        <v>31</v>
      </c>
      <c r="DB52" t="s">
        <v>3422</v>
      </c>
      <c r="DD52">
        <v>155</v>
      </c>
      <c r="DE52">
        <v>2.5</v>
      </c>
      <c r="DF52">
        <v>11</v>
      </c>
      <c r="DG52">
        <v>0.918</v>
      </c>
      <c r="DY52" s="62"/>
      <c r="EG52">
        <f t="shared" si="19"/>
        <v>2.28571428571429</v>
      </c>
    </row>
    <row r="53" spans="1:137">
      <c r="A53" s="45" t="s">
        <v>351</v>
      </c>
      <c r="B53">
        <v>1070404</v>
      </c>
      <c r="C53">
        <v>1</v>
      </c>
      <c r="D53">
        <v>56</v>
      </c>
      <c r="E53" s="54">
        <v>1.63</v>
      </c>
      <c r="F53">
        <v>73</v>
      </c>
      <c r="G53" s="54">
        <f t="shared" si="44"/>
        <v>27.4756294930182</v>
      </c>
      <c r="H53" s="55">
        <v>76</v>
      </c>
      <c r="I53" s="1">
        <v>99.832</v>
      </c>
      <c r="J53" s="1">
        <v>174.2643</v>
      </c>
      <c r="K53" s="1">
        <v>129.1889</v>
      </c>
      <c r="L53" s="1">
        <v>51.8853</v>
      </c>
      <c r="M53" s="57">
        <f>P53/O53</f>
        <v>0.401623514094477</v>
      </c>
      <c r="N53" s="57">
        <f>J53/(E53*E53)</f>
        <v>65.5893334337009</v>
      </c>
      <c r="O53" s="57">
        <f>K53/(E53*E53)</f>
        <v>48.6239226165832</v>
      </c>
      <c r="P53" s="57">
        <f>L53/(E53*E53)</f>
        <v>19.5285106703301</v>
      </c>
      <c r="Q53" s="57">
        <f>O53+P53</f>
        <v>68.1524332869133</v>
      </c>
      <c r="R53" s="58">
        <v>-0.701264880952381</v>
      </c>
      <c r="S53" s="54">
        <v>23.2</v>
      </c>
      <c r="T53">
        <v>0.01</v>
      </c>
      <c r="U53" s="68">
        <v>6</v>
      </c>
      <c r="V53" s="68">
        <v>3</v>
      </c>
      <c r="W53" s="60">
        <f t="shared" si="6"/>
        <v>27.75</v>
      </c>
      <c r="X53" s="61">
        <v>43832</v>
      </c>
      <c r="Y53" s="61">
        <v>43830</v>
      </c>
      <c r="Z53" s="61">
        <v>43846</v>
      </c>
      <c r="AA53" s="62">
        <v>1</v>
      </c>
      <c r="AB53" s="62">
        <v>16</v>
      </c>
      <c r="AC53" t="s">
        <v>3296</v>
      </c>
      <c r="AD53">
        <v>15510960843</v>
      </c>
      <c r="AE53">
        <v>0</v>
      </c>
      <c r="AF53">
        <v>1</v>
      </c>
      <c r="AG53">
        <v>2</v>
      </c>
      <c r="AH53">
        <f t="shared" si="43"/>
        <v>1</v>
      </c>
      <c r="AI53">
        <f>_xlfn.IFS(BY53&lt;28,1,BY53=28-35,2,BY53&gt;35,3)</f>
        <v>1</v>
      </c>
      <c r="AJ53">
        <f>_xlfn.IFS(BS53&lt;1.7,1,BS53=1.7-2.3,2,BS53&gt;2.3,3)</f>
        <v>1</v>
      </c>
      <c r="AK53">
        <f>AF53+AG53+AH53+AI53+AJ53</f>
        <v>6</v>
      </c>
      <c r="AL53">
        <v>1</v>
      </c>
      <c r="AM53" s="1">
        <f t="shared" si="9"/>
        <v>19.6</v>
      </c>
      <c r="AN53" s="1">
        <f t="shared" si="10"/>
        <v>62</v>
      </c>
      <c r="AO53" s="1">
        <f>BS53</f>
        <v>1.51</v>
      </c>
      <c r="AP53" s="62">
        <f>LN(IF(CF53/17.1&gt;1,CF53/17.1,1))*3.8+LN(IF(CP53/88.4&gt;1,CP53/88.4,1))*9.6+11.2*LN(BS53)+6.4*AQ53</f>
        <v>11.5341422796264</v>
      </c>
      <c r="AQ53">
        <v>1</v>
      </c>
      <c r="AR53">
        <v>3</v>
      </c>
      <c r="AS53">
        <v>3.16</v>
      </c>
      <c r="AT53">
        <v>1.77</v>
      </c>
      <c r="AU53">
        <v>43</v>
      </c>
      <c r="AV53">
        <v>185</v>
      </c>
      <c r="AW53">
        <v>1.89</v>
      </c>
      <c r="AX53">
        <v>0.55</v>
      </c>
      <c r="AY53">
        <v>0.66</v>
      </c>
      <c r="AZ53">
        <f t="shared" si="13"/>
        <v>3.43636363636364</v>
      </c>
      <c r="BA53">
        <f t="shared" si="14"/>
        <v>336.363636363636</v>
      </c>
      <c r="BB53">
        <f t="shared" si="15"/>
        <v>0.833333333333333</v>
      </c>
      <c r="BC53">
        <v>0.59</v>
      </c>
      <c r="BD53">
        <v>135.93</v>
      </c>
      <c r="BE53" s="54">
        <v>1.17</v>
      </c>
      <c r="BF53" t="s">
        <v>3414</v>
      </c>
      <c r="BJ53">
        <v>1.05</v>
      </c>
      <c r="BK53">
        <v>0.6</v>
      </c>
      <c r="BL53">
        <v>41.41</v>
      </c>
      <c r="BM53">
        <v>0.474</v>
      </c>
      <c r="BR53">
        <v>16.6</v>
      </c>
      <c r="BS53">
        <v>1.51</v>
      </c>
      <c r="BT53">
        <v>38.6</v>
      </c>
      <c r="BU53">
        <v>19.1</v>
      </c>
      <c r="BV53">
        <v>4.63</v>
      </c>
      <c r="BW53">
        <v>2270</v>
      </c>
      <c r="BX53">
        <v>56</v>
      </c>
      <c r="BY53" s="63">
        <v>25</v>
      </c>
      <c r="BZ53">
        <v>31</v>
      </c>
      <c r="CA53">
        <v>19</v>
      </c>
      <c r="CB53">
        <v>15</v>
      </c>
      <c r="CC53">
        <v>115</v>
      </c>
      <c r="CD53">
        <v>59</v>
      </c>
      <c r="CE53">
        <v>218</v>
      </c>
      <c r="CF53">
        <v>19.6</v>
      </c>
      <c r="CG53">
        <v>11.4</v>
      </c>
      <c r="CH53" s="57">
        <f t="shared" si="16"/>
        <v>1.26666666666667</v>
      </c>
      <c r="CI53" s="57">
        <f t="shared" si="17"/>
        <v>1.94915254237288</v>
      </c>
      <c r="CJ53" s="57">
        <f t="shared" si="18"/>
        <v>1.71929824561404</v>
      </c>
      <c r="CK53">
        <v>1.84</v>
      </c>
      <c r="CL53">
        <v>0.48</v>
      </c>
      <c r="CM53">
        <v>0.59</v>
      </c>
      <c r="CN53">
        <v>0.82</v>
      </c>
      <c r="CO53">
        <v>5.9</v>
      </c>
      <c r="CP53">
        <v>62</v>
      </c>
      <c r="CQ53">
        <v>453</v>
      </c>
      <c r="CR53">
        <v>6.7</v>
      </c>
      <c r="CS53">
        <v>1.8</v>
      </c>
      <c r="CT53">
        <v>3.9</v>
      </c>
      <c r="CU53">
        <v>135</v>
      </c>
      <c r="CV53">
        <v>99</v>
      </c>
      <c r="CW53">
        <v>24</v>
      </c>
      <c r="CX53">
        <v>15.9</v>
      </c>
      <c r="DD53">
        <v>398</v>
      </c>
      <c r="DE53">
        <v>2.13</v>
      </c>
      <c r="DF53">
        <v>12.45</v>
      </c>
      <c r="DG53">
        <v>1.859</v>
      </c>
      <c r="DH53">
        <v>42.5</v>
      </c>
      <c r="DI53">
        <v>11.8</v>
      </c>
      <c r="DJ53">
        <v>9.4</v>
      </c>
      <c r="DK53">
        <v>6.5</v>
      </c>
      <c r="DL53">
        <v>6.9</v>
      </c>
      <c r="DM53">
        <v>22.9</v>
      </c>
      <c r="DN53">
        <v>0.74</v>
      </c>
      <c r="DO53">
        <v>1</v>
      </c>
      <c r="DP53">
        <v>1520</v>
      </c>
      <c r="DQ53">
        <v>369</v>
      </c>
      <c r="DR53">
        <v>70.2</v>
      </c>
      <c r="DS53">
        <v>84.4</v>
      </c>
      <c r="DT53">
        <v>18.4</v>
      </c>
      <c r="DU53">
        <v>208</v>
      </c>
      <c r="DV53">
        <v>1.32</v>
      </c>
      <c r="DW53">
        <v>10.8</v>
      </c>
      <c r="DY53" s="62"/>
      <c r="EG53">
        <f t="shared" si="19"/>
        <v>0.660869565217391</v>
      </c>
    </row>
    <row r="54" spans="1:137">
      <c r="A54" t="s">
        <v>163</v>
      </c>
      <c r="B54">
        <v>1071164</v>
      </c>
      <c r="C54">
        <v>2</v>
      </c>
      <c r="D54">
        <v>62</v>
      </c>
      <c r="E54" s="54">
        <v>1.55</v>
      </c>
      <c r="F54">
        <v>56</v>
      </c>
      <c r="G54" s="54">
        <f t="shared" si="44"/>
        <v>23.309053069719</v>
      </c>
      <c r="H54" s="55">
        <v>83</v>
      </c>
      <c r="I54">
        <v>80.441</v>
      </c>
      <c r="J54">
        <v>104.1167</v>
      </c>
      <c r="K54">
        <v>113.0888</v>
      </c>
      <c r="L54">
        <v>47.1384</v>
      </c>
      <c r="M54" s="57">
        <f>P54/O54</f>
        <v>0.416826423129435</v>
      </c>
      <c r="N54" s="57">
        <f>J54/(E54*E54)</f>
        <v>43.3368158168574</v>
      </c>
      <c r="O54" s="57">
        <f>K54/(E54*E54)</f>
        <v>47.0713007284079</v>
      </c>
      <c r="P54" s="57">
        <f>L54/(E54*E54)</f>
        <v>19.6205619146722</v>
      </c>
      <c r="Q54" s="57">
        <f>O54+P54</f>
        <v>66.6918626430801</v>
      </c>
      <c r="R54">
        <v>-0.582417582417582</v>
      </c>
      <c r="S54" s="54">
        <v>24.7</v>
      </c>
      <c r="T54">
        <v>6.3</v>
      </c>
      <c r="U54" s="68">
        <v>4</v>
      </c>
      <c r="V54" s="68">
        <v>3</v>
      </c>
      <c r="W54" s="60">
        <f t="shared" si="6"/>
        <v>35.75</v>
      </c>
      <c r="X54" s="61">
        <v>43836</v>
      </c>
      <c r="Y54" s="61">
        <v>43836</v>
      </c>
      <c r="Z54" s="61">
        <v>43858</v>
      </c>
      <c r="AA54" s="62">
        <v>1</v>
      </c>
      <c r="AB54" s="62">
        <v>22</v>
      </c>
      <c r="AC54" s="71" t="s">
        <v>164</v>
      </c>
      <c r="AD54">
        <v>18698002552</v>
      </c>
      <c r="AE54">
        <v>1</v>
      </c>
      <c r="AF54">
        <v>1</v>
      </c>
      <c r="AG54">
        <v>1</v>
      </c>
      <c r="AH54">
        <v>2</v>
      </c>
      <c r="AI54">
        <v>2</v>
      </c>
      <c r="AJ54">
        <f>_xlfn.IFS(BS54&lt;1.7,1,BS54=1.7-2.3,2,BS54&gt;2.3,3)</f>
        <v>1</v>
      </c>
      <c r="AK54">
        <f>AF54+AG54+AH54+AI54+AJ54</f>
        <v>7</v>
      </c>
      <c r="AL54">
        <v>2</v>
      </c>
      <c r="AM54" s="1">
        <f t="shared" si="9"/>
        <v>49.5</v>
      </c>
      <c r="AN54" s="1">
        <f t="shared" si="10"/>
        <v>40</v>
      </c>
      <c r="AO54" s="1">
        <f>BS54</f>
        <v>1.09</v>
      </c>
      <c r="AP54" s="62">
        <f>LN(IF(CF54/17.1&gt;1,CF54/17.1,1))*3.8+LN(IF(CP54/88.4&gt;1,CP54/88.4,1))*9.6+11.2*LN(BS54)+6.4*AQ54</f>
        <v>5.0041881809507</v>
      </c>
      <c r="AQ54">
        <v>0</v>
      </c>
      <c r="AR54">
        <v>3</v>
      </c>
      <c r="AS54">
        <v>3.45</v>
      </c>
      <c r="AT54">
        <v>3.64</v>
      </c>
      <c r="AU54">
        <v>118</v>
      </c>
      <c r="AV54">
        <v>96</v>
      </c>
      <c r="AW54">
        <v>1.45</v>
      </c>
      <c r="AX54">
        <v>1.55</v>
      </c>
      <c r="AY54">
        <v>0.29</v>
      </c>
      <c r="AZ54">
        <f t="shared" si="13"/>
        <v>0.935483870967742</v>
      </c>
      <c r="BA54">
        <f t="shared" si="14"/>
        <v>61.9354838709677</v>
      </c>
      <c r="BB54">
        <f t="shared" si="15"/>
        <v>5.3448275862069</v>
      </c>
      <c r="BC54">
        <v>3.44</v>
      </c>
      <c r="BD54">
        <v>88.69</v>
      </c>
      <c r="BE54" s="54">
        <v>3.59</v>
      </c>
      <c r="BF54">
        <v>9.29</v>
      </c>
      <c r="BG54">
        <v>12.7</v>
      </c>
      <c r="BI54">
        <v>66.11</v>
      </c>
      <c r="BR54">
        <v>12</v>
      </c>
      <c r="BS54">
        <v>1.09</v>
      </c>
      <c r="BT54">
        <v>34.3</v>
      </c>
      <c r="BU54">
        <v>19.4</v>
      </c>
      <c r="BV54">
        <v>2.18</v>
      </c>
      <c r="BW54">
        <v>2375</v>
      </c>
      <c r="BX54">
        <v>63</v>
      </c>
      <c r="BY54" s="63">
        <v>28</v>
      </c>
      <c r="BZ54">
        <v>35</v>
      </c>
      <c r="CA54">
        <v>68</v>
      </c>
      <c r="CB54">
        <v>85</v>
      </c>
      <c r="CC54">
        <v>290</v>
      </c>
      <c r="CD54">
        <v>489</v>
      </c>
      <c r="CE54">
        <v>248</v>
      </c>
      <c r="CF54">
        <v>49.5</v>
      </c>
      <c r="CG54">
        <v>34.1</v>
      </c>
      <c r="CH54" s="57">
        <f t="shared" si="16"/>
        <v>0.8</v>
      </c>
      <c r="CI54" s="57">
        <f t="shared" si="17"/>
        <v>0.593047034764826</v>
      </c>
      <c r="CJ54" s="57">
        <f t="shared" si="18"/>
        <v>1.45161290322581</v>
      </c>
      <c r="CK54">
        <v>4.41</v>
      </c>
      <c r="CL54">
        <v>0.7</v>
      </c>
      <c r="CM54">
        <v>1.87</v>
      </c>
      <c r="CN54">
        <v>1.89</v>
      </c>
      <c r="CO54">
        <v>2.8</v>
      </c>
      <c r="CP54">
        <v>40</v>
      </c>
      <c r="CQ54">
        <v>208</v>
      </c>
      <c r="CR54">
        <v>3.9</v>
      </c>
      <c r="CS54">
        <v>1.93</v>
      </c>
      <c r="CT54">
        <v>4</v>
      </c>
      <c r="CU54">
        <v>140</v>
      </c>
      <c r="CV54">
        <v>108</v>
      </c>
      <c r="CW54">
        <v>25</v>
      </c>
      <c r="CX54">
        <v>11</v>
      </c>
      <c r="CZ54">
        <v>63</v>
      </c>
      <c r="DA54">
        <v>29</v>
      </c>
      <c r="DE54">
        <v>3.64</v>
      </c>
      <c r="DF54">
        <v>14.76</v>
      </c>
      <c r="DG54">
        <v>1.015</v>
      </c>
      <c r="DH54">
        <v>49.6</v>
      </c>
      <c r="DI54">
        <v>4.1</v>
      </c>
      <c r="DJ54">
        <v>7.9</v>
      </c>
      <c r="DK54">
        <v>5.2</v>
      </c>
      <c r="DL54">
        <v>4.8</v>
      </c>
      <c r="DM54">
        <v>28.4</v>
      </c>
      <c r="DN54">
        <v>0.98</v>
      </c>
      <c r="DO54">
        <v>1</v>
      </c>
      <c r="DP54">
        <v>1740</v>
      </c>
      <c r="DQ54">
        <v>264</v>
      </c>
      <c r="DR54">
        <v>339</v>
      </c>
      <c r="DS54">
        <v>75.2</v>
      </c>
      <c r="DT54">
        <v>12.2</v>
      </c>
      <c r="DU54">
        <v>18.4</v>
      </c>
      <c r="DV54">
        <v>0.33</v>
      </c>
      <c r="DW54">
        <v>0.64</v>
      </c>
      <c r="DY54" s="62">
        <v>4</v>
      </c>
      <c r="DZ54">
        <v>8</v>
      </c>
      <c r="EA54">
        <v>39</v>
      </c>
      <c r="EB54">
        <v>1.7</v>
      </c>
      <c r="EC54">
        <v>0.3</v>
      </c>
      <c r="ED54">
        <v>6.3</v>
      </c>
      <c r="EE54">
        <v>118</v>
      </c>
      <c r="EF54">
        <v>0.92</v>
      </c>
      <c r="EG54">
        <f t="shared" si="19"/>
        <v>0.937931034482759</v>
      </c>
    </row>
    <row r="55" s="45" customFormat="1" spans="1:137">
      <c r="A55" s="45" t="s">
        <v>166</v>
      </c>
      <c r="B55" s="45">
        <v>922431</v>
      </c>
      <c r="C55" s="45">
        <v>1</v>
      </c>
      <c r="D55" s="45">
        <v>70</v>
      </c>
      <c r="E55" s="72">
        <v>1.74</v>
      </c>
      <c r="F55" s="45">
        <v>90</v>
      </c>
      <c r="G55" s="72">
        <v>29.73</v>
      </c>
      <c r="H55" s="73">
        <v>107</v>
      </c>
      <c r="I55" s="74"/>
      <c r="J55" s="75"/>
      <c r="K55" s="75"/>
      <c r="L55" s="75"/>
      <c r="M55" s="75"/>
      <c r="N55" s="75"/>
      <c r="O55" s="75"/>
      <c r="P55" s="75"/>
      <c r="Q55" s="75"/>
      <c r="R55" s="76"/>
      <c r="S55" s="72">
        <v>30.2</v>
      </c>
      <c r="W55" s="77">
        <f t="shared" si="6"/>
        <v>36.55</v>
      </c>
      <c r="X55" s="78">
        <v>43843</v>
      </c>
      <c r="Y55" s="78">
        <v>43832</v>
      </c>
      <c r="Z55" s="78">
        <v>43843</v>
      </c>
      <c r="AA55" s="79">
        <v>3</v>
      </c>
      <c r="AB55" s="79">
        <v>11</v>
      </c>
      <c r="AC55" s="45" t="s">
        <v>167</v>
      </c>
      <c r="AD55" s="45">
        <v>13802191675</v>
      </c>
      <c r="AE55" s="45">
        <v>1</v>
      </c>
      <c r="AF55" s="45">
        <v>1</v>
      </c>
      <c r="AG55" s="45">
        <v>1</v>
      </c>
      <c r="AH55" s="45">
        <f>_xlfn.IFS(CF55&lt;34,1,CF55=34-51,2,CF55&gt;51,3)</f>
        <v>1</v>
      </c>
      <c r="AI55" s="45">
        <v>2</v>
      </c>
      <c r="AM55" s="45">
        <f t="shared" si="9"/>
        <v>12.3</v>
      </c>
      <c r="AN55" s="45">
        <f t="shared" si="10"/>
        <v>81</v>
      </c>
      <c r="AP55" s="79"/>
      <c r="AQ55" s="45">
        <v>1</v>
      </c>
      <c r="AS55" s="45">
        <v>5.67</v>
      </c>
      <c r="AT55" s="45">
        <v>3.86</v>
      </c>
      <c r="AU55" s="45">
        <v>114</v>
      </c>
      <c r="AV55" s="45">
        <v>116</v>
      </c>
      <c r="AW55" s="45">
        <v>3.71</v>
      </c>
      <c r="AX55" s="45">
        <v>0.91</v>
      </c>
      <c r="AY55" s="45">
        <v>0.55</v>
      </c>
      <c r="AZ55" s="45">
        <f t="shared" si="13"/>
        <v>4.07692307692308</v>
      </c>
      <c r="BA55" s="45">
        <f t="shared" si="14"/>
        <v>127.472527472527</v>
      </c>
      <c r="BB55" s="45">
        <f t="shared" si="15"/>
        <v>1.65454545454545</v>
      </c>
      <c r="BE55" s="72"/>
      <c r="BX55" s="45">
        <v>65</v>
      </c>
      <c r="BY55" s="80">
        <v>32</v>
      </c>
      <c r="BZ55" s="45">
        <v>33</v>
      </c>
      <c r="CA55" s="45">
        <v>47</v>
      </c>
      <c r="CB55" s="45">
        <v>36</v>
      </c>
      <c r="CC55" s="45">
        <v>62</v>
      </c>
      <c r="CD55" s="45">
        <v>128</v>
      </c>
      <c r="CE55" s="45">
        <v>155</v>
      </c>
      <c r="CF55" s="45">
        <v>12.3</v>
      </c>
      <c r="CG55" s="45">
        <v>4.3</v>
      </c>
      <c r="CH55" s="75">
        <f t="shared" si="16"/>
        <v>1.30555555555556</v>
      </c>
      <c r="CI55" s="75">
        <f t="shared" si="17"/>
        <v>0.484375</v>
      </c>
      <c r="CJ55" s="75">
        <f t="shared" si="18"/>
        <v>2.86046511627907</v>
      </c>
      <c r="CO55" s="45">
        <v>4.9</v>
      </c>
      <c r="CP55" s="45">
        <v>81</v>
      </c>
      <c r="CQ55" s="45">
        <v>363</v>
      </c>
      <c r="CR55" s="45">
        <v>9.9</v>
      </c>
      <c r="CS55" s="45">
        <v>2.1</v>
      </c>
      <c r="CT55" s="45">
        <v>4.3</v>
      </c>
      <c r="CU55" s="45">
        <v>138</v>
      </c>
      <c r="CV55" s="45">
        <v>105</v>
      </c>
      <c r="CW55" s="45">
        <v>28</v>
      </c>
      <c r="CX55" s="45">
        <v>9.3</v>
      </c>
      <c r="DY55" s="79"/>
      <c r="EG55" s="45">
        <f t="shared" si="19"/>
        <v>3.03225806451613</v>
      </c>
    </row>
    <row r="56" s="45" customFormat="1" spans="1:137">
      <c r="A56" s="45" t="s">
        <v>169</v>
      </c>
      <c r="B56" s="45">
        <v>1070369</v>
      </c>
      <c r="C56" s="45">
        <v>2</v>
      </c>
      <c r="D56" s="45">
        <v>66</v>
      </c>
      <c r="E56" s="72">
        <v>1.6</v>
      </c>
      <c r="F56" s="45">
        <v>65</v>
      </c>
      <c r="G56" s="72">
        <v>25.4</v>
      </c>
      <c r="H56" s="73">
        <v>89</v>
      </c>
      <c r="I56" s="74"/>
      <c r="J56" s="75"/>
      <c r="K56" s="75"/>
      <c r="L56" s="75"/>
      <c r="M56" s="75"/>
      <c r="N56" s="75"/>
      <c r="O56" s="75"/>
      <c r="P56" s="75"/>
      <c r="Q56" s="75"/>
      <c r="R56" s="76"/>
      <c r="S56" s="72">
        <v>12</v>
      </c>
      <c r="U56" s="45">
        <v>0</v>
      </c>
      <c r="V56" s="45">
        <v>1</v>
      </c>
      <c r="W56" s="77">
        <f t="shared" si="6"/>
        <v>33.3</v>
      </c>
      <c r="X56" s="78">
        <v>43843</v>
      </c>
      <c r="Y56" s="78">
        <v>43832</v>
      </c>
      <c r="Z56" s="78">
        <v>43843</v>
      </c>
      <c r="AA56" s="79">
        <v>1</v>
      </c>
      <c r="AB56" s="79">
        <v>11</v>
      </c>
      <c r="AC56" s="45" t="s">
        <v>167</v>
      </c>
      <c r="AD56" s="45">
        <v>13802191675</v>
      </c>
      <c r="AE56" s="45">
        <v>1</v>
      </c>
      <c r="AF56" s="45">
        <v>1</v>
      </c>
      <c r="AG56" s="45">
        <v>1</v>
      </c>
      <c r="AH56" s="45">
        <f>_xlfn.IFS(CF56&lt;34,1,CF56=34-51,2,CF56&gt;51,3)</f>
        <v>1</v>
      </c>
      <c r="AI56" s="45">
        <v>2</v>
      </c>
      <c r="AJ56" s="45">
        <f>_xlfn.IFS(BS56&lt;1.7,1,BS56=1.7-2.3,2,BS56&gt;2.3,3)</f>
        <v>1</v>
      </c>
      <c r="AK56" s="45">
        <f t="shared" ref="AK56:AK70" si="45">AF56+AG56+AH56+AI56+AJ56</f>
        <v>6</v>
      </c>
      <c r="AL56" s="45">
        <v>1</v>
      </c>
      <c r="AM56" s="45">
        <f t="shared" si="9"/>
        <v>12</v>
      </c>
      <c r="AN56" s="45">
        <f t="shared" si="10"/>
        <v>45</v>
      </c>
      <c r="AO56" s="45">
        <f t="shared" ref="AO56:AO70" si="46">BS56</f>
        <v>1.19</v>
      </c>
      <c r="AP56" s="79">
        <f t="shared" ref="AP56:AP70" si="47">LN(IF(CF56/17.1&gt;1,CF56/17.1,1))*3.8+LN(IF(CP56/88.4&gt;1,CP56/88.4,1))*9.6+11.2*LN(BS56)+6.4*AQ56</f>
        <v>8.34827703978251</v>
      </c>
      <c r="AQ56" s="45">
        <v>1</v>
      </c>
      <c r="AR56" s="45">
        <v>1</v>
      </c>
      <c r="AS56" s="45">
        <v>4.69</v>
      </c>
      <c r="AT56" s="45">
        <v>2.73</v>
      </c>
      <c r="AU56" s="45">
        <v>89</v>
      </c>
      <c r="AV56" s="45">
        <v>49</v>
      </c>
      <c r="AW56" s="45">
        <v>3.36</v>
      </c>
      <c r="AX56" s="45">
        <v>1.06</v>
      </c>
      <c r="AY56" s="45">
        <v>0.22</v>
      </c>
      <c r="AZ56" s="45">
        <f t="shared" si="13"/>
        <v>3.16981132075472</v>
      </c>
      <c r="BA56" s="45">
        <f t="shared" si="14"/>
        <v>46.2264150943396</v>
      </c>
      <c r="BB56" s="45">
        <f t="shared" si="15"/>
        <v>4.81818181818182</v>
      </c>
      <c r="BC56" s="45">
        <v>15.44</v>
      </c>
      <c r="BD56" s="45">
        <v>81.72</v>
      </c>
      <c r="BE56" s="72">
        <v>3.53</v>
      </c>
      <c r="BF56" s="45">
        <v>6.35</v>
      </c>
      <c r="BG56" s="45">
        <v>12.5</v>
      </c>
      <c r="BI56" s="45">
        <v>99.77</v>
      </c>
      <c r="BR56" s="45">
        <v>13.1</v>
      </c>
      <c r="BS56" s="45">
        <v>1.19</v>
      </c>
      <c r="BT56" s="45">
        <v>28.2</v>
      </c>
      <c r="BU56" s="45">
        <v>32</v>
      </c>
      <c r="BV56" s="45">
        <v>1.82</v>
      </c>
      <c r="BW56" s="45">
        <v>4892</v>
      </c>
      <c r="BX56" s="45">
        <v>60</v>
      </c>
      <c r="BY56" s="80">
        <v>28</v>
      </c>
      <c r="BZ56" s="45">
        <v>32</v>
      </c>
      <c r="CA56" s="45">
        <v>13</v>
      </c>
      <c r="CB56" s="45">
        <v>12</v>
      </c>
      <c r="CC56" s="45">
        <v>53</v>
      </c>
      <c r="CD56" s="45">
        <v>19</v>
      </c>
      <c r="CE56" s="45">
        <v>186</v>
      </c>
      <c r="CF56" s="45">
        <v>12</v>
      </c>
      <c r="CG56" s="45">
        <v>5.5</v>
      </c>
      <c r="CH56" s="75">
        <f t="shared" si="16"/>
        <v>1.08333333333333</v>
      </c>
      <c r="CI56" s="75">
        <f t="shared" si="17"/>
        <v>2.78947368421053</v>
      </c>
      <c r="CJ56" s="75">
        <f t="shared" si="18"/>
        <v>2.18181818181818</v>
      </c>
      <c r="CO56" s="45">
        <v>3.7</v>
      </c>
      <c r="CP56" s="45">
        <v>45</v>
      </c>
      <c r="CQ56" s="45">
        <v>200</v>
      </c>
      <c r="CR56" s="45">
        <v>8.1</v>
      </c>
      <c r="CS56" s="45">
        <v>1.82</v>
      </c>
      <c r="CT56" s="45">
        <v>3.8</v>
      </c>
      <c r="CU56" s="45">
        <v>149</v>
      </c>
      <c r="CV56" s="45">
        <v>119</v>
      </c>
      <c r="CW56" s="45">
        <v>28</v>
      </c>
      <c r="CX56" s="45">
        <v>5.8</v>
      </c>
      <c r="DH56" s="45">
        <v>49.8</v>
      </c>
      <c r="DI56" s="45">
        <v>4.4</v>
      </c>
      <c r="DJ56" s="45">
        <v>8.5</v>
      </c>
      <c r="DK56" s="45">
        <v>5.6</v>
      </c>
      <c r="DL56" s="45">
        <v>5.5</v>
      </c>
      <c r="DM56" s="45">
        <v>26.4</v>
      </c>
      <c r="DN56" s="45">
        <v>0.98</v>
      </c>
      <c r="DO56" s="45">
        <v>1</v>
      </c>
      <c r="DP56" s="45">
        <v>1730</v>
      </c>
      <c r="DQ56" s="45">
        <v>370</v>
      </c>
      <c r="DR56" s="45">
        <v>169</v>
      </c>
      <c r="DS56" s="45">
        <v>63.6</v>
      </c>
      <c r="DT56" s="45">
        <v>14.8</v>
      </c>
      <c r="DU56" s="45">
        <v>27.5</v>
      </c>
      <c r="DW56" s="45">
        <v>0.24</v>
      </c>
      <c r="DY56" s="79"/>
      <c r="EG56" s="45">
        <f t="shared" si="19"/>
        <v>0.981132075471698</v>
      </c>
    </row>
    <row r="57" spans="1:137">
      <c r="A57" t="s">
        <v>85</v>
      </c>
      <c r="B57">
        <v>1060027</v>
      </c>
      <c r="C57">
        <v>2</v>
      </c>
      <c r="D57">
        <v>38</v>
      </c>
      <c r="E57" s="54">
        <v>1.62</v>
      </c>
      <c r="F57">
        <v>84</v>
      </c>
      <c r="G57" s="54">
        <f t="shared" ref="G57:G67" si="48">F57/(E57*E57)</f>
        <v>32.0073159579332</v>
      </c>
      <c r="H57" s="81" t="s">
        <v>1571</v>
      </c>
      <c r="I57">
        <v>85.082</v>
      </c>
      <c r="J57">
        <v>126.8259</v>
      </c>
      <c r="K57">
        <v>60.8434</v>
      </c>
      <c r="L57">
        <v>3.8027</v>
      </c>
      <c r="M57" s="57">
        <f t="shared" ref="M57:M63" si="49">P57/O57</f>
        <v>0.0624997945545449</v>
      </c>
      <c r="N57" s="57">
        <f t="shared" ref="N57:N63" si="50">J57/(E57*E57)</f>
        <v>48.325674439872</v>
      </c>
      <c r="O57" s="57">
        <f t="shared" ref="O57:O63" si="51">K57/(E57*E57)</f>
        <v>23.1837372351776</v>
      </c>
      <c r="P57" s="57">
        <f t="shared" ref="P57:P63" si="52">L57/(E57*E57)</f>
        <v>1.44897881420515</v>
      </c>
      <c r="Q57" s="57">
        <f t="shared" ref="Q57:Q63" si="53">O57+P57</f>
        <v>24.6327160493828</v>
      </c>
      <c r="R57" s="58">
        <v>-1.04100652376514</v>
      </c>
      <c r="S57" s="54"/>
      <c r="T57">
        <v>4.745</v>
      </c>
      <c r="U57" s="64">
        <v>0</v>
      </c>
      <c r="V57" s="64">
        <v>1</v>
      </c>
      <c r="W57" s="60">
        <f t="shared" si="6"/>
        <v>39.15</v>
      </c>
      <c r="X57" s="61">
        <v>44170</v>
      </c>
      <c r="Y57" s="61">
        <v>43792</v>
      </c>
      <c r="Z57" s="61">
        <v>43804</v>
      </c>
      <c r="AA57" s="62">
        <v>2</v>
      </c>
      <c r="AB57" s="62">
        <f t="shared" ref="AB57:AB63" si="54">DATEDIF(Y57,Z57,"D")</f>
        <v>12</v>
      </c>
      <c r="AC57" t="s">
        <v>172</v>
      </c>
      <c r="AD57">
        <v>13820886306</v>
      </c>
      <c r="AE57">
        <v>1</v>
      </c>
      <c r="AF57">
        <v>1</v>
      </c>
      <c r="AG57">
        <v>1</v>
      </c>
      <c r="AH57">
        <v>2</v>
      </c>
      <c r="AI57">
        <f t="shared" ref="AI57:AI62" si="55">_xlfn.IFS(BY57&lt;28,1,BY57=28-35,2,BY57&gt;35,3)</f>
        <v>3</v>
      </c>
      <c r="AJ57">
        <v>2</v>
      </c>
      <c r="AK57">
        <f t="shared" si="45"/>
        <v>9</v>
      </c>
      <c r="AL57">
        <v>2</v>
      </c>
      <c r="AM57" s="1">
        <f t="shared" si="9"/>
        <v>35.2</v>
      </c>
      <c r="AN57" s="1">
        <f t="shared" si="10"/>
        <v>47</v>
      </c>
      <c r="AO57" s="1">
        <f t="shared" si="46"/>
        <v>1.92</v>
      </c>
      <c r="AP57" s="62">
        <f t="shared" si="47"/>
        <v>16.4495190362072</v>
      </c>
      <c r="AQ57">
        <v>1</v>
      </c>
      <c r="AR57">
        <v>2</v>
      </c>
      <c r="AS57">
        <v>2.56</v>
      </c>
      <c r="AT57">
        <v>3.54</v>
      </c>
      <c r="AU57">
        <v>116</v>
      </c>
      <c r="AV57">
        <v>139</v>
      </c>
      <c r="AW57">
        <v>1.67</v>
      </c>
      <c r="AX57">
        <v>0.43</v>
      </c>
      <c r="AY57">
        <v>0.39</v>
      </c>
      <c r="AZ57">
        <f t="shared" si="13"/>
        <v>3.88372093023256</v>
      </c>
      <c r="BA57">
        <f t="shared" si="14"/>
        <v>323.255813953488</v>
      </c>
      <c r="BB57">
        <f t="shared" si="15"/>
        <v>1.1025641025641</v>
      </c>
      <c r="BC57">
        <v>3.41</v>
      </c>
      <c r="BE57" s="54"/>
      <c r="BR57">
        <v>21</v>
      </c>
      <c r="BS57">
        <v>1.92</v>
      </c>
      <c r="BT57">
        <v>39.3</v>
      </c>
      <c r="BU57">
        <v>21</v>
      </c>
      <c r="BV57">
        <v>2.14</v>
      </c>
      <c r="BW57">
        <v>1713</v>
      </c>
      <c r="BX57">
        <v>66</v>
      </c>
      <c r="BY57" s="63">
        <v>37</v>
      </c>
      <c r="BZ57">
        <v>29</v>
      </c>
      <c r="CA57">
        <v>56</v>
      </c>
      <c r="CB57">
        <v>66</v>
      </c>
      <c r="CC57">
        <v>184</v>
      </c>
      <c r="CD57">
        <v>69</v>
      </c>
      <c r="CE57">
        <v>233</v>
      </c>
      <c r="CF57">
        <v>35.2</v>
      </c>
      <c r="CG57">
        <v>20.3</v>
      </c>
      <c r="CH57" s="57">
        <f t="shared" si="16"/>
        <v>0.848484848484849</v>
      </c>
      <c r="CI57" s="57">
        <f t="shared" si="17"/>
        <v>2.66666666666667</v>
      </c>
      <c r="CJ57" s="57">
        <f t="shared" si="18"/>
        <v>1.73399014778325</v>
      </c>
      <c r="CK57">
        <v>4.75</v>
      </c>
      <c r="CL57">
        <v>0.59</v>
      </c>
      <c r="CM57">
        <v>1.48</v>
      </c>
      <c r="CN57">
        <v>2.49</v>
      </c>
      <c r="CO57">
        <v>3.8</v>
      </c>
      <c r="CP57">
        <v>47</v>
      </c>
      <c r="CQ57">
        <v>260</v>
      </c>
      <c r="CS57">
        <v>2.1</v>
      </c>
      <c r="CT57">
        <v>4.1</v>
      </c>
      <c r="CU57">
        <v>137</v>
      </c>
      <c r="CV57">
        <v>107</v>
      </c>
      <c r="CW57">
        <v>24</v>
      </c>
      <c r="CX57">
        <v>10.1</v>
      </c>
      <c r="DY57" s="62"/>
      <c r="EG57">
        <f t="shared" si="19"/>
        <v>1.21739130434783</v>
      </c>
    </row>
    <row r="58" spans="1:137">
      <c r="A58" t="s">
        <v>174</v>
      </c>
      <c r="B58">
        <v>1063793</v>
      </c>
      <c r="C58">
        <v>2</v>
      </c>
      <c r="D58">
        <v>64</v>
      </c>
      <c r="E58" s="54">
        <v>1.6</v>
      </c>
      <c r="F58">
        <v>44</v>
      </c>
      <c r="G58" s="54">
        <f t="shared" si="48"/>
        <v>17.1875</v>
      </c>
      <c r="H58" s="55">
        <v>79</v>
      </c>
      <c r="I58" s="56">
        <v>78.793</v>
      </c>
      <c r="J58" s="57">
        <v>89.7091</v>
      </c>
      <c r="K58" s="57">
        <v>76.089</v>
      </c>
      <c r="L58" s="57">
        <v>31.0598</v>
      </c>
      <c r="M58" s="57">
        <f t="shared" si="49"/>
        <v>0.408203551104627</v>
      </c>
      <c r="N58" s="57">
        <f t="shared" si="50"/>
        <v>35.0426171875</v>
      </c>
      <c r="O58" s="57">
        <f t="shared" si="51"/>
        <v>29.722265625</v>
      </c>
      <c r="P58" s="57">
        <f t="shared" si="52"/>
        <v>12.132734375</v>
      </c>
      <c r="Q58" s="57">
        <f t="shared" si="53"/>
        <v>41.855</v>
      </c>
      <c r="R58" s="58">
        <v>-0.601069246435845</v>
      </c>
      <c r="S58" s="54">
        <v>11.5</v>
      </c>
      <c r="T58">
        <v>6.84</v>
      </c>
      <c r="U58" s="68">
        <v>6</v>
      </c>
      <c r="V58" s="68">
        <v>3</v>
      </c>
      <c r="W58" s="60">
        <f t="shared" si="6"/>
        <v>32.3</v>
      </c>
      <c r="X58" s="61">
        <v>44162</v>
      </c>
      <c r="Y58" s="61">
        <v>43785</v>
      </c>
      <c r="Z58" s="61">
        <v>43796</v>
      </c>
      <c r="AA58" s="62">
        <v>1</v>
      </c>
      <c r="AB58" s="62">
        <f t="shared" si="54"/>
        <v>11</v>
      </c>
      <c r="AC58" t="s">
        <v>175</v>
      </c>
      <c r="AD58">
        <v>15620009372</v>
      </c>
      <c r="AE58">
        <v>1</v>
      </c>
      <c r="AF58">
        <v>1</v>
      </c>
      <c r="AG58">
        <v>3</v>
      </c>
      <c r="AH58">
        <v>2</v>
      </c>
      <c r="AI58">
        <f t="shared" si="55"/>
        <v>1</v>
      </c>
      <c r="AJ58">
        <f>_xlfn.IFS(BS58&lt;1.7,1,BS58=1.7-2.3,2,BS58&gt;2.3,3)</f>
        <v>1</v>
      </c>
      <c r="AK58">
        <f t="shared" si="45"/>
        <v>8</v>
      </c>
      <c r="AL58">
        <v>2</v>
      </c>
      <c r="AM58" s="1">
        <f t="shared" si="9"/>
        <v>43.9</v>
      </c>
      <c r="AN58" s="1">
        <f t="shared" si="10"/>
        <v>52</v>
      </c>
      <c r="AO58" s="1">
        <f t="shared" si="46"/>
        <v>1.12</v>
      </c>
      <c r="AP58" s="62">
        <f t="shared" si="47"/>
        <v>4.85205753041398</v>
      </c>
      <c r="AQ58">
        <v>0</v>
      </c>
      <c r="AR58">
        <v>1</v>
      </c>
      <c r="AS58">
        <v>4.36</v>
      </c>
      <c r="AT58">
        <v>2.57</v>
      </c>
      <c r="AU58">
        <v>80</v>
      </c>
      <c r="AV58">
        <v>110</v>
      </c>
      <c r="AW58">
        <v>2.65</v>
      </c>
      <c r="AX58">
        <v>1.06</v>
      </c>
      <c r="AY58">
        <v>0.52</v>
      </c>
      <c r="AZ58">
        <f t="shared" si="13"/>
        <v>2.5</v>
      </c>
      <c r="BA58">
        <f t="shared" si="14"/>
        <v>103.77358490566</v>
      </c>
      <c r="BB58">
        <f t="shared" si="15"/>
        <v>2.03846153846154</v>
      </c>
      <c r="BE58" s="54"/>
      <c r="BR58">
        <v>12.2</v>
      </c>
      <c r="BS58">
        <v>1.12</v>
      </c>
      <c r="BT58">
        <v>31</v>
      </c>
      <c r="BU58">
        <v>25.3</v>
      </c>
      <c r="BV58">
        <v>1.67</v>
      </c>
      <c r="BW58">
        <v>1225</v>
      </c>
      <c r="BX58">
        <v>78</v>
      </c>
      <c r="BY58" s="63">
        <v>27</v>
      </c>
      <c r="BZ58">
        <v>51</v>
      </c>
      <c r="CA58">
        <v>67</v>
      </c>
      <c r="CB58">
        <v>102</v>
      </c>
      <c r="CC58">
        <v>295</v>
      </c>
      <c r="CD58">
        <v>136</v>
      </c>
      <c r="CE58">
        <v>185</v>
      </c>
      <c r="CF58">
        <v>43.9</v>
      </c>
      <c r="CG58">
        <v>42.8</v>
      </c>
      <c r="CH58" s="57">
        <f t="shared" si="16"/>
        <v>0.656862745098039</v>
      </c>
      <c r="CI58" s="57">
        <f t="shared" si="17"/>
        <v>2.16911764705882</v>
      </c>
      <c r="CJ58" s="57">
        <f t="shared" si="18"/>
        <v>1.02570093457944</v>
      </c>
      <c r="CO58">
        <v>4.3</v>
      </c>
      <c r="CP58">
        <v>52</v>
      </c>
      <c r="CQ58">
        <v>219</v>
      </c>
      <c r="CR58">
        <v>5.6</v>
      </c>
      <c r="CS58">
        <v>2.08</v>
      </c>
      <c r="CT58">
        <v>4.1</v>
      </c>
      <c r="CU58">
        <v>138</v>
      </c>
      <c r="CV58">
        <v>104</v>
      </c>
      <c r="CW58">
        <v>28</v>
      </c>
      <c r="CX58">
        <v>10.1</v>
      </c>
      <c r="DY58" s="62"/>
      <c r="EG58">
        <f t="shared" si="19"/>
        <v>0.908474576271186</v>
      </c>
    </row>
    <row r="59" spans="1:137">
      <c r="A59" t="s">
        <v>177</v>
      </c>
      <c r="B59">
        <v>808456</v>
      </c>
      <c r="C59">
        <v>1</v>
      </c>
      <c r="D59">
        <v>40</v>
      </c>
      <c r="E59" s="54">
        <v>1.74</v>
      </c>
      <c r="F59">
        <v>74</v>
      </c>
      <c r="G59" s="54">
        <f t="shared" si="48"/>
        <v>24.441802087462</v>
      </c>
      <c r="H59" s="55">
        <v>94</v>
      </c>
      <c r="I59" s="56"/>
      <c r="J59" s="57"/>
      <c r="K59" s="57"/>
      <c r="L59" s="57"/>
      <c r="M59" s="57"/>
      <c r="N59" s="57"/>
      <c r="O59" s="57"/>
      <c r="P59" s="57"/>
      <c r="Q59" s="57"/>
      <c r="R59" s="58"/>
      <c r="S59" s="54">
        <v>47.1</v>
      </c>
      <c r="T59">
        <v>5.605</v>
      </c>
      <c r="U59" s="64">
        <v>0</v>
      </c>
      <c r="V59" s="64">
        <v>1</v>
      </c>
      <c r="W59" s="60">
        <f t="shared" si="6"/>
        <v>48.2</v>
      </c>
      <c r="X59" s="61">
        <v>43796</v>
      </c>
      <c r="Y59" s="61">
        <v>43791</v>
      </c>
      <c r="Z59" s="61">
        <v>43796</v>
      </c>
      <c r="AA59" s="62">
        <v>1</v>
      </c>
      <c r="AB59" s="62">
        <f t="shared" si="54"/>
        <v>5</v>
      </c>
      <c r="AC59" t="s">
        <v>178</v>
      </c>
      <c r="AD59">
        <v>15132710836</v>
      </c>
      <c r="AE59">
        <v>1</v>
      </c>
      <c r="AF59">
        <v>1</v>
      </c>
      <c r="AG59">
        <v>2</v>
      </c>
      <c r="AH59">
        <f>_xlfn.IFS(CF59&lt;34,1,CF59=34-51,2,CF59&gt;51,3)</f>
        <v>1</v>
      </c>
      <c r="AI59">
        <f t="shared" si="55"/>
        <v>3</v>
      </c>
      <c r="AJ59">
        <f>_xlfn.IFS(BS59&lt;1.7,1,BS59=1.7-2.3,2,BS59&gt;2.3,3)</f>
        <v>1</v>
      </c>
      <c r="AK59">
        <f t="shared" si="45"/>
        <v>8</v>
      </c>
      <c r="AL59">
        <v>2</v>
      </c>
      <c r="AM59" s="1">
        <f t="shared" si="9"/>
        <v>18.2</v>
      </c>
      <c r="AN59" s="1">
        <f t="shared" si="10"/>
        <v>59</v>
      </c>
      <c r="AO59" s="1">
        <f t="shared" si="46"/>
        <v>1.44</v>
      </c>
      <c r="AP59" s="62">
        <f t="shared" si="47"/>
        <v>10.7209067683663</v>
      </c>
      <c r="AQ59">
        <v>1</v>
      </c>
      <c r="AR59">
        <v>1</v>
      </c>
      <c r="AS59">
        <v>2.8</v>
      </c>
      <c r="AT59">
        <v>4.52</v>
      </c>
      <c r="AU59">
        <v>87</v>
      </c>
      <c r="AV59">
        <v>66</v>
      </c>
      <c r="AW59">
        <v>2.1</v>
      </c>
      <c r="AX59">
        <v>0.44</v>
      </c>
      <c r="AY59">
        <v>0.21</v>
      </c>
      <c r="AZ59">
        <f t="shared" si="13"/>
        <v>4.77272727272727</v>
      </c>
      <c r="BA59">
        <f t="shared" si="14"/>
        <v>150</v>
      </c>
      <c r="BB59">
        <f t="shared" si="15"/>
        <v>2.0952380952381</v>
      </c>
      <c r="BC59">
        <v>1.12</v>
      </c>
      <c r="BD59" t="s">
        <v>3426</v>
      </c>
      <c r="BE59" s="54">
        <v>2.19</v>
      </c>
      <c r="BF59">
        <v>3.98</v>
      </c>
      <c r="BM59">
        <v>0.322</v>
      </c>
      <c r="BR59">
        <v>15.7</v>
      </c>
      <c r="BS59">
        <v>1.44</v>
      </c>
      <c r="BT59">
        <v>33</v>
      </c>
      <c r="BU59">
        <v>22.9</v>
      </c>
      <c r="BV59">
        <v>1.55</v>
      </c>
      <c r="BW59">
        <v>410</v>
      </c>
      <c r="BX59">
        <v>76</v>
      </c>
      <c r="BY59" s="63">
        <v>46</v>
      </c>
      <c r="BZ59">
        <v>30</v>
      </c>
      <c r="CA59">
        <v>19</v>
      </c>
      <c r="CB59">
        <v>24</v>
      </c>
      <c r="CC59">
        <v>57</v>
      </c>
      <c r="CD59">
        <v>23</v>
      </c>
      <c r="CE59">
        <v>138</v>
      </c>
      <c r="CF59">
        <v>18.2</v>
      </c>
      <c r="CG59">
        <v>7.7</v>
      </c>
      <c r="CH59" s="57">
        <f t="shared" si="16"/>
        <v>0.791666666666667</v>
      </c>
      <c r="CI59" s="57">
        <f t="shared" si="17"/>
        <v>2.47826086956522</v>
      </c>
      <c r="CJ59" s="57">
        <f t="shared" si="18"/>
        <v>2.36363636363636</v>
      </c>
      <c r="CK59">
        <v>2.24</v>
      </c>
      <c r="CL59">
        <v>0.62</v>
      </c>
      <c r="CM59">
        <v>1</v>
      </c>
      <c r="CN59">
        <v>0.84</v>
      </c>
      <c r="CO59">
        <v>5</v>
      </c>
      <c r="CP59">
        <v>59</v>
      </c>
      <c r="CQ59">
        <v>262</v>
      </c>
      <c r="CR59">
        <v>4.8</v>
      </c>
      <c r="CS59">
        <v>2.19</v>
      </c>
      <c r="CT59">
        <v>3.9</v>
      </c>
      <c r="CU59">
        <v>143</v>
      </c>
      <c r="CV59">
        <v>108</v>
      </c>
      <c r="CW59">
        <v>29</v>
      </c>
      <c r="CX59">
        <v>9.9</v>
      </c>
      <c r="DE59">
        <v>44.52</v>
      </c>
      <c r="DF59">
        <v>11.48</v>
      </c>
      <c r="DG59">
        <v>3.073</v>
      </c>
      <c r="DY59" s="62"/>
      <c r="EG59">
        <f t="shared" si="19"/>
        <v>1.33333333333333</v>
      </c>
    </row>
    <row r="60" spans="1:137">
      <c r="A60" t="s">
        <v>179</v>
      </c>
      <c r="B60">
        <v>1064060</v>
      </c>
      <c r="C60">
        <v>2</v>
      </c>
      <c r="D60">
        <v>51</v>
      </c>
      <c r="E60" s="54">
        <v>1.58</v>
      </c>
      <c r="F60">
        <v>68</v>
      </c>
      <c r="G60" s="54">
        <f t="shared" si="48"/>
        <v>27.2392244832559</v>
      </c>
      <c r="H60" s="55">
        <v>97</v>
      </c>
      <c r="I60" s="56">
        <v>96.143</v>
      </c>
      <c r="J60" s="57">
        <v>122.4524</v>
      </c>
      <c r="K60" s="57">
        <v>90.6196</v>
      </c>
      <c r="L60" s="57">
        <v>21.9238</v>
      </c>
      <c r="M60" s="57">
        <f t="shared" si="49"/>
        <v>0.241932208926104</v>
      </c>
      <c r="N60" s="57">
        <f t="shared" si="50"/>
        <v>49.0515942957859</v>
      </c>
      <c r="O60" s="57">
        <f t="shared" si="51"/>
        <v>36.3001121615126</v>
      </c>
      <c r="P60" s="57">
        <f t="shared" si="52"/>
        <v>8.78216631950008</v>
      </c>
      <c r="Q60" s="57">
        <f t="shared" si="53"/>
        <v>45.0822784810127</v>
      </c>
      <c r="R60" s="58">
        <v>-0.698080877313228</v>
      </c>
      <c r="S60" s="54">
        <v>24.3</v>
      </c>
      <c r="T60">
        <v>6.55</v>
      </c>
      <c r="U60" s="65">
        <v>1</v>
      </c>
      <c r="V60" s="65">
        <v>2</v>
      </c>
      <c r="W60" s="60">
        <f t="shared" si="6"/>
        <v>33.8</v>
      </c>
      <c r="X60" s="61">
        <v>43801</v>
      </c>
      <c r="Y60" s="61">
        <v>43787</v>
      </c>
      <c r="Z60" s="61">
        <v>43801</v>
      </c>
      <c r="AA60" s="62">
        <v>1</v>
      </c>
      <c r="AB60" s="62">
        <f t="shared" si="54"/>
        <v>14</v>
      </c>
      <c r="AC60" t="s">
        <v>180</v>
      </c>
      <c r="AD60">
        <v>18200642058</v>
      </c>
      <c r="AE60">
        <v>1</v>
      </c>
      <c r="AF60">
        <v>1</v>
      </c>
      <c r="AG60">
        <v>2</v>
      </c>
      <c r="AH60">
        <v>2</v>
      </c>
      <c r="AI60">
        <f t="shared" si="55"/>
        <v>1</v>
      </c>
      <c r="AJ60">
        <v>2</v>
      </c>
      <c r="AK60">
        <f t="shared" si="45"/>
        <v>8</v>
      </c>
      <c r="AL60">
        <v>2</v>
      </c>
      <c r="AM60" s="1">
        <f t="shared" si="9"/>
        <v>50.9</v>
      </c>
      <c r="AN60" s="1">
        <f t="shared" si="10"/>
        <v>54</v>
      </c>
      <c r="AO60" s="1">
        <f t="shared" si="46"/>
        <v>2.01</v>
      </c>
      <c r="AP60" s="62">
        <f t="shared" si="47"/>
        <v>18.3640898353769</v>
      </c>
      <c r="AQ60">
        <v>1</v>
      </c>
      <c r="AR60">
        <v>2</v>
      </c>
      <c r="AS60">
        <v>6.92</v>
      </c>
      <c r="AT60">
        <v>3.13</v>
      </c>
      <c r="AU60">
        <v>107</v>
      </c>
      <c r="AV60">
        <v>60</v>
      </c>
      <c r="AW60">
        <v>3.6</v>
      </c>
      <c r="AX60">
        <v>2.56</v>
      </c>
      <c r="AY60">
        <v>0.58</v>
      </c>
      <c r="AZ60">
        <f t="shared" si="13"/>
        <v>1.40625</v>
      </c>
      <c r="BA60">
        <f t="shared" si="14"/>
        <v>23.4375</v>
      </c>
      <c r="BB60">
        <f t="shared" si="15"/>
        <v>4.41379310344828</v>
      </c>
      <c r="BC60">
        <v>22.69</v>
      </c>
      <c r="BD60">
        <v>138.91</v>
      </c>
      <c r="BE60" s="54">
        <v>3.07</v>
      </c>
      <c r="BF60">
        <v>19.41</v>
      </c>
      <c r="BG60">
        <v>25.8</v>
      </c>
      <c r="BI60">
        <v>96</v>
      </c>
      <c r="BN60">
        <v>45</v>
      </c>
      <c r="BR60">
        <v>22</v>
      </c>
      <c r="BS60">
        <v>2.01</v>
      </c>
      <c r="BT60">
        <v>37.5</v>
      </c>
      <c r="BU60">
        <v>26.8</v>
      </c>
      <c r="BV60">
        <v>0.94</v>
      </c>
      <c r="BW60">
        <v>6286</v>
      </c>
      <c r="BX60">
        <v>63</v>
      </c>
      <c r="BY60" s="63">
        <v>21</v>
      </c>
      <c r="BZ60">
        <v>42</v>
      </c>
      <c r="CA60">
        <v>51</v>
      </c>
      <c r="CB60">
        <v>63</v>
      </c>
      <c r="CC60">
        <v>100</v>
      </c>
      <c r="CD60">
        <v>39</v>
      </c>
      <c r="CE60">
        <v>302</v>
      </c>
      <c r="CF60">
        <v>50.9</v>
      </c>
      <c r="CG60">
        <v>25.1</v>
      </c>
      <c r="CH60" s="57">
        <f t="shared" si="16"/>
        <v>0.80952380952381</v>
      </c>
      <c r="CI60" s="57">
        <f t="shared" si="17"/>
        <v>2.56410256410256</v>
      </c>
      <c r="CJ60" s="57">
        <f t="shared" si="18"/>
        <v>2.02788844621514</v>
      </c>
      <c r="CK60">
        <v>4.07</v>
      </c>
      <c r="CL60">
        <v>0.81</v>
      </c>
      <c r="CM60">
        <v>0.5</v>
      </c>
      <c r="CN60">
        <v>2.23</v>
      </c>
      <c r="CO60">
        <v>5.9</v>
      </c>
      <c r="CP60">
        <v>54</v>
      </c>
      <c r="CQ60">
        <v>415</v>
      </c>
      <c r="CR60">
        <v>4.1</v>
      </c>
      <c r="CS60">
        <v>1.82</v>
      </c>
      <c r="CT60">
        <v>2.4</v>
      </c>
      <c r="CU60">
        <v>141</v>
      </c>
      <c r="CV60">
        <v>104</v>
      </c>
      <c r="CW60">
        <v>35</v>
      </c>
      <c r="CX60">
        <v>4.4</v>
      </c>
      <c r="DD60">
        <v>41.9</v>
      </c>
      <c r="DH60">
        <v>38.4</v>
      </c>
      <c r="DI60">
        <v>2.9</v>
      </c>
      <c r="DJ60">
        <v>5.3</v>
      </c>
      <c r="DK60">
        <v>3.8</v>
      </c>
      <c r="DL60">
        <v>7.2</v>
      </c>
      <c r="DM60">
        <v>42.4</v>
      </c>
      <c r="DN60">
        <v>0.62</v>
      </c>
      <c r="DO60">
        <v>1</v>
      </c>
      <c r="DP60">
        <v>2510</v>
      </c>
      <c r="DQ60">
        <v>613</v>
      </c>
      <c r="DR60">
        <v>439</v>
      </c>
      <c r="DS60">
        <v>42.5</v>
      </c>
      <c r="DT60">
        <v>10.4</v>
      </c>
      <c r="DU60">
        <v>158</v>
      </c>
      <c r="DW60">
        <v>1.55</v>
      </c>
      <c r="DY60" s="62"/>
      <c r="EG60">
        <f t="shared" si="19"/>
        <v>2.04</v>
      </c>
    </row>
    <row r="61" spans="1:137">
      <c r="A61" t="s">
        <v>3105</v>
      </c>
      <c r="B61">
        <v>1062373</v>
      </c>
      <c r="C61">
        <v>2</v>
      </c>
      <c r="D61">
        <v>76</v>
      </c>
      <c r="E61" s="54">
        <v>1.52</v>
      </c>
      <c r="F61">
        <v>54</v>
      </c>
      <c r="G61" s="54">
        <f t="shared" si="48"/>
        <v>23.3725761772853</v>
      </c>
      <c r="H61" s="55">
        <v>78</v>
      </c>
      <c r="I61" s="56">
        <v>84.259</v>
      </c>
      <c r="J61" s="57">
        <v>107.6307</v>
      </c>
      <c r="K61" s="57">
        <v>120.3628</v>
      </c>
      <c r="L61" s="57">
        <v>39.8696</v>
      </c>
      <c r="M61" s="57">
        <f t="shared" si="49"/>
        <v>0.331245202005935</v>
      </c>
      <c r="N61" s="57">
        <f t="shared" si="50"/>
        <v>46.5853099030471</v>
      </c>
      <c r="O61" s="57">
        <f t="shared" si="51"/>
        <v>52.0960872576177</v>
      </c>
      <c r="P61" s="57">
        <f t="shared" si="52"/>
        <v>17.2565789473684</v>
      </c>
      <c r="Q61" s="57">
        <f t="shared" si="53"/>
        <v>69.3526662049861</v>
      </c>
      <c r="R61" s="58">
        <v>-0.439477649422401</v>
      </c>
      <c r="S61" s="54">
        <v>8.8</v>
      </c>
      <c r="T61">
        <v>0.01</v>
      </c>
      <c r="U61" s="68">
        <v>5</v>
      </c>
      <c r="V61" s="68">
        <v>3</v>
      </c>
      <c r="W61" s="60">
        <f t="shared" si="6"/>
        <v>30.3</v>
      </c>
      <c r="X61" s="61">
        <v>43787</v>
      </c>
      <c r="Y61" s="61">
        <v>43776</v>
      </c>
      <c r="Z61" s="69">
        <v>43788</v>
      </c>
      <c r="AA61" s="62">
        <v>1</v>
      </c>
      <c r="AB61" s="62">
        <f t="shared" si="54"/>
        <v>12</v>
      </c>
      <c r="AC61" t="s">
        <v>3298</v>
      </c>
      <c r="AD61">
        <v>15022463922</v>
      </c>
      <c r="AE61">
        <v>0</v>
      </c>
      <c r="AF61">
        <v>1</v>
      </c>
      <c r="AG61">
        <v>3</v>
      </c>
      <c r="AH61">
        <v>2</v>
      </c>
      <c r="AI61">
        <f t="shared" si="55"/>
        <v>1</v>
      </c>
      <c r="AJ61">
        <f>_xlfn.IFS(BS61&lt;1.7,1,BS61=1.7-2.3,2,BS61&gt;2.3,3)</f>
        <v>1</v>
      </c>
      <c r="AK61">
        <f t="shared" si="45"/>
        <v>8</v>
      </c>
      <c r="AL61">
        <v>2</v>
      </c>
      <c r="AM61" s="1">
        <f t="shared" si="9"/>
        <v>38.4</v>
      </c>
      <c r="AN61" s="1">
        <f t="shared" si="10"/>
        <v>86</v>
      </c>
      <c r="AO61" s="1">
        <f t="shared" si="46"/>
        <v>1.61</v>
      </c>
      <c r="AP61" s="62">
        <f t="shared" si="47"/>
        <v>14.8079429898826</v>
      </c>
      <c r="AQ61">
        <v>1</v>
      </c>
      <c r="AR61">
        <v>2</v>
      </c>
      <c r="AS61">
        <v>4.87</v>
      </c>
      <c r="AT61">
        <v>3.34</v>
      </c>
      <c r="AU61">
        <v>112</v>
      </c>
      <c r="AV61">
        <v>128</v>
      </c>
      <c r="AW61">
        <v>2.25</v>
      </c>
      <c r="AX61">
        <v>1.86</v>
      </c>
      <c r="AY61">
        <v>0.67</v>
      </c>
      <c r="AZ61">
        <f t="shared" si="13"/>
        <v>1.20967741935484</v>
      </c>
      <c r="BA61">
        <f t="shared" si="14"/>
        <v>68.8172043010753</v>
      </c>
      <c r="BB61">
        <f t="shared" si="15"/>
        <v>2.77611940298507</v>
      </c>
      <c r="BE61" s="54"/>
      <c r="BH61">
        <v>906.3</v>
      </c>
      <c r="BR61">
        <v>17.6</v>
      </c>
      <c r="BS61">
        <v>1.61</v>
      </c>
      <c r="BT61">
        <v>32.8</v>
      </c>
      <c r="BU61">
        <v>28.8</v>
      </c>
      <c r="BV61">
        <v>0.86</v>
      </c>
      <c r="BW61">
        <v>1726</v>
      </c>
      <c r="BX61">
        <v>57</v>
      </c>
      <c r="BY61" s="63">
        <v>21</v>
      </c>
      <c r="BZ61">
        <v>36</v>
      </c>
      <c r="CA61">
        <v>104</v>
      </c>
      <c r="CB61">
        <v>101</v>
      </c>
      <c r="CC61">
        <v>77</v>
      </c>
      <c r="CD61">
        <v>37</v>
      </c>
      <c r="CE61">
        <v>261.8</v>
      </c>
      <c r="CF61">
        <v>38.4</v>
      </c>
      <c r="CG61">
        <v>27.8</v>
      </c>
      <c r="CH61" s="57">
        <f t="shared" si="16"/>
        <v>1.02970297029703</v>
      </c>
      <c r="CI61" s="57">
        <f t="shared" si="17"/>
        <v>2.08108108108108</v>
      </c>
      <c r="CJ61" s="57">
        <f t="shared" si="18"/>
        <v>1.38129496402878</v>
      </c>
      <c r="CO61">
        <v>8.7</v>
      </c>
      <c r="CP61">
        <v>86</v>
      </c>
      <c r="CQ61">
        <v>422</v>
      </c>
      <c r="CR61">
        <v>4.4</v>
      </c>
      <c r="CS61">
        <v>1.89</v>
      </c>
      <c r="CT61">
        <v>3.7</v>
      </c>
      <c r="CU61">
        <v>141</v>
      </c>
      <c r="CV61">
        <v>104</v>
      </c>
      <c r="CW61">
        <v>35</v>
      </c>
      <c r="CX61">
        <v>5.7</v>
      </c>
      <c r="DH61">
        <v>47.2</v>
      </c>
      <c r="DI61">
        <v>2.5</v>
      </c>
      <c r="DJ61">
        <v>5.5</v>
      </c>
      <c r="DK61">
        <v>4</v>
      </c>
      <c r="DL61">
        <v>7.5</v>
      </c>
      <c r="DM61">
        <v>33.3</v>
      </c>
      <c r="DN61">
        <v>0.89</v>
      </c>
      <c r="DO61">
        <v>1</v>
      </c>
      <c r="DP61">
        <v>1860</v>
      </c>
      <c r="DQ61">
        <v>447</v>
      </c>
      <c r="DR61">
        <v>111</v>
      </c>
      <c r="DS61">
        <v>36.6</v>
      </c>
      <c r="DT61">
        <v>7.58</v>
      </c>
      <c r="DU61">
        <v>92.1</v>
      </c>
      <c r="DV61">
        <v>0.17</v>
      </c>
      <c r="DW61">
        <v>0.88</v>
      </c>
      <c r="DX61">
        <v>0.07</v>
      </c>
      <c r="DY61" s="62"/>
      <c r="DZ61">
        <v>9</v>
      </c>
      <c r="EA61">
        <v>57.4</v>
      </c>
      <c r="EB61">
        <v>1.6</v>
      </c>
      <c r="EC61">
        <v>3.09</v>
      </c>
      <c r="ED61">
        <v>4.6</v>
      </c>
      <c r="EE61">
        <v>109</v>
      </c>
      <c r="EF61">
        <v>1.23</v>
      </c>
      <c r="EG61">
        <f t="shared" si="19"/>
        <v>5.4025974025974</v>
      </c>
    </row>
    <row r="62" spans="1:137">
      <c r="A62" t="s">
        <v>3106</v>
      </c>
      <c r="B62">
        <v>1063663</v>
      </c>
      <c r="C62">
        <v>1</v>
      </c>
      <c r="D62">
        <v>64</v>
      </c>
      <c r="E62" s="54">
        <v>1.65</v>
      </c>
      <c r="F62">
        <v>82</v>
      </c>
      <c r="G62" s="54">
        <f t="shared" si="48"/>
        <v>30.119375573921</v>
      </c>
      <c r="H62" s="55">
        <v>107</v>
      </c>
      <c r="I62" s="56">
        <v>97.713</v>
      </c>
      <c r="J62" s="57">
        <v>171.3661</v>
      </c>
      <c r="K62" s="57">
        <v>141.7953</v>
      </c>
      <c r="L62" s="57">
        <v>181.8466</v>
      </c>
      <c r="M62" s="57">
        <f t="shared" si="49"/>
        <v>1.28245858642705</v>
      </c>
      <c r="N62" s="57">
        <f t="shared" si="50"/>
        <v>62.9443893480257</v>
      </c>
      <c r="O62" s="57">
        <f t="shared" si="51"/>
        <v>52.0827548209366</v>
      </c>
      <c r="P62" s="57">
        <f t="shared" si="52"/>
        <v>66.7939761248852</v>
      </c>
      <c r="Q62" s="57">
        <f t="shared" si="53"/>
        <v>118.876730945822</v>
      </c>
      <c r="R62" s="58">
        <v>-0.405184829572732</v>
      </c>
      <c r="S62" s="54">
        <v>24.3</v>
      </c>
      <c r="U62" s="68">
        <v>6</v>
      </c>
      <c r="V62" s="68">
        <v>3</v>
      </c>
      <c r="W62" s="60">
        <f t="shared" si="6"/>
        <v>31</v>
      </c>
      <c r="X62" s="61">
        <v>43797</v>
      </c>
      <c r="Y62" s="61">
        <v>43784</v>
      </c>
      <c r="Z62" s="61">
        <v>43797</v>
      </c>
      <c r="AA62" s="62">
        <v>1</v>
      </c>
      <c r="AB62" s="62">
        <f t="shared" si="54"/>
        <v>13</v>
      </c>
      <c r="AC62" t="s">
        <v>3299</v>
      </c>
      <c r="AD62">
        <v>18522077593</v>
      </c>
      <c r="AE62">
        <v>1</v>
      </c>
      <c r="AF62">
        <v>1</v>
      </c>
      <c r="AG62">
        <v>1</v>
      </c>
      <c r="AH62">
        <f>_xlfn.IFS(CF62&lt;34,1,CF62=34-51,2,CF62&gt;51,3)</f>
        <v>1</v>
      </c>
      <c r="AI62">
        <f t="shared" si="55"/>
        <v>1</v>
      </c>
      <c r="AJ62">
        <f>_xlfn.IFS(BS62&lt;1.7,1,BS62=1.7-2.3,2,BS62&gt;2.3,3)</f>
        <v>1</v>
      </c>
      <c r="AK62">
        <f t="shared" si="45"/>
        <v>5</v>
      </c>
      <c r="AL62">
        <v>1</v>
      </c>
      <c r="AM62" s="1">
        <f t="shared" si="9"/>
        <v>22.7</v>
      </c>
      <c r="AN62" s="1">
        <f t="shared" si="10"/>
        <v>67</v>
      </c>
      <c r="AO62" s="1">
        <f t="shared" si="46"/>
        <v>1.42</v>
      </c>
      <c r="AP62" s="62">
        <f t="shared" si="47"/>
        <v>5.00384551378672</v>
      </c>
      <c r="AQ62">
        <v>0</v>
      </c>
      <c r="AR62">
        <v>1</v>
      </c>
      <c r="AS62">
        <v>4.78</v>
      </c>
      <c r="AT62">
        <v>2.75</v>
      </c>
      <c r="AU62">
        <v>70</v>
      </c>
      <c r="AV62">
        <v>78</v>
      </c>
      <c r="AW62">
        <v>3.71</v>
      </c>
      <c r="AX62">
        <v>0.8</v>
      </c>
      <c r="AY62">
        <v>0.27</v>
      </c>
      <c r="AZ62">
        <f t="shared" si="13"/>
        <v>4.6375</v>
      </c>
      <c r="BA62">
        <f t="shared" si="14"/>
        <v>97.5</v>
      </c>
      <c r="BB62">
        <f t="shared" si="15"/>
        <v>2.96296296296296</v>
      </c>
      <c r="BC62">
        <v>5.23</v>
      </c>
      <c r="BD62">
        <v>26.47</v>
      </c>
      <c r="BE62" s="54">
        <v>2.15</v>
      </c>
      <c r="BF62">
        <v>3.88</v>
      </c>
      <c r="BM62">
        <v>1.249</v>
      </c>
      <c r="BN62">
        <v>15</v>
      </c>
      <c r="BR62">
        <v>15.6</v>
      </c>
      <c r="BS62">
        <v>1.42</v>
      </c>
      <c r="BT62">
        <v>28.1</v>
      </c>
      <c r="BU62">
        <v>27.1</v>
      </c>
      <c r="BV62">
        <v>1.3</v>
      </c>
      <c r="BW62">
        <v>1014</v>
      </c>
      <c r="BX62">
        <v>57</v>
      </c>
      <c r="BY62" s="63">
        <v>27</v>
      </c>
      <c r="BZ62">
        <v>30</v>
      </c>
      <c r="CA62">
        <v>16</v>
      </c>
      <c r="CB62">
        <v>15</v>
      </c>
      <c r="CC62">
        <v>63</v>
      </c>
      <c r="CD62">
        <v>81</v>
      </c>
      <c r="CE62">
        <v>132</v>
      </c>
      <c r="CF62">
        <v>22.7</v>
      </c>
      <c r="CG62">
        <v>8.5</v>
      </c>
      <c r="CH62" s="57">
        <f t="shared" si="16"/>
        <v>1.06666666666667</v>
      </c>
      <c r="CI62" s="57">
        <f t="shared" si="17"/>
        <v>0.777777777777778</v>
      </c>
      <c r="CJ62" s="57">
        <f t="shared" si="18"/>
        <v>2.67058823529412</v>
      </c>
      <c r="CK62">
        <v>2.55</v>
      </c>
      <c r="CL62">
        <v>0.92</v>
      </c>
      <c r="CM62">
        <v>0.71</v>
      </c>
      <c r="CN62">
        <v>1.24</v>
      </c>
      <c r="CO62">
        <v>9</v>
      </c>
      <c r="CP62">
        <v>67</v>
      </c>
      <c r="CQ62">
        <v>585</v>
      </c>
      <c r="CR62">
        <v>7.9</v>
      </c>
      <c r="CS62">
        <v>2.04</v>
      </c>
      <c r="CT62">
        <v>3.6</v>
      </c>
      <c r="CU62">
        <v>140</v>
      </c>
      <c r="CV62">
        <v>106</v>
      </c>
      <c r="CW62">
        <v>27</v>
      </c>
      <c r="CX62">
        <v>10.6</v>
      </c>
      <c r="DD62">
        <v>209</v>
      </c>
      <c r="DY62" s="62"/>
      <c r="EG62">
        <f t="shared" si="19"/>
        <v>1.01587301587302</v>
      </c>
    </row>
    <row r="63" spans="1:137">
      <c r="A63" t="s">
        <v>174</v>
      </c>
      <c r="B63">
        <v>1063793</v>
      </c>
      <c r="C63">
        <v>2</v>
      </c>
      <c r="D63">
        <v>64</v>
      </c>
      <c r="E63" s="54">
        <v>1.6</v>
      </c>
      <c r="F63">
        <v>44</v>
      </c>
      <c r="G63" s="54">
        <f t="shared" si="48"/>
        <v>17.1875</v>
      </c>
      <c r="H63" s="55">
        <v>79</v>
      </c>
      <c r="I63">
        <v>78.793</v>
      </c>
      <c r="J63">
        <v>89.7091</v>
      </c>
      <c r="K63">
        <v>76.089</v>
      </c>
      <c r="L63">
        <v>31.0598</v>
      </c>
      <c r="M63" s="57">
        <f t="shared" si="49"/>
        <v>0.408203551104627</v>
      </c>
      <c r="N63" s="57">
        <f t="shared" si="50"/>
        <v>35.0426171875</v>
      </c>
      <c r="O63" s="57">
        <f t="shared" si="51"/>
        <v>29.722265625</v>
      </c>
      <c r="P63" s="57">
        <f t="shared" si="52"/>
        <v>12.132734375</v>
      </c>
      <c r="Q63" s="57">
        <f t="shared" si="53"/>
        <v>41.855</v>
      </c>
      <c r="R63" s="58">
        <v>-0.601069246435845</v>
      </c>
      <c r="S63" s="54">
        <v>11.5</v>
      </c>
      <c r="U63" s="68">
        <v>6</v>
      </c>
      <c r="V63" s="68">
        <v>3</v>
      </c>
      <c r="W63" s="60">
        <f t="shared" si="6"/>
        <v>35.05</v>
      </c>
      <c r="X63" s="61">
        <v>43805</v>
      </c>
      <c r="Y63" s="61">
        <v>43798</v>
      </c>
      <c r="Z63" s="61">
        <v>43805</v>
      </c>
      <c r="AA63" s="62">
        <v>2</v>
      </c>
      <c r="AB63" s="62">
        <f t="shared" si="54"/>
        <v>7</v>
      </c>
      <c r="AC63" t="s">
        <v>182</v>
      </c>
      <c r="AD63">
        <v>15620009372</v>
      </c>
      <c r="AE63">
        <v>1</v>
      </c>
      <c r="AF63">
        <v>1</v>
      </c>
      <c r="AG63">
        <v>1</v>
      </c>
      <c r="AH63">
        <v>2</v>
      </c>
      <c r="AI63">
        <v>2</v>
      </c>
      <c r="AJ63">
        <f>_xlfn.IFS(BS63&lt;1.7,1,BS63=1.7-2.3,2,BS63&gt;2.3,3)</f>
        <v>1</v>
      </c>
      <c r="AK63">
        <f t="shared" si="45"/>
        <v>7</v>
      </c>
      <c r="AL63">
        <v>2</v>
      </c>
      <c r="AM63" s="1">
        <f t="shared" si="9"/>
        <v>45</v>
      </c>
      <c r="AN63" s="1">
        <f t="shared" si="10"/>
        <v>52</v>
      </c>
      <c r="AO63" s="1">
        <f t="shared" si="46"/>
        <v>1.14</v>
      </c>
      <c r="AP63" s="62">
        <f t="shared" si="47"/>
        <v>5.14433583874621</v>
      </c>
      <c r="AQ63">
        <v>0</v>
      </c>
      <c r="AR63">
        <v>1</v>
      </c>
      <c r="AS63">
        <v>6.8</v>
      </c>
      <c r="AT63">
        <v>1.75</v>
      </c>
      <c r="AU63">
        <v>54</v>
      </c>
      <c r="AV63">
        <v>138</v>
      </c>
      <c r="AW63">
        <v>5.4</v>
      </c>
      <c r="AX63">
        <v>0.81</v>
      </c>
      <c r="AY63">
        <v>0.55</v>
      </c>
      <c r="AZ63">
        <f t="shared" si="13"/>
        <v>6.66666666666667</v>
      </c>
      <c r="BA63">
        <f t="shared" si="14"/>
        <v>170.37037037037</v>
      </c>
      <c r="BB63">
        <f t="shared" si="15"/>
        <v>1.47272727272727</v>
      </c>
      <c r="BE63" s="54"/>
      <c r="BR63">
        <v>12.5</v>
      </c>
      <c r="BS63">
        <v>1.14</v>
      </c>
      <c r="BT63">
        <v>29.2</v>
      </c>
      <c r="BU63">
        <v>23.3</v>
      </c>
      <c r="BV63">
        <v>1.83</v>
      </c>
      <c r="BW63">
        <v>547</v>
      </c>
      <c r="BX63">
        <v>76</v>
      </c>
      <c r="BY63" s="63">
        <v>31</v>
      </c>
      <c r="BZ63">
        <v>45</v>
      </c>
      <c r="CA63">
        <v>85</v>
      </c>
      <c r="CB63">
        <v>116</v>
      </c>
      <c r="CC63">
        <v>217</v>
      </c>
      <c r="CD63">
        <v>107</v>
      </c>
      <c r="CE63">
        <v>142</v>
      </c>
      <c r="CF63">
        <v>45</v>
      </c>
      <c r="CG63">
        <v>12.9</v>
      </c>
      <c r="CH63" s="57">
        <f t="shared" si="16"/>
        <v>0.732758620689655</v>
      </c>
      <c r="CI63" s="57">
        <f t="shared" si="17"/>
        <v>2.02803738317757</v>
      </c>
      <c r="CJ63" s="57">
        <f t="shared" si="18"/>
        <v>3.48837209302326</v>
      </c>
      <c r="CO63">
        <v>12.9</v>
      </c>
      <c r="CP63">
        <v>52</v>
      </c>
      <c r="CQ63">
        <v>311</v>
      </c>
      <c r="CS63">
        <v>2.1</v>
      </c>
      <c r="CT63">
        <v>4.4</v>
      </c>
      <c r="CU63">
        <v>137</v>
      </c>
      <c r="CV63">
        <v>104</v>
      </c>
      <c r="CW63">
        <v>22</v>
      </c>
      <c r="CX63">
        <v>15.4</v>
      </c>
      <c r="DY63" s="62"/>
      <c r="EG63">
        <f t="shared" si="19"/>
        <v>1.5668202764977</v>
      </c>
    </row>
    <row r="64" spans="1:137">
      <c r="A64" t="s">
        <v>184</v>
      </c>
      <c r="B64">
        <v>1070845</v>
      </c>
      <c r="C64">
        <v>2</v>
      </c>
      <c r="D64">
        <v>60</v>
      </c>
      <c r="E64" s="54">
        <v>1.6</v>
      </c>
      <c r="F64">
        <v>44</v>
      </c>
      <c r="G64" s="54">
        <f t="shared" si="48"/>
        <v>17.1875</v>
      </c>
      <c r="H64" s="55">
        <v>62</v>
      </c>
      <c r="I64" s="56"/>
      <c r="J64" s="57"/>
      <c r="K64" s="57"/>
      <c r="L64" s="57"/>
      <c r="M64" s="57"/>
      <c r="N64" s="57"/>
      <c r="O64" s="57"/>
      <c r="P64" s="57"/>
      <c r="Q64" s="57"/>
      <c r="R64" s="58"/>
      <c r="S64" s="54">
        <v>14.9</v>
      </c>
      <c r="T64">
        <v>3.8</v>
      </c>
      <c r="U64" s="65">
        <v>1</v>
      </c>
      <c r="V64" s="65">
        <v>2</v>
      </c>
      <c r="W64" s="60">
        <f t="shared" si="6"/>
        <v>37.9</v>
      </c>
      <c r="X64" s="61">
        <v>43833</v>
      </c>
      <c r="Y64" s="61">
        <v>43833</v>
      </c>
      <c r="Z64" s="61">
        <v>43846</v>
      </c>
      <c r="AA64" s="62">
        <v>1</v>
      </c>
      <c r="AB64" s="62">
        <v>13</v>
      </c>
      <c r="AC64" s="71" t="s">
        <v>185</v>
      </c>
      <c r="AD64">
        <v>13752226986</v>
      </c>
      <c r="AE64">
        <v>1</v>
      </c>
      <c r="AF64">
        <v>1</v>
      </c>
      <c r="AG64">
        <v>1</v>
      </c>
      <c r="AH64">
        <f>_xlfn.IFS(CF64&lt;34,1,CF64=34-51,2,CF64&gt;51,3)</f>
        <v>1</v>
      </c>
      <c r="AI64">
        <v>2</v>
      </c>
      <c r="AJ64">
        <f>_xlfn.IFS(BS64&lt;1.7,1,BS64=1.7-2.3,2,BS64&gt;2.3,3)</f>
        <v>1</v>
      </c>
      <c r="AK64">
        <f t="shared" si="45"/>
        <v>6</v>
      </c>
      <c r="AL64">
        <v>1</v>
      </c>
      <c r="AM64" s="1">
        <f t="shared" si="9"/>
        <v>22</v>
      </c>
      <c r="AN64" s="1">
        <f t="shared" si="10"/>
        <v>45</v>
      </c>
      <c r="AO64" s="1">
        <f t="shared" si="46"/>
        <v>0.97</v>
      </c>
      <c r="AP64" s="62">
        <f t="shared" si="47"/>
        <v>0.61632003760013</v>
      </c>
      <c r="AQ64">
        <v>0</v>
      </c>
      <c r="AR64">
        <v>1</v>
      </c>
      <c r="AS64">
        <v>3.01</v>
      </c>
      <c r="AT64">
        <v>3.57</v>
      </c>
      <c r="AU64">
        <v>120</v>
      </c>
      <c r="AV64">
        <v>54</v>
      </c>
      <c r="AW64">
        <v>1.27</v>
      </c>
      <c r="AX64">
        <v>1.38</v>
      </c>
      <c r="AY64">
        <v>0.24</v>
      </c>
      <c r="AZ64">
        <f t="shared" si="13"/>
        <v>0.920289855072464</v>
      </c>
      <c r="BA64">
        <f t="shared" si="14"/>
        <v>39.1304347826087</v>
      </c>
      <c r="BB64">
        <f t="shared" si="15"/>
        <v>5.75</v>
      </c>
      <c r="BC64">
        <v>3.43</v>
      </c>
      <c r="BD64">
        <v>140.99</v>
      </c>
      <c r="BE64" s="54">
        <v>1.89</v>
      </c>
      <c r="BF64" t="s">
        <v>3414</v>
      </c>
      <c r="BG64">
        <v>16.3</v>
      </c>
      <c r="BH64">
        <v>9.5</v>
      </c>
      <c r="BI64">
        <v>44.78</v>
      </c>
      <c r="BN64">
        <v>52</v>
      </c>
      <c r="BR64">
        <v>10.6</v>
      </c>
      <c r="BS64">
        <v>0.97</v>
      </c>
      <c r="BT64">
        <v>32.7</v>
      </c>
      <c r="BU64">
        <v>21.3</v>
      </c>
      <c r="BV64">
        <v>1.84</v>
      </c>
      <c r="BW64">
        <v>220</v>
      </c>
      <c r="BX64">
        <v>65</v>
      </c>
      <c r="BY64" s="63">
        <v>31</v>
      </c>
      <c r="BZ64">
        <v>34</v>
      </c>
      <c r="CA64">
        <v>18</v>
      </c>
      <c r="CB64">
        <v>60</v>
      </c>
      <c r="CC64">
        <v>222</v>
      </c>
      <c r="CD64">
        <v>566</v>
      </c>
      <c r="CE64">
        <v>155</v>
      </c>
      <c r="CF64">
        <v>22</v>
      </c>
      <c r="CG64">
        <v>15.2</v>
      </c>
      <c r="CH64" s="57">
        <f t="shared" si="16"/>
        <v>0.3</v>
      </c>
      <c r="CI64" s="57">
        <f t="shared" si="17"/>
        <v>0.392226148409894</v>
      </c>
      <c r="CJ64" s="57">
        <f t="shared" si="18"/>
        <v>1.44736842105263</v>
      </c>
      <c r="CK64">
        <v>4.78</v>
      </c>
      <c r="CL64">
        <v>1.61</v>
      </c>
      <c r="CM64">
        <v>1.21</v>
      </c>
      <c r="CN64">
        <v>3.11</v>
      </c>
      <c r="CO64">
        <v>3</v>
      </c>
      <c r="CP64">
        <v>45</v>
      </c>
      <c r="CQ64">
        <v>179</v>
      </c>
      <c r="CR64">
        <v>6.7</v>
      </c>
      <c r="CS64">
        <v>2.05</v>
      </c>
      <c r="CT64">
        <v>3.9</v>
      </c>
      <c r="CU64">
        <v>142</v>
      </c>
      <c r="CV64">
        <v>105</v>
      </c>
      <c r="CW64">
        <v>30</v>
      </c>
      <c r="CX64">
        <v>10.9</v>
      </c>
      <c r="CY64">
        <v>8.4</v>
      </c>
      <c r="DE64">
        <v>5.24</v>
      </c>
      <c r="DF64">
        <v>11.64</v>
      </c>
      <c r="DG64">
        <v>0.945</v>
      </c>
      <c r="DH64">
        <v>52.2</v>
      </c>
      <c r="DI64">
        <v>3.3</v>
      </c>
      <c r="DJ64">
        <v>6.9</v>
      </c>
      <c r="DK64">
        <v>5.5</v>
      </c>
      <c r="DL64">
        <v>6.1</v>
      </c>
      <c r="DM64">
        <v>26</v>
      </c>
      <c r="DN64">
        <v>1.09</v>
      </c>
      <c r="DO64">
        <v>1</v>
      </c>
      <c r="DP64">
        <v>1700</v>
      </c>
      <c r="DQ64">
        <v>261</v>
      </c>
      <c r="DR64">
        <v>835</v>
      </c>
      <c r="DS64">
        <v>82.5</v>
      </c>
      <c r="DT64">
        <v>17.6</v>
      </c>
      <c r="DU64">
        <v>71.4</v>
      </c>
      <c r="DV64">
        <v>0.26</v>
      </c>
      <c r="DW64">
        <v>0.32</v>
      </c>
      <c r="DY64" s="62">
        <v>4</v>
      </c>
      <c r="EG64">
        <f t="shared" si="19"/>
        <v>0.324324324324324</v>
      </c>
    </row>
    <row r="65" spans="1:137">
      <c r="A65" t="s">
        <v>3104</v>
      </c>
      <c r="B65">
        <v>1049523</v>
      </c>
      <c r="C65">
        <v>2</v>
      </c>
      <c r="D65">
        <v>54</v>
      </c>
      <c r="E65" s="54">
        <v>1.68</v>
      </c>
      <c r="F65">
        <v>52</v>
      </c>
      <c r="G65" s="54">
        <f t="shared" si="48"/>
        <v>18.4240362811791</v>
      </c>
      <c r="H65" s="55">
        <v>76</v>
      </c>
      <c r="I65" s="56">
        <v>77.773</v>
      </c>
      <c r="J65" s="57">
        <v>86.6041</v>
      </c>
      <c r="K65" s="57">
        <v>109.6833</v>
      </c>
      <c r="L65" s="57">
        <v>84.9253</v>
      </c>
      <c r="M65" s="57">
        <f t="shared" ref="M65:M70" si="56">P65/O65</f>
        <v>0.774277396832517</v>
      </c>
      <c r="N65" s="57">
        <f t="shared" ref="N65:N70" si="57">J65/(E65*E65)</f>
        <v>30.6845592403628</v>
      </c>
      <c r="O65" s="57">
        <f t="shared" ref="O65:O70" si="58">K65/(E65*E65)</f>
        <v>38.8617134353742</v>
      </c>
      <c r="P65" s="57">
        <f t="shared" ref="P65:P70" si="59">L65/(E65*E65)</f>
        <v>30.0897463151927</v>
      </c>
      <c r="Q65" s="57">
        <f t="shared" ref="Q65:Q70" si="60">O65+P65</f>
        <v>68.9514597505669</v>
      </c>
      <c r="R65" s="58">
        <v>-0.502368545712932</v>
      </c>
      <c r="S65" s="54">
        <v>22.5</v>
      </c>
      <c r="T65">
        <v>6.42</v>
      </c>
      <c r="U65" s="68">
        <v>2</v>
      </c>
      <c r="V65" s="59">
        <v>3</v>
      </c>
      <c r="W65" s="60">
        <f t="shared" si="6"/>
        <v>43.3</v>
      </c>
      <c r="X65" s="61">
        <v>43825</v>
      </c>
      <c r="Y65" s="61">
        <v>43825</v>
      </c>
      <c r="Z65" s="61">
        <v>43843</v>
      </c>
      <c r="AA65" s="62">
        <v>1</v>
      </c>
      <c r="AB65" s="62">
        <v>18</v>
      </c>
      <c r="AC65" t="s">
        <v>3300</v>
      </c>
      <c r="AD65">
        <v>13132172158</v>
      </c>
      <c r="AE65">
        <v>1</v>
      </c>
      <c r="AF65">
        <v>1</v>
      </c>
      <c r="AG65">
        <v>1</v>
      </c>
      <c r="AH65">
        <f>_xlfn.IFS(CF65&lt;34,1,CF65=34-51,2,CF65&gt;51,3)</f>
        <v>1</v>
      </c>
      <c r="AI65">
        <f>_xlfn.IFS(BY65&lt;28,1,BY65=28-35,2,BY65&gt;35,3)</f>
        <v>3</v>
      </c>
      <c r="AJ65">
        <v>2</v>
      </c>
      <c r="AK65">
        <f t="shared" si="45"/>
        <v>8</v>
      </c>
      <c r="AL65">
        <v>2</v>
      </c>
      <c r="AM65" s="1">
        <f t="shared" si="9"/>
        <v>7.4</v>
      </c>
      <c r="AN65" s="1">
        <f t="shared" si="10"/>
        <v>43</v>
      </c>
      <c r="AO65" s="1">
        <f t="shared" si="46"/>
        <v>2.14</v>
      </c>
      <c r="AP65" s="62">
        <f t="shared" si="47"/>
        <v>14.9210252851781</v>
      </c>
      <c r="AQ65">
        <v>1</v>
      </c>
      <c r="AR65">
        <v>2</v>
      </c>
      <c r="AS65">
        <v>2.29</v>
      </c>
      <c r="AT65">
        <v>4.28</v>
      </c>
      <c r="AU65">
        <v>116</v>
      </c>
      <c r="AV65">
        <v>75</v>
      </c>
      <c r="AW65">
        <v>1.15</v>
      </c>
      <c r="AX65">
        <v>0.86</v>
      </c>
      <c r="AY65">
        <v>0.23</v>
      </c>
      <c r="AZ65">
        <f t="shared" si="13"/>
        <v>1.33720930232558</v>
      </c>
      <c r="BA65">
        <f t="shared" si="14"/>
        <v>87.2093023255814</v>
      </c>
      <c r="BB65">
        <f t="shared" si="15"/>
        <v>3.73913043478261</v>
      </c>
      <c r="BC65">
        <v>6.53</v>
      </c>
      <c r="BD65">
        <v>7.67</v>
      </c>
      <c r="BE65" s="54">
        <v>4.26</v>
      </c>
      <c r="BF65">
        <v>0.01</v>
      </c>
      <c r="BG65">
        <v>8.7</v>
      </c>
      <c r="BI65">
        <v>28.9</v>
      </c>
      <c r="BR65">
        <v>23.6</v>
      </c>
      <c r="BS65">
        <v>2.14</v>
      </c>
      <c r="BT65">
        <v>36.7</v>
      </c>
      <c r="BU65">
        <v>20.7</v>
      </c>
      <c r="BV65">
        <v>3</v>
      </c>
      <c r="BW65">
        <v>339</v>
      </c>
      <c r="BX65">
        <v>65</v>
      </c>
      <c r="BY65" s="63">
        <v>39</v>
      </c>
      <c r="BZ65">
        <v>26</v>
      </c>
      <c r="CA65">
        <v>31</v>
      </c>
      <c r="CB65">
        <v>32</v>
      </c>
      <c r="CC65">
        <v>106</v>
      </c>
      <c r="CD65">
        <v>47</v>
      </c>
      <c r="CE65">
        <v>138</v>
      </c>
      <c r="CF65">
        <v>7.4</v>
      </c>
      <c r="CG65">
        <v>2</v>
      </c>
      <c r="CH65" s="57">
        <f t="shared" si="16"/>
        <v>0.96875</v>
      </c>
      <c r="CI65" s="57">
        <f t="shared" si="17"/>
        <v>2.25531914893617</v>
      </c>
      <c r="CJ65" s="57">
        <f t="shared" si="18"/>
        <v>3.7</v>
      </c>
      <c r="CK65">
        <v>5.77</v>
      </c>
      <c r="CL65">
        <v>2.21</v>
      </c>
      <c r="CM65">
        <v>0.94</v>
      </c>
      <c r="CN65">
        <v>3.59</v>
      </c>
      <c r="CO65">
        <v>8.5</v>
      </c>
      <c r="CP65">
        <v>43</v>
      </c>
      <c r="CQ65">
        <v>269</v>
      </c>
      <c r="CR65">
        <v>5.1</v>
      </c>
      <c r="CS65">
        <v>2.06</v>
      </c>
      <c r="CT65">
        <v>3.8</v>
      </c>
      <c r="CU65">
        <v>142</v>
      </c>
      <c r="CV65">
        <v>107</v>
      </c>
      <c r="CW65">
        <v>28</v>
      </c>
      <c r="CX65">
        <v>10.8</v>
      </c>
      <c r="DE65">
        <v>4.5</v>
      </c>
      <c r="DF65">
        <v>11.68</v>
      </c>
      <c r="DG65">
        <v>5.539</v>
      </c>
      <c r="DH65">
        <v>60.4</v>
      </c>
      <c r="DI65">
        <v>4.1</v>
      </c>
      <c r="DJ65">
        <v>8.8</v>
      </c>
      <c r="DK65">
        <v>6.9</v>
      </c>
      <c r="DL65">
        <v>5.7</v>
      </c>
      <c r="DM65">
        <v>14.1</v>
      </c>
      <c r="DN65">
        <v>1.53</v>
      </c>
      <c r="DO65">
        <v>1</v>
      </c>
      <c r="DP65">
        <v>936</v>
      </c>
      <c r="DQ65">
        <v>219</v>
      </c>
      <c r="DR65">
        <v>107</v>
      </c>
      <c r="DS65">
        <v>72</v>
      </c>
      <c r="DT65">
        <v>24.8</v>
      </c>
      <c r="DU65">
        <v>51.8</v>
      </c>
      <c r="DW65">
        <v>0.36</v>
      </c>
      <c r="DY65" s="62"/>
      <c r="EG65">
        <f t="shared" si="19"/>
        <v>1.16981132075472</v>
      </c>
    </row>
    <row r="66" spans="1:137">
      <c r="A66" t="s">
        <v>187</v>
      </c>
      <c r="B66">
        <v>1070646</v>
      </c>
      <c r="C66">
        <v>2</v>
      </c>
      <c r="D66">
        <v>54</v>
      </c>
      <c r="E66" s="54">
        <v>1.67</v>
      </c>
      <c r="F66">
        <v>60</v>
      </c>
      <c r="G66" s="54">
        <f t="shared" si="48"/>
        <v>21.5138585105239</v>
      </c>
      <c r="H66" s="55">
        <v>82</v>
      </c>
      <c r="I66" s="56">
        <v>80.794</v>
      </c>
      <c r="J66" s="57">
        <v>69.5739</v>
      </c>
      <c r="K66" s="57">
        <v>55.7752</v>
      </c>
      <c r="L66" s="57">
        <v>30.5576</v>
      </c>
      <c r="M66" s="57">
        <f t="shared" si="56"/>
        <v>0.547870738249258</v>
      </c>
      <c r="N66" s="57">
        <f t="shared" si="57"/>
        <v>24.9467173437556</v>
      </c>
      <c r="O66" s="57">
        <f t="shared" si="58"/>
        <v>19.9989960199362</v>
      </c>
      <c r="P66" s="57">
        <f t="shared" si="59"/>
        <v>10.9568647136864</v>
      </c>
      <c r="Q66" s="57">
        <f t="shared" si="60"/>
        <v>30.9558607336226</v>
      </c>
      <c r="R66" s="58">
        <v>-0.61503674392312</v>
      </c>
      <c r="S66" s="54">
        <v>19.7</v>
      </c>
      <c r="T66">
        <v>0.01</v>
      </c>
      <c r="U66" s="64">
        <v>0</v>
      </c>
      <c r="V66" s="64">
        <v>1</v>
      </c>
      <c r="W66" s="60">
        <f t="shared" ref="W66:W81" si="61">BY66+5*AX66</f>
        <v>32.15</v>
      </c>
      <c r="X66" s="61">
        <v>43832</v>
      </c>
      <c r="Y66" s="61">
        <v>43832</v>
      </c>
      <c r="Z66" s="61">
        <v>43846</v>
      </c>
      <c r="AA66" s="62">
        <v>1</v>
      </c>
      <c r="AB66" s="62">
        <v>14</v>
      </c>
      <c r="AC66" t="s">
        <v>188</v>
      </c>
      <c r="AD66">
        <v>13120170596</v>
      </c>
      <c r="AE66">
        <v>1</v>
      </c>
      <c r="AF66">
        <v>1</v>
      </c>
      <c r="AG66">
        <v>1</v>
      </c>
      <c r="AH66">
        <f>_xlfn.IFS(CF66&lt;34,1,CF66=34-51,2,CF66&gt;51,3)</f>
        <v>1</v>
      </c>
      <c r="AI66">
        <v>2</v>
      </c>
      <c r="AJ66">
        <f>_xlfn.IFS(BS66&lt;1.7,1,BS66=1.7-2.3,2,BS66&gt;2.3,3)</f>
        <v>1</v>
      </c>
      <c r="AK66">
        <f t="shared" si="45"/>
        <v>6</v>
      </c>
      <c r="AL66">
        <v>1</v>
      </c>
      <c r="AM66" s="1">
        <f t="shared" ref="AM66:AM76" si="62">CF66</f>
        <v>10.1</v>
      </c>
      <c r="AN66" s="1">
        <f t="shared" ref="AN66:AN81" si="63">CP66</f>
        <v>53</v>
      </c>
      <c r="AO66" s="1">
        <f t="shared" si="46"/>
        <v>1.19</v>
      </c>
      <c r="AP66" s="62">
        <f t="shared" si="47"/>
        <v>8.34827703978251</v>
      </c>
      <c r="AQ66">
        <v>1</v>
      </c>
      <c r="AR66">
        <v>1</v>
      </c>
      <c r="AS66">
        <v>2.85</v>
      </c>
      <c r="AT66">
        <v>2.8</v>
      </c>
      <c r="AU66">
        <v>84</v>
      </c>
      <c r="AV66">
        <v>73</v>
      </c>
      <c r="AW66">
        <v>1.97</v>
      </c>
      <c r="AX66">
        <v>0.63</v>
      </c>
      <c r="AY66">
        <v>0.21</v>
      </c>
      <c r="AZ66">
        <f t="shared" ref="AZ66:AZ81" si="64">AW66/AX66</f>
        <v>3.12698412698413</v>
      </c>
      <c r="BA66">
        <f t="shared" ref="BA66:BA81" si="65">AV66/AX66</f>
        <v>115.873015873016</v>
      </c>
      <c r="BB66">
        <f t="shared" ref="BB66:BB81" si="66">AX66/AY66</f>
        <v>3</v>
      </c>
      <c r="BC66">
        <v>4.11</v>
      </c>
      <c r="BD66">
        <v>167.91</v>
      </c>
      <c r="BE66" s="54">
        <v>2.59</v>
      </c>
      <c r="BF66">
        <v>4.12</v>
      </c>
      <c r="BG66">
        <v>8.9</v>
      </c>
      <c r="BI66">
        <v>41.73</v>
      </c>
      <c r="BN66" t="s">
        <v>3415</v>
      </c>
      <c r="BR66">
        <v>13.1</v>
      </c>
      <c r="BS66">
        <v>1.19</v>
      </c>
      <c r="BT66">
        <v>29.6</v>
      </c>
      <c r="BU66">
        <v>23.9</v>
      </c>
      <c r="BV66">
        <v>1.76</v>
      </c>
      <c r="BW66">
        <v>385</v>
      </c>
      <c r="BX66">
        <v>55</v>
      </c>
      <c r="BY66" s="63">
        <v>29</v>
      </c>
      <c r="BZ66">
        <v>26</v>
      </c>
      <c r="CA66">
        <v>11</v>
      </c>
      <c r="CB66">
        <v>19</v>
      </c>
      <c r="CC66">
        <v>94</v>
      </c>
      <c r="CD66">
        <v>65</v>
      </c>
      <c r="CE66">
        <v>171</v>
      </c>
      <c r="CF66">
        <v>10.1</v>
      </c>
      <c r="CG66">
        <v>4.2</v>
      </c>
      <c r="CH66" s="57">
        <f t="shared" ref="CH66:CH81" si="67">CA66/CB66</f>
        <v>0.578947368421053</v>
      </c>
      <c r="CI66" s="57">
        <f t="shared" ref="CI66:CI81" si="68">CC66/CD66</f>
        <v>1.44615384615385</v>
      </c>
      <c r="CJ66" s="57">
        <f t="shared" ref="CJ66:CJ78" si="69">CF66/CG66</f>
        <v>2.4047619047619</v>
      </c>
      <c r="CO66">
        <v>1.5</v>
      </c>
      <c r="CP66">
        <v>53</v>
      </c>
      <c r="CQ66">
        <v>216</v>
      </c>
      <c r="CR66">
        <v>5.1</v>
      </c>
      <c r="CS66">
        <v>1.97</v>
      </c>
      <c r="CT66">
        <v>3.5</v>
      </c>
      <c r="CU66">
        <v>142</v>
      </c>
      <c r="CV66">
        <v>109</v>
      </c>
      <c r="CW66">
        <v>27</v>
      </c>
      <c r="CX66">
        <v>9.5</v>
      </c>
      <c r="DE66">
        <v>3.95</v>
      </c>
      <c r="DF66">
        <v>13.18</v>
      </c>
      <c r="DG66">
        <v>0.408</v>
      </c>
      <c r="DH66">
        <v>55.8</v>
      </c>
      <c r="DI66">
        <v>4.1</v>
      </c>
      <c r="DJ66">
        <v>7.4</v>
      </c>
      <c r="DK66">
        <v>6.4</v>
      </c>
      <c r="DL66">
        <v>6.7</v>
      </c>
      <c r="DM66">
        <v>19.6</v>
      </c>
      <c r="DN66">
        <v>1.26</v>
      </c>
      <c r="DO66">
        <v>0</v>
      </c>
      <c r="DP66">
        <v>1220</v>
      </c>
      <c r="DQ66">
        <v>482</v>
      </c>
      <c r="DR66">
        <v>73.3</v>
      </c>
      <c r="DS66">
        <v>69.5</v>
      </c>
      <c r="DT66">
        <v>12.5</v>
      </c>
      <c r="DU66">
        <v>53.7</v>
      </c>
      <c r="DW66">
        <v>0.68</v>
      </c>
      <c r="DY66" s="62"/>
      <c r="EG66">
        <f t="shared" ref="EG66:EG81" si="70">(CA66/40)/(CC66/160)</f>
        <v>0.468085106382979</v>
      </c>
    </row>
    <row r="67" spans="1:137">
      <c r="A67" t="s">
        <v>190</v>
      </c>
      <c r="B67">
        <v>881730</v>
      </c>
      <c r="C67">
        <v>2</v>
      </c>
      <c r="D67">
        <v>71</v>
      </c>
      <c r="E67" s="54">
        <v>1.65</v>
      </c>
      <c r="F67">
        <v>56</v>
      </c>
      <c r="G67" s="54">
        <f t="shared" si="48"/>
        <v>20.5693296602388</v>
      </c>
      <c r="H67" s="55">
        <v>68</v>
      </c>
      <c r="I67" s="56"/>
      <c r="J67" s="57"/>
      <c r="K67" s="57"/>
      <c r="L67" s="57"/>
      <c r="M67" s="57"/>
      <c r="N67" s="57"/>
      <c r="O67" s="57"/>
      <c r="P67" s="57"/>
      <c r="Q67" s="57"/>
      <c r="R67" s="58"/>
      <c r="S67" s="54">
        <v>19.2</v>
      </c>
      <c r="T67">
        <v>0.01</v>
      </c>
      <c r="U67">
        <v>0</v>
      </c>
      <c r="V67">
        <v>1</v>
      </c>
      <c r="W67" s="60">
        <f t="shared" si="61"/>
        <v>25.3</v>
      </c>
      <c r="X67" s="61">
        <v>43840</v>
      </c>
      <c r="Y67" s="61">
        <v>43840</v>
      </c>
      <c r="Z67" s="61">
        <v>43851</v>
      </c>
      <c r="AA67" s="62">
        <v>10</v>
      </c>
      <c r="AB67" s="62">
        <v>11</v>
      </c>
      <c r="AC67" s="71" t="s">
        <v>191</v>
      </c>
      <c r="AD67" t="s">
        <v>3427</v>
      </c>
      <c r="AE67">
        <v>1</v>
      </c>
      <c r="AF67">
        <v>1</v>
      </c>
      <c r="AG67">
        <v>2</v>
      </c>
      <c r="AH67">
        <f>_xlfn.IFS(CF67&lt;34,1,CF67=34-51,2,CF67&gt;51,3)</f>
        <v>1</v>
      </c>
      <c r="AI67">
        <f>_xlfn.IFS(BY67&lt;28,1,BY67=28-35,2,BY67&gt;35,3)</f>
        <v>1</v>
      </c>
      <c r="AJ67">
        <f>_xlfn.IFS(BS67&lt;1.7,1,BS67=1.7-2.3,2,BS67&gt;2.3,3)</f>
        <v>1</v>
      </c>
      <c r="AK67">
        <f t="shared" si="45"/>
        <v>6</v>
      </c>
      <c r="AL67">
        <v>1</v>
      </c>
      <c r="AM67" s="1">
        <f t="shared" si="62"/>
        <v>16.8</v>
      </c>
      <c r="AN67" s="1">
        <f t="shared" si="63"/>
        <v>78</v>
      </c>
      <c r="AO67" s="1">
        <f t="shared" si="46"/>
        <v>1.28</v>
      </c>
      <c r="AP67" s="62">
        <f t="shared" si="47"/>
        <v>2.76483287283309</v>
      </c>
      <c r="AQ67">
        <v>0</v>
      </c>
      <c r="AR67">
        <v>1</v>
      </c>
      <c r="AS67">
        <v>2.11</v>
      </c>
      <c r="AT67">
        <v>2.74</v>
      </c>
      <c r="AU67">
        <v>71</v>
      </c>
      <c r="AV67">
        <v>56</v>
      </c>
      <c r="AW67">
        <v>1.58</v>
      </c>
      <c r="AX67">
        <v>0.26</v>
      </c>
      <c r="AY67">
        <v>0.26</v>
      </c>
      <c r="AZ67">
        <f t="shared" si="64"/>
        <v>6.07692307692308</v>
      </c>
      <c r="BA67">
        <f t="shared" si="65"/>
        <v>215.384615384615</v>
      </c>
      <c r="BB67">
        <f t="shared" si="66"/>
        <v>1</v>
      </c>
      <c r="BC67">
        <v>1.41</v>
      </c>
      <c r="BD67">
        <v>76.59</v>
      </c>
      <c r="BE67" s="54">
        <v>2.98</v>
      </c>
      <c r="BF67">
        <v>20.71</v>
      </c>
      <c r="BG67">
        <v>10.9</v>
      </c>
      <c r="BH67">
        <v>238.7</v>
      </c>
      <c r="BI67">
        <v>271.1</v>
      </c>
      <c r="BR67">
        <v>14</v>
      </c>
      <c r="BS67">
        <v>1.28</v>
      </c>
      <c r="BT67">
        <v>33.7</v>
      </c>
      <c r="BU67">
        <v>23.4</v>
      </c>
      <c r="BV67">
        <v>2.43</v>
      </c>
      <c r="BW67">
        <v>1971</v>
      </c>
      <c r="BX67">
        <v>75</v>
      </c>
      <c r="BY67" s="63">
        <v>24</v>
      </c>
      <c r="BZ67">
        <v>51</v>
      </c>
      <c r="CA67">
        <v>14</v>
      </c>
      <c r="CB67">
        <v>34</v>
      </c>
      <c r="CC67">
        <v>121</v>
      </c>
      <c r="CD67">
        <v>39</v>
      </c>
      <c r="CE67">
        <v>205</v>
      </c>
      <c r="CF67">
        <v>16.8</v>
      </c>
      <c r="CG67">
        <v>11.7</v>
      </c>
      <c r="CH67" s="57">
        <f t="shared" si="67"/>
        <v>0.411764705882353</v>
      </c>
      <c r="CI67" s="57">
        <f t="shared" si="68"/>
        <v>3.1025641025641</v>
      </c>
      <c r="CJ67" s="57">
        <f t="shared" si="69"/>
        <v>1.43589743589744</v>
      </c>
      <c r="CK67">
        <v>2.73</v>
      </c>
      <c r="CL67">
        <v>0.54</v>
      </c>
      <c r="CM67">
        <v>0.68</v>
      </c>
      <c r="CN67">
        <v>1.87</v>
      </c>
      <c r="CO67">
        <v>11.9</v>
      </c>
      <c r="CP67">
        <v>78</v>
      </c>
      <c r="CQ67">
        <v>610</v>
      </c>
      <c r="CS67">
        <v>2.1</v>
      </c>
      <c r="CT67">
        <v>3.8</v>
      </c>
      <c r="CU67">
        <v>132</v>
      </c>
      <c r="CV67">
        <v>97</v>
      </c>
      <c r="CW67">
        <v>23</v>
      </c>
      <c r="CX67">
        <v>15.8</v>
      </c>
      <c r="DE67">
        <v>2.59</v>
      </c>
      <c r="DF67">
        <v>11.94</v>
      </c>
      <c r="DG67">
        <v>0.64</v>
      </c>
      <c r="DH67">
        <v>39.2</v>
      </c>
      <c r="DI67">
        <v>4.2</v>
      </c>
      <c r="DJ67">
        <v>7.5</v>
      </c>
      <c r="DK67">
        <v>4.9</v>
      </c>
      <c r="DL67">
        <v>4.9</v>
      </c>
      <c r="DM67">
        <v>39.3</v>
      </c>
      <c r="DN67">
        <v>0.64</v>
      </c>
      <c r="DO67">
        <v>1</v>
      </c>
      <c r="DP67">
        <v>3110</v>
      </c>
      <c r="DQ67">
        <v>247</v>
      </c>
      <c r="DR67">
        <v>193</v>
      </c>
      <c r="DS67">
        <v>48.4</v>
      </c>
      <c r="DT67">
        <v>12.8</v>
      </c>
      <c r="DU67">
        <v>10.8</v>
      </c>
      <c r="DV67">
        <v>0.07</v>
      </c>
      <c r="DW67">
        <v>3.33</v>
      </c>
      <c r="DX67">
        <v>0.12</v>
      </c>
      <c r="DY67" s="62"/>
      <c r="EG67">
        <f t="shared" si="70"/>
        <v>0.462809917355372</v>
      </c>
    </row>
    <row r="68" spans="1:137">
      <c r="A68" t="s">
        <v>193</v>
      </c>
      <c r="B68">
        <v>868043</v>
      </c>
      <c r="C68">
        <v>2</v>
      </c>
      <c r="D68">
        <v>57</v>
      </c>
      <c r="E68" s="54">
        <v>1.6</v>
      </c>
      <c r="F68">
        <v>40</v>
      </c>
      <c r="G68" s="54">
        <v>15.7</v>
      </c>
      <c r="H68" s="55">
        <v>76</v>
      </c>
      <c r="I68" s="56"/>
      <c r="J68" s="57"/>
      <c r="K68" s="57"/>
      <c r="L68" s="57"/>
      <c r="M68" s="57"/>
      <c r="N68" s="57"/>
      <c r="O68" s="57"/>
      <c r="P68" s="57"/>
      <c r="Q68" s="57"/>
      <c r="R68" s="58"/>
      <c r="S68" s="54">
        <v>20.1</v>
      </c>
      <c r="U68">
        <v>0</v>
      </c>
      <c r="V68">
        <v>1</v>
      </c>
      <c r="W68" s="60">
        <f t="shared" si="61"/>
        <v>41.25</v>
      </c>
      <c r="X68" s="61">
        <v>43853</v>
      </c>
      <c r="Y68" s="61">
        <v>43840</v>
      </c>
      <c r="Z68" s="61">
        <v>43853</v>
      </c>
      <c r="AA68" s="62">
        <v>8</v>
      </c>
      <c r="AB68" s="62">
        <v>13</v>
      </c>
      <c r="AC68" s="71" t="s">
        <v>194</v>
      </c>
      <c r="AD68">
        <v>13207669177</v>
      </c>
      <c r="AE68">
        <v>1</v>
      </c>
      <c r="AF68">
        <v>2</v>
      </c>
      <c r="AG68">
        <v>1</v>
      </c>
      <c r="AH68">
        <v>2</v>
      </c>
      <c r="AI68">
        <v>2</v>
      </c>
      <c r="AJ68">
        <f>_xlfn.IFS(BS68&lt;1.7,1,BS68=1.7-2.3,2,BS68&gt;2.3,3)</f>
        <v>1</v>
      </c>
      <c r="AK68">
        <f t="shared" si="45"/>
        <v>8</v>
      </c>
      <c r="AL68">
        <v>2</v>
      </c>
      <c r="AM68" s="1">
        <f t="shared" si="62"/>
        <v>48.2</v>
      </c>
      <c r="AN68" s="1">
        <f t="shared" si="63"/>
        <v>59</v>
      </c>
      <c r="AO68" s="1">
        <f t="shared" si="46"/>
        <v>1.38</v>
      </c>
      <c r="AP68" s="62">
        <f t="shared" si="47"/>
        <v>13.9452013093762</v>
      </c>
      <c r="AQ68">
        <v>1</v>
      </c>
      <c r="AR68">
        <v>1</v>
      </c>
      <c r="AS68">
        <v>6.29</v>
      </c>
      <c r="AT68">
        <v>3.2</v>
      </c>
      <c r="AU68">
        <v>70</v>
      </c>
      <c r="AV68">
        <v>108</v>
      </c>
      <c r="AW68">
        <v>3.29</v>
      </c>
      <c r="AX68">
        <v>2.05</v>
      </c>
      <c r="AY68">
        <v>0.32</v>
      </c>
      <c r="AZ68">
        <f t="shared" si="64"/>
        <v>1.60487804878049</v>
      </c>
      <c r="BA68">
        <f t="shared" si="65"/>
        <v>52.6829268292683</v>
      </c>
      <c r="BB68">
        <f t="shared" si="66"/>
        <v>6.40625</v>
      </c>
      <c r="BC68">
        <v>0.77</v>
      </c>
      <c r="BD68">
        <v>23.46</v>
      </c>
      <c r="BE68" s="54">
        <v>2.82</v>
      </c>
      <c r="BF68">
        <v>13.48</v>
      </c>
      <c r="BG68">
        <v>10.8</v>
      </c>
      <c r="BI68">
        <v>100.7</v>
      </c>
      <c r="BN68">
        <v>40</v>
      </c>
      <c r="BO68">
        <v>88</v>
      </c>
      <c r="BR68">
        <v>15.1</v>
      </c>
      <c r="BS68">
        <v>1.38</v>
      </c>
      <c r="BT68">
        <v>28.4</v>
      </c>
      <c r="BU68">
        <v>25.7</v>
      </c>
      <c r="BV68">
        <v>1.4</v>
      </c>
      <c r="BW68">
        <v>898</v>
      </c>
      <c r="BX68">
        <v>61</v>
      </c>
      <c r="BY68" s="63">
        <v>31</v>
      </c>
      <c r="BZ68">
        <v>30</v>
      </c>
      <c r="CA68">
        <v>26</v>
      </c>
      <c r="CB68">
        <v>25</v>
      </c>
      <c r="CC68">
        <v>83</v>
      </c>
      <c r="CD68">
        <v>22</v>
      </c>
      <c r="CE68">
        <v>175</v>
      </c>
      <c r="CF68">
        <v>48.2</v>
      </c>
      <c r="CG68">
        <v>6.7</v>
      </c>
      <c r="CH68" s="57">
        <f t="shared" si="67"/>
        <v>1.04</v>
      </c>
      <c r="CI68" s="57">
        <f t="shared" si="68"/>
        <v>3.77272727272727</v>
      </c>
      <c r="CJ68" s="57">
        <f t="shared" si="69"/>
        <v>7.19402985074627</v>
      </c>
      <c r="CO68">
        <v>6.7</v>
      </c>
      <c r="CP68">
        <v>59</v>
      </c>
      <c r="CQ68">
        <v>475</v>
      </c>
      <c r="CS68">
        <v>1.9</v>
      </c>
      <c r="CT68">
        <v>3.7</v>
      </c>
      <c r="CU68">
        <v>140</v>
      </c>
      <c r="CV68">
        <v>104</v>
      </c>
      <c r="CW68">
        <v>26</v>
      </c>
      <c r="CX68">
        <v>13.7</v>
      </c>
      <c r="DD68">
        <v>65.5</v>
      </c>
      <c r="DE68" s="71" t="s">
        <v>3428</v>
      </c>
      <c r="DY68" s="62"/>
      <c r="DZ68">
        <v>11</v>
      </c>
      <c r="EA68">
        <v>52</v>
      </c>
      <c r="EB68">
        <v>2.6</v>
      </c>
      <c r="EC68">
        <v>1.78</v>
      </c>
      <c r="ED68">
        <v>7.6</v>
      </c>
      <c r="EE68">
        <v>109</v>
      </c>
      <c r="EF68">
        <v>1.26</v>
      </c>
      <c r="EG68">
        <f t="shared" si="70"/>
        <v>1.25301204819277</v>
      </c>
    </row>
    <row r="69" spans="1:137">
      <c r="A69" t="s">
        <v>73</v>
      </c>
      <c r="B69">
        <v>1061816</v>
      </c>
      <c r="C69">
        <v>1</v>
      </c>
      <c r="D69">
        <v>69</v>
      </c>
      <c r="E69" s="54">
        <v>1.77</v>
      </c>
      <c r="F69">
        <v>60</v>
      </c>
      <c r="G69" s="54">
        <v>19.16</v>
      </c>
      <c r="H69" s="55">
        <v>86</v>
      </c>
      <c r="I69" s="56"/>
      <c r="J69" s="57"/>
      <c r="K69" s="57"/>
      <c r="L69" s="57"/>
      <c r="M69" s="57"/>
      <c r="N69" s="57"/>
      <c r="O69" s="57"/>
      <c r="P69" s="57"/>
      <c r="Q69" s="57"/>
      <c r="R69" s="58"/>
      <c r="S69" s="54">
        <v>20.1</v>
      </c>
      <c r="U69">
        <v>6</v>
      </c>
      <c r="V69">
        <v>3</v>
      </c>
      <c r="W69" s="60">
        <f t="shared" si="61"/>
        <v>33.1</v>
      </c>
      <c r="X69" s="61">
        <v>43488</v>
      </c>
      <c r="Y69" s="61">
        <v>43478</v>
      </c>
      <c r="Z69" s="61">
        <v>43488</v>
      </c>
      <c r="AA69" s="62">
        <v>2</v>
      </c>
      <c r="AB69" s="62">
        <v>10</v>
      </c>
      <c r="AC69" s="71" t="s">
        <v>196</v>
      </c>
      <c r="AD69">
        <v>13312091217</v>
      </c>
      <c r="AE69">
        <v>1</v>
      </c>
      <c r="AF69">
        <v>1</v>
      </c>
      <c r="AG69">
        <v>2</v>
      </c>
      <c r="AH69">
        <f t="shared" ref="AH69:AH78" si="71">_xlfn.IFS(CF69&lt;34,1,CF69=34-51,2,CF69&gt;51,3)</f>
        <v>1</v>
      </c>
      <c r="AI69">
        <v>2</v>
      </c>
      <c r="AJ69">
        <f>_xlfn.IFS(BS69&lt;1.7,1,BS69=1.7-2.3,2,BS69&gt;2.3,3)</f>
        <v>1</v>
      </c>
      <c r="AK69">
        <f t="shared" si="45"/>
        <v>7</v>
      </c>
      <c r="AL69">
        <v>2</v>
      </c>
      <c r="AM69" s="1">
        <f t="shared" si="62"/>
        <v>14.7</v>
      </c>
      <c r="AN69" s="1">
        <f t="shared" si="63"/>
        <v>372</v>
      </c>
      <c r="AO69" s="1">
        <f t="shared" si="46"/>
        <v>1.28</v>
      </c>
      <c r="AP69" s="62">
        <f t="shared" si="47"/>
        <v>16.5602429652768</v>
      </c>
      <c r="AQ69">
        <v>0</v>
      </c>
      <c r="AR69">
        <v>2</v>
      </c>
      <c r="AS69">
        <v>3.47</v>
      </c>
      <c r="AT69">
        <v>1.79</v>
      </c>
      <c r="AU69">
        <v>56</v>
      </c>
      <c r="AV69">
        <v>44</v>
      </c>
      <c r="AW69">
        <v>3.05</v>
      </c>
      <c r="AX69">
        <v>0.22</v>
      </c>
      <c r="AY69">
        <v>0.12</v>
      </c>
      <c r="AZ69">
        <f t="shared" si="64"/>
        <v>13.8636363636364</v>
      </c>
      <c r="BA69">
        <f t="shared" si="65"/>
        <v>200</v>
      </c>
      <c r="BB69">
        <f t="shared" si="66"/>
        <v>1.83333333333333</v>
      </c>
      <c r="BC69">
        <v>2</v>
      </c>
      <c r="BD69">
        <v>88.76</v>
      </c>
      <c r="BE69" s="54">
        <v>4.17</v>
      </c>
      <c r="BF69">
        <v>4.26</v>
      </c>
      <c r="BM69">
        <v>0.598</v>
      </c>
      <c r="BN69">
        <v>47</v>
      </c>
      <c r="BR69">
        <v>14</v>
      </c>
      <c r="BS69">
        <v>1.28</v>
      </c>
      <c r="BT69">
        <v>34.8</v>
      </c>
      <c r="BU69">
        <v>26.1</v>
      </c>
      <c r="BV69">
        <v>1.84</v>
      </c>
      <c r="BW69">
        <v>941</v>
      </c>
      <c r="BX69">
        <v>56</v>
      </c>
      <c r="BY69" s="63">
        <v>32</v>
      </c>
      <c r="BZ69">
        <v>24</v>
      </c>
      <c r="CA69">
        <v>21</v>
      </c>
      <c r="CB69">
        <v>28</v>
      </c>
      <c r="CC69">
        <v>57</v>
      </c>
      <c r="CD69">
        <v>85</v>
      </c>
      <c r="CE69">
        <v>219</v>
      </c>
      <c r="CF69">
        <v>14.7</v>
      </c>
      <c r="CG69">
        <v>5.8</v>
      </c>
      <c r="CH69" s="57">
        <f t="shared" si="67"/>
        <v>0.75</v>
      </c>
      <c r="CI69" s="57">
        <f t="shared" si="68"/>
        <v>0.670588235294118</v>
      </c>
      <c r="CJ69" s="57">
        <f t="shared" si="69"/>
        <v>2.53448275862069</v>
      </c>
      <c r="CK69">
        <v>3.78</v>
      </c>
      <c r="CL69">
        <v>0.79</v>
      </c>
      <c r="CM69">
        <v>1.13</v>
      </c>
      <c r="CN69">
        <v>2.2</v>
      </c>
      <c r="CO69">
        <v>20.1</v>
      </c>
      <c r="CP69">
        <v>372</v>
      </c>
      <c r="CQ69">
        <v>445</v>
      </c>
      <c r="CR69">
        <v>4</v>
      </c>
      <c r="CS69">
        <v>2</v>
      </c>
      <c r="CT69">
        <v>4.4</v>
      </c>
      <c r="CU69">
        <v>147</v>
      </c>
      <c r="CV69">
        <v>119</v>
      </c>
      <c r="CW69">
        <v>9</v>
      </c>
      <c r="CX69">
        <v>23.4</v>
      </c>
      <c r="CZ69">
        <v>351</v>
      </c>
      <c r="DA69">
        <v>45</v>
      </c>
      <c r="DB69">
        <v>0.052</v>
      </c>
      <c r="DC69">
        <v>11635</v>
      </c>
      <c r="DE69">
        <v>2.6</v>
      </c>
      <c r="DF69">
        <v>9.7</v>
      </c>
      <c r="DG69">
        <v>0.18</v>
      </c>
      <c r="DW69">
        <v>1.39</v>
      </c>
      <c r="DY69" s="62"/>
      <c r="EG69">
        <f t="shared" si="70"/>
        <v>1.47368421052632</v>
      </c>
    </row>
    <row r="70" spans="1:137">
      <c r="A70" s="71" t="s">
        <v>198</v>
      </c>
      <c r="B70">
        <v>770008</v>
      </c>
      <c r="C70">
        <v>1</v>
      </c>
      <c r="D70">
        <v>64</v>
      </c>
      <c r="E70" s="54">
        <v>1.7</v>
      </c>
      <c r="F70" s="82" t="s">
        <v>1571</v>
      </c>
      <c r="G70" s="54"/>
      <c r="H70" s="55">
        <v>86</v>
      </c>
      <c r="I70" s="56">
        <v>95.844</v>
      </c>
      <c r="J70" s="57">
        <v>80.9715</v>
      </c>
      <c r="K70" s="57">
        <v>87.9869</v>
      </c>
      <c r="L70" s="57">
        <v>96.6195</v>
      </c>
      <c r="M70" s="57">
        <f t="shared" si="56"/>
        <v>1.09811233263133</v>
      </c>
      <c r="N70" s="57">
        <f t="shared" si="57"/>
        <v>28.0178200692042</v>
      </c>
      <c r="O70" s="57">
        <f t="shared" si="58"/>
        <v>30.4452941176471</v>
      </c>
      <c r="P70" s="57">
        <f t="shared" si="59"/>
        <v>33.4323529411765</v>
      </c>
      <c r="Q70" s="57">
        <f t="shared" si="60"/>
        <v>63.8776470588236</v>
      </c>
      <c r="R70" s="58">
        <v>-0.401888772298006</v>
      </c>
      <c r="S70" s="54">
        <v>20.1</v>
      </c>
      <c r="U70">
        <v>6</v>
      </c>
      <c r="V70">
        <v>3</v>
      </c>
      <c r="W70" s="60">
        <f t="shared" si="61"/>
        <v>25.8</v>
      </c>
      <c r="X70" s="61">
        <v>43870</v>
      </c>
      <c r="Y70" s="61">
        <v>43844</v>
      </c>
      <c r="Z70" s="61">
        <v>43860</v>
      </c>
      <c r="AA70" s="62">
        <v>11</v>
      </c>
      <c r="AB70" s="62">
        <v>16</v>
      </c>
      <c r="AC70" s="71" t="s">
        <v>199</v>
      </c>
      <c r="AD70">
        <v>13072090083</v>
      </c>
      <c r="AE70">
        <v>1</v>
      </c>
      <c r="AF70">
        <v>2</v>
      </c>
      <c r="AG70">
        <v>2</v>
      </c>
      <c r="AH70">
        <f t="shared" si="71"/>
        <v>1</v>
      </c>
      <c r="AI70">
        <f>_xlfn.IFS(BY70&lt;28,1,BY70=28-35,2,BY70&gt;35,3)</f>
        <v>1</v>
      </c>
      <c r="AJ70">
        <f>_xlfn.IFS(BS70&lt;1.7,1,BS70=1.7-2.3,2,BS70&gt;2.3,3)</f>
        <v>1</v>
      </c>
      <c r="AK70">
        <f t="shared" si="45"/>
        <v>7</v>
      </c>
      <c r="AL70">
        <v>2</v>
      </c>
      <c r="AM70" s="1">
        <f t="shared" si="62"/>
        <v>32.7</v>
      </c>
      <c r="AN70" s="1">
        <f t="shared" si="63"/>
        <v>61</v>
      </c>
      <c r="AO70" s="1">
        <f t="shared" si="46"/>
        <v>1.6</v>
      </c>
      <c r="AP70" s="62">
        <f t="shared" si="47"/>
        <v>7.72756778225169</v>
      </c>
      <c r="AQ70">
        <v>0</v>
      </c>
      <c r="AR70">
        <v>1</v>
      </c>
      <c r="AS70">
        <v>4.51</v>
      </c>
      <c r="AT70">
        <v>2.01</v>
      </c>
      <c r="AU70">
        <v>70</v>
      </c>
      <c r="AV70">
        <v>140</v>
      </c>
      <c r="AW70">
        <v>1.77</v>
      </c>
      <c r="AX70">
        <v>1.36</v>
      </c>
      <c r="AY70">
        <v>1.17</v>
      </c>
      <c r="AZ70">
        <f t="shared" si="64"/>
        <v>1.30147058823529</v>
      </c>
      <c r="BA70">
        <f t="shared" si="65"/>
        <v>102.941176470588</v>
      </c>
      <c r="BB70">
        <f t="shared" si="66"/>
        <v>1.16239316239316</v>
      </c>
      <c r="BC70">
        <v>1.72</v>
      </c>
      <c r="BD70">
        <v>121.77</v>
      </c>
      <c r="BE70" s="54">
        <v>5.19</v>
      </c>
      <c r="BF70" t="s">
        <v>3411</v>
      </c>
      <c r="BM70" t="s">
        <v>3429</v>
      </c>
      <c r="BN70">
        <v>95</v>
      </c>
      <c r="BR70">
        <v>17.6</v>
      </c>
      <c r="BS70">
        <v>1.6</v>
      </c>
      <c r="BT70">
        <v>34.6</v>
      </c>
      <c r="BU70">
        <v>23.9</v>
      </c>
      <c r="BV70">
        <v>1.44</v>
      </c>
      <c r="BW70">
        <v>3962</v>
      </c>
      <c r="BX70">
        <v>53</v>
      </c>
      <c r="BY70" s="63">
        <v>19</v>
      </c>
      <c r="BZ70">
        <v>34</v>
      </c>
      <c r="CA70">
        <v>19</v>
      </c>
      <c r="CB70">
        <v>47</v>
      </c>
      <c r="CC70">
        <v>114</v>
      </c>
      <c r="CD70">
        <v>20</v>
      </c>
      <c r="CE70">
        <v>339</v>
      </c>
      <c r="CF70">
        <v>32.7</v>
      </c>
      <c r="CG70">
        <v>18.5</v>
      </c>
      <c r="CH70" s="57">
        <f t="shared" si="67"/>
        <v>0.404255319148936</v>
      </c>
      <c r="CI70" s="57">
        <f t="shared" si="68"/>
        <v>5.7</v>
      </c>
      <c r="CJ70" s="57">
        <f t="shared" si="69"/>
        <v>1.76756756756757</v>
      </c>
      <c r="CK70">
        <v>2.94</v>
      </c>
      <c r="CL70">
        <v>0.43</v>
      </c>
      <c r="CM70">
        <v>0.81</v>
      </c>
      <c r="CN70">
        <v>1.76</v>
      </c>
      <c r="CO70">
        <v>4.3</v>
      </c>
      <c r="CP70">
        <v>61</v>
      </c>
      <c r="CQ70">
        <v>341</v>
      </c>
      <c r="CR70">
        <v>3.7</v>
      </c>
      <c r="CS70">
        <v>1.9</v>
      </c>
      <c r="CT70" s="60">
        <v>2.6</v>
      </c>
      <c r="CU70">
        <v>130</v>
      </c>
      <c r="CV70">
        <v>100</v>
      </c>
      <c r="CW70">
        <v>24</v>
      </c>
      <c r="CX70">
        <v>8.6</v>
      </c>
      <c r="DD70">
        <v>67.1</v>
      </c>
      <c r="DE70">
        <v>2.88</v>
      </c>
      <c r="DF70">
        <v>11.39</v>
      </c>
      <c r="DG70">
        <v>3.758</v>
      </c>
      <c r="DH70">
        <v>43.4</v>
      </c>
      <c r="DI70">
        <v>4.2</v>
      </c>
      <c r="DJ70">
        <v>6.9</v>
      </c>
      <c r="DK70">
        <v>5.1</v>
      </c>
      <c r="DL70">
        <v>5</v>
      </c>
      <c r="DM70">
        <v>35.4</v>
      </c>
      <c r="DN70">
        <v>0.77</v>
      </c>
      <c r="DO70">
        <v>1</v>
      </c>
      <c r="DP70">
        <v>1860</v>
      </c>
      <c r="DQ70">
        <v>380</v>
      </c>
      <c r="DR70">
        <v>203</v>
      </c>
      <c r="DS70">
        <v>43.3</v>
      </c>
      <c r="DT70">
        <v>8.42</v>
      </c>
      <c r="DU70">
        <v>60</v>
      </c>
      <c r="DW70">
        <v>1.2</v>
      </c>
      <c r="DX70">
        <v>0.05</v>
      </c>
      <c r="DY70" s="62"/>
      <c r="DZ70">
        <v>4</v>
      </c>
      <c r="EA70">
        <v>34</v>
      </c>
      <c r="EB70">
        <v>1.4</v>
      </c>
      <c r="EC70">
        <v>0.84</v>
      </c>
      <c r="ED70">
        <v>7.3</v>
      </c>
      <c r="EE70">
        <v>111</v>
      </c>
      <c r="EF70">
        <v>1.09</v>
      </c>
      <c r="EG70">
        <f t="shared" si="70"/>
        <v>0.666666666666667</v>
      </c>
    </row>
    <row r="71" spans="1:137">
      <c r="A71" t="s">
        <v>3301</v>
      </c>
      <c r="B71">
        <v>1051721</v>
      </c>
      <c r="C71">
        <v>2</v>
      </c>
      <c r="D71">
        <v>73</v>
      </c>
      <c r="E71" s="54">
        <v>1.6</v>
      </c>
      <c r="F71">
        <v>67</v>
      </c>
      <c r="G71" s="54">
        <v>20.57</v>
      </c>
      <c r="H71" s="55">
        <v>91</v>
      </c>
      <c r="I71" s="56"/>
      <c r="J71" s="57"/>
      <c r="K71" s="57"/>
      <c r="L71" s="57"/>
      <c r="M71" s="57"/>
      <c r="N71" s="57"/>
      <c r="O71" s="57"/>
      <c r="P71" s="57"/>
      <c r="Q71" s="57"/>
      <c r="R71" s="58"/>
      <c r="S71" s="54">
        <v>16.6</v>
      </c>
      <c r="U71">
        <v>0</v>
      </c>
      <c r="V71">
        <v>1</v>
      </c>
      <c r="W71" s="60">
        <f t="shared" si="61"/>
        <v>37.75</v>
      </c>
      <c r="X71" s="61">
        <v>43850</v>
      </c>
      <c r="Y71" s="61">
        <v>43837</v>
      </c>
      <c r="Z71" s="61">
        <v>43850</v>
      </c>
      <c r="AA71" s="62">
        <v>3</v>
      </c>
      <c r="AB71" s="62">
        <v>13</v>
      </c>
      <c r="AC71" s="71" t="s">
        <v>3302</v>
      </c>
      <c r="AD71">
        <v>13902158571</v>
      </c>
      <c r="AE71">
        <v>1</v>
      </c>
      <c r="AF71">
        <v>1</v>
      </c>
      <c r="AG71">
        <v>1</v>
      </c>
      <c r="AH71">
        <f t="shared" si="71"/>
        <v>1</v>
      </c>
      <c r="AI71">
        <v>2</v>
      </c>
      <c r="AM71" s="1">
        <f t="shared" si="62"/>
        <v>21.9</v>
      </c>
      <c r="AN71" s="1">
        <f t="shared" si="63"/>
        <v>46</v>
      </c>
      <c r="AO71" s="1"/>
      <c r="AP71" s="62"/>
      <c r="AQ71">
        <v>1</v>
      </c>
      <c r="AS71">
        <v>4.27</v>
      </c>
      <c r="AT71">
        <v>2.63</v>
      </c>
      <c r="AU71">
        <v>85</v>
      </c>
      <c r="AV71">
        <v>105</v>
      </c>
      <c r="AW71">
        <v>2.24</v>
      </c>
      <c r="AX71">
        <v>1.15</v>
      </c>
      <c r="AY71">
        <v>0.77</v>
      </c>
      <c r="AZ71">
        <f t="shared" si="64"/>
        <v>1.94782608695652</v>
      </c>
      <c r="BA71">
        <f t="shared" si="65"/>
        <v>91.304347826087</v>
      </c>
      <c r="BB71">
        <f t="shared" si="66"/>
        <v>1.49350649350649</v>
      </c>
      <c r="BE71" s="54"/>
      <c r="BX71">
        <v>66</v>
      </c>
      <c r="BY71" s="63">
        <v>32</v>
      </c>
      <c r="BZ71">
        <v>34</v>
      </c>
      <c r="CA71">
        <v>14</v>
      </c>
      <c r="CB71">
        <v>25</v>
      </c>
      <c r="CC71">
        <v>85</v>
      </c>
      <c r="CD71">
        <v>59</v>
      </c>
      <c r="CE71">
        <v>308</v>
      </c>
      <c r="CF71">
        <v>21.9</v>
      </c>
      <c r="CG71">
        <v>9.9</v>
      </c>
      <c r="CH71" s="57">
        <f t="shared" si="67"/>
        <v>0.56</v>
      </c>
      <c r="CI71" s="57">
        <f t="shared" si="68"/>
        <v>1.44067796610169</v>
      </c>
      <c r="CJ71" s="57">
        <f t="shared" si="69"/>
        <v>2.21212121212121</v>
      </c>
      <c r="CO71">
        <v>2.2</v>
      </c>
      <c r="CP71">
        <v>46</v>
      </c>
      <c r="CQ71">
        <v>167</v>
      </c>
      <c r="CR71">
        <v>7.5</v>
      </c>
      <c r="CS71">
        <v>2.02</v>
      </c>
      <c r="CT71">
        <v>3.9</v>
      </c>
      <c r="CU71">
        <v>140</v>
      </c>
      <c r="CV71">
        <v>103</v>
      </c>
      <c r="CW71">
        <v>33</v>
      </c>
      <c r="CX71">
        <v>7.9</v>
      </c>
      <c r="DY71" s="62"/>
      <c r="EG71">
        <f t="shared" si="70"/>
        <v>0.658823529411765</v>
      </c>
    </row>
    <row r="72" spans="1:137">
      <c r="A72" t="s">
        <v>3103</v>
      </c>
      <c r="B72">
        <v>1072585</v>
      </c>
      <c r="C72">
        <v>1</v>
      </c>
      <c r="D72">
        <v>52</v>
      </c>
      <c r="E72" s="54">
        <v>1.73</v>
      </c>
      <c r="F72">
        <v>103</v>
      </c>
      <c r="G72" s="54">
        <v>34.41</v>
      </c>
      <c r="H72" s="55">
        <v>107</v>
      </c>
      <c r="I72" s="56">
        <v>118.15</v>
      </c>
      <c r="J72" s="57">
        <v>191.6181</v>
      </c>
      <c r="K72" s="57">
        <v>400.6638</v>
      </c>
      <c r="L72" s="57">
        <v>188.1552</v>
      </c>
      <c r="M72" s="57">
        <f>P72/O72</f>
        <v>0.469608684388258</v>
      </c>
      <c r="N72" s="57">
        <f>J72/(E72*E72)</f>
        <v>64.0242239967924</v>
      </c>
      <c r="O72" s="57">
        <f>K72/(E72*E72)</f>
        <v>133.871429048749</v>
      </c>
      <c r="P72" s="57">
        <f>L72/(E72*E72)</f>
        <v>62.8671856727589</v>
      </c>
      <c r="Q72" s="57">
        <f>O72+P72</f>
        <v>196.738614721508</v>
      </c>
      <c r="R72" s="58">
        <v>-0.479264844486334</v>
      </c>
      <c r="S72" s="54">
        <v>41.2</v>
      </c>
      <c r="U72">
        <v>1</v>
      </c>
      <c r="V72">
        <v>2</v>
      </c>
      <c r="W72" s="60">
        <f t="shared" si="61"/>
        <v>31.05</v>
      </c>
      <c r="X72" s="61">
        <v>43851</v>
      </c>
      <c r="Y72" s="61">
        <v>43845</v>
      </c>
      <c r="Z72" s="61">
        <v>43851</v>
      </c>
      <c r="AA72" s="62">
        <v>1</v>
      </c>
      <c r="AB72" s="62">
        <v>6</v>
      </c>
      <c r="AC72" s="71" t="s">
        <v>3303</v>
      </c>
      <c r="AD72">
        <v>13116058695</v>
      </c>
      <c r="AE72">
        <v>1</v>
      </c>
      <c r="AF72">
        <v>1</v>
      </c>
      <c r="AG72">
        <v>1</v>
      </c>
      <c r="AH72">
        <f t="shared" si="71"/>
        <v>1</v>
      </c>
      <c r="AI72">
        <f>_xlfn.IFS(BY72&lt;28,1,BY72=28-35,2,BY72&gt;35,3)</f>
        <v>1</v>
      </c>
      <c r="AJ72">
        <f t="shared" ref="AJ72:AJ81" si="72">_xlfn.IFS(BS72&lt;1.7,1,BS72=1.7-2.3,2,BS72&gt;2.3,3)</f>
        <v>1</v>
      </c>
      <c r="AK72">
        <f t="shared" ref="AK72:AK81" si="73">AF72+AG72+AH72+AI72+AJ72</f>
        <v>5</v>
      </c>
      <c r="AL72">
        <v>1</v>
      </c>
      <c r="AM72" s="1">
        <f t="shared" si="62"/>
        <v>24.3</v>
      </c>
      <c r="AN72" s="1">
        <f t="shared" si="63"/>
        <v>68</v>
      </c>
      <c r="AO72" s="1">
        <f t="shared" ref="AO72:AO81" si="74">BS72</f>
        <v>1.34</v>
      </c>
      <c r="AP72" s="62">
        <f t="shared" ref="AP72:AP81" si="75">LN(IF(CF72/17.1&gt;1,CF72/17.1,1))*3.8+LN(IF(CP72/88.4&gt;1,CP72/88.4,1))*9.6+11.2*LN(BS72)+6.4*AQ72</f>
        <v>11.0132116463676</v>
      </c>
      <c r="AQ72">
        <v>1</v>
      </c>
      <c r="AR72">
        <v>1</v>
      </c>
      <c r="AS72">
        <v>2.5</v>
      </c>
      <c r="AT72">
        <v>4.9</v>
      </c>
      <c r="AU72">
        <v>119</v>
      </c>
      <c r="AV72">
        <v>85</v>
      </c>
      <c r="AW72">
        <v>1.5</v>
      </c>
      <c r="AX72">
        <v>0.81</v>
      </c>
      <c r="AY72">
        <v>0.12</v>
      </c>
      <c r="AZ72">
        <f t="shared" si="64"/>
        <v>1.85185185185185</v>
      </c>
      <c r="BA72">
        <f t="shared" si="65"/>
        <v>104.938271604938</v>
      </c>
      <c r="BB72">
        <f t="shared" si="66"/>
        <v>6.75</v>
      </c>
      <c r="BC72">
        <v>7.29</v>
      </c>
      <c r="BD72">
        <v>148.4</v>
      </c>
      <c r="BE72" s="54">
        <v>2.84</v>
      </c>
      <c r="BF72">
        <v>10.76</v>
      </c>
      <c r="BM72">
        <v>0.267</v>
      </c>
      <c r="BR72">
        <v>14.7</v>
      </c>
      <c r="BS72">
        <v>1.34</v>
      </c>
      <c r="BT72">
        <v>32.4</v>
      </c>
      <c r="BU72">
        <v>22.7</v>
      </c>
      <c r="BV72">
        <v>1.97</v>
      </c>
      <c r="BW72">
        <v>622</v>
      </c>
      <c r="BX72">
        <v>60</v>
      </c>
      <c r="BY72" s="63">
        <v>27</v>
      </c>
      <c r="BZ72">
        <v>33</v>
      </c>
      <c r="CA72">
        <v>48</v>
      </c>
      <c r="CB72">
        <v>60</v>
      </c>
      <c r="CC72">
        <v>87</v>
      </c>
      <c r="CD72">
        <v>69</v>
      </c>
      <c r="CE72">
        <v>178</v>
      </c>
      <c r="CF72">
        <v>24.3</v>
      </c>
      <c r="CG72">
        <v>12.2</v>
      </c>
      <c r="CH72" s="57">
        <f t="shared" si="67"/>
        <v>0.8</v>
      </c>
      <c r="CI72" s="57">
        <f t="shared" si="68"/>
        <v>1.26086956521739</v>
      </c>
      <c r="CJ72" s="57">
        <f t="shared" si="69"/>
        <v>1.99180327868852</v>
      </c>
      <c r="CO72">
        <v>1.8</v>
      </c>
      <c r="CP72">
        <v>68</v>
      </c>
      <c r="CQ72">
        <v>284</v>
      </c>
      <c r="CR72">
        <v>4.2</v>
      </c>
      <c r="CS72">
        <v>2.02</v>
      </c>
      <c r="CT72">
        <v>3.7</v>
      </c>
      <c r="CU72">
        <v>146</v>
      </c>
      <c r="CV72">
        <v>109</v>
      </c>
      <c r="CW72">
        <v>31</v>
      </c>
      <c r="CX72">
        <v>9.7</v>
      </c>
      <c r="DH72">
        <v>48.1</v>
      </c>
      <c r="DI72">
        <v>3.6</v>
      </c>
      <c r="DJ72">
        <v>7.5</v>
      </c>
      <c r="DK72">
        <v>5.5</v>
      </c>
      <c r="DL72">
        <v>7.5</v>
      </c>
      <c r="DM72">
        <v>27.8</v>
      </c>
      <c r="DN72">
        <v>0.93</v>
      </c>
      <c r="DO72">
        <v>1</v>
      </c>
      <c r="DP72">
        <v>1640</v>
      </c>
      <c r="DQ72">
        <v>559</v>
      </c>
      <c r="DR72">
        <v>88.7</v>
      </c>
      <c r="DS72">
        <v>57.9</v>
      </c>
      <c r="DT72">
        <v>15.9</v>
      </c>
      <c r="DU72">
        <v>473</v>
      </c>
      <c r="DV72">
        <v>1.8</v>
      </c>
      <c r="DW72">
        <v>1.57</v>
      </c>
      <c r="DY72" s="62"/>
      <c r="EG72">
        <f t="shared" si="70"/>
        <v>2.20689655172414</v>
      </c>
    </row>
    <row r="73" spans="1:137">
      <c r="A73" s="71" t="s">
        <v>201</v>
      </c>
      <c r="B73">
        <v>802667</v>
      </c>
      <c r="C73">
        <v>2</v>
      </c>
      <c r="D73">
        <v>37</v>
      </c>
      <c r="E73" s="54">
        <v>1.65</v>
      </c>
      <c r="F73">
        <v>68</v>
      </c>
      <c r="G73" s="54">
        <v>24.8</v>
      </c>
      <c r="H73" s="55">
        <v>88</v>
      </c>
      <c r="I73" s="56">
        <v>98.247</v>
      </c>
      <c r="J73" s="57">
        <v>96.6256</v>
      </c>
      <c r="K73" s="57">
        <v>230.1063</v>
      </c>
      <c r="L73" s="57">
        <v>202.8645</v>
      </c>
      <c r="M73" s="57">
        <f>P73/O73</f>
        <v>0.881612107100066</v>
      </c>
      <c r="N73" s="57">
        <f>J73/(E73*E73)</f>
        <v>35.4914967860422</v>
      </c>
      <c r="O73" s="57">
        <f>K73/(E73*E73)</f>
        <v>84.5202203856749</v>
      </c>
      <c r="P73" s="57">
        <f>L73/(E73*E73)</f>
        <v>74.5140495867769</v>
      </c>
      <c r="Q73" s="57">
        <f>O73+P73</f>
        <v>159.034269972452</v>
      </c>
      <c r="R73" s="58">
        <v>-0.395494658615885</v>
      </c>
      <c r="S73" s="54">
        <v>11.7</v>
      </c>
      <c r="U73">
        <v>0</v>
      </c>
      <c r="V73">
        <v>1</v>
      </c>
      <c r="W73" s="60">
        <f t="shared" si="61"/>
        <v>27.95</v>
      </c>
      <c r="X73" s="61">
        <v>43870</v>
      </c>
      <c r="Y73" s="61">
        <v>43846</v>
      </c>
      <c r="Z73" s="61">
        <v>43858</v>
      </c>
      <c r="AA73" s="62">
        <v>2</v>
      </c>
      <c r="AB73" s="62">
        <v>12</v>
      </c>
      <c r="AC73" s="71" t="s">
        <v>202</v>
      </c>
      <c r="AD73">
        <v>13312116333</v>
      </c>
      <c r="AE73">
        <v>1</v>
      </c>
      <c r="AF73">
        <v>2</v>
      </c>
      <c r="AG73">
        <v>1</v>
      </c>
      <c r="AH73">
        <f t="shared" si="71"/>
        <v>1</v>
      </c>
      <c r="AI73">
        <f>_xlfn.IFS(BY73&lt;28,1,BY73=28-35,2,BY73&gt;35,3)</f>
        <v>1</v>
      </c>
      <c r="AJ73">
        <f t="shared" si="72"/>
        <v>1</v>
      </c>
      <c r="AK73">
        <f t="shared" si="73"/>
        <v>6</v>
      </c>
      <c r="AL73">
        <v>1</v>
      </c>
      <c r="AM73" s="1">
        <f t="shared" si="62"/>
        <v>6.3</v>
      </c>
      <c r="AN73" s="1">
        <f t="shared" si="63"/>
        <v>73</v>
      </c>
      <c r="AO73" s="1">
        <f t="shared" si="74"/>
        <v>1.21</v>
      </c>
      <c r="AP73" s="62">
        <f t="shared" si="75"/>
        <v>8.53494802761688</v>
      </c>
      <c r="AQ73">
        <v>1</v>
      </c>
      <c r="AR73">
        <v>1</v>
      </c>
      <c r="AS73">
        <v>10.46</v>
      </c>
      <c r="AT73">
        <v>1.7</v>
      </c>
      <c r="AU73">
        <v>52</v>
      </c>
      <c r="AV73">
        <v>88</v>
      </c>
      <c r="AW73">
        <v>9.02</v>
      </c>
      <c r="AX73">
        <v>0.59</v>
      </c>
      <c r="AY73">
        <v>0.79</v>
      </c>
      <c r="AZ73">
        <f t="shared" si="64"/>
        <v>15.2881355932203</v>
      </c>
      <c r="BA73">
        <f t="shared" si="65"/>
        <v>149.152542372881</v>
      </c>
      <c r="BB73">
        <f t="shared" si="66"/>
        <v>0.746835443037975</v>
      </c>
      <c r="BC73">
        <v>8.11</v>
      </c>
      <c r="BD73">
        <v>76.25</v>
      </c>
      <c r="BE73" s="54">
        <v>2.88</v>
      </c>
      <c r="BF73">
        <v>19.45</v>
      </c>
      <c r="BG73">
        <v>8.2</v>
      </c>
      <c r="BI73">
        <v>73.2</v>
      </c>
      <c r="BN73">
        <v>86</v>
      </c>
      <c r="BO73">
        <v>63</v>
      </c>
      <c r="BQ73">
        <v>171</v>
      </c>
      <c r="BR73">
        <v>13.3</v>
      </c>
      <c r="BS73">
        <v>1.21</v>
      </c>
      <c r="BT73">
        <v>25.4</v>
      </c>
      <c r="BU73">
        <v>23.9</v>
      </c>
      <c r="BV73">
        <v>2.09</v>
      </c>
      <c r="BW73">
        <v>1761</v>
      </c>
      <c r="BX73">
        <v>48</v>
      </c>
      <c r="BY73" s="63">
        <v>25</v>
      </c>
      <c r="BZ73">
        <v>23</v>
      </c>
      <c r="CA73">
        <v>23</v>
      </c>
      <c r="CB73">
        <v>20</v>
      </c>
      <c r="CC73">
        <v>40</v>
      </c>
      <c r="CD73">
        <v>28</v>
      </c>
      <c r="CE73">
        <v>137</v>
      </c>
      <c r="CF73">
        <v>6.3</v>
      </c>
      <c r="CG73">
        <v>24</v>
      </c>
      <c r="CH73" s="57">
        <f t="shared" si="67"/>
        <v>1.15</v>
      </c>
      <c r="CI73" s="57">
        <f t="shared" si="68"/>
        <v>1.42857142857143</v>
      </c>
      <c r="CJ73" s="57">
        <f t="shared" si="69"/>
        <v>0.2625</v>
      </c>
      <c r="CO73">
        <v>10.6</v>
      </c>
      <c r="CP73">
        <v>73</v>
      </c>
      <c r="CQ73">
        <v>373</v>
      </c>
      <c r="CS73">
        <v>1.9</v>
      </c>
      <c r="CT73">
        <v>4.2</v>
      </c>
      <c r="CU73">
        <v>136</v>
      </c>
      <c r="CV73">
        <v>63</v>
      </c>
      <c r="CZ73">
        <v>24</v>
      </c>
      <c r="DA73">
        <v>16</v>
      </c>
      <c r="DB73">
        <v>0.025</v>
      </c>
      <c r="DH73">
        <v>60.1</v>
      </c>
      <c r="DI73">
        <v>5.7</v>
      </c>
      <c r="DJ73">
        <v>8.9</v>
      </c>
      <c r="DK73">
        <v>6.3</v>
      </c>
      <c r="DL73">
        <v>4.4</v>
      </c>
      <c r="DM73">
        <v>14.6</v>
      </c>
      <c r="DN73">
        <v>1.51</v>
      </c>
      <c r="DO73">
        <v>0</v>
      </c>
      <c r="DP73">
        <v>995</v>
      </c>
      <c r="DQ73">
        <v>89.3</v>
      </c>
      <c r="DR73">
        <v>71.4</v>
      </c>
      <c r="DS73">
        <v>80.4</v>
      </c>
      <c r="DT73">
        <v>19.5</v>
      </c>
      <c r="DU73">
        <v>32.9</v>
      </c>
      <c r="DV73">
        <v>0.37</v>
      </c>
      <c r="DW73">
        <v>0.24</v>
      </c>
      <c r="DY73" s="62"/>
      <c r="EG73">
        <f t="shared" si="70"/>
        <v>2.3</v>
      </c>
    </row>
    <row r="74" spans="1:137">
      <c r="A74" t="s">
        <v>204</v>
      </c>
      <c r="B74">
        <v>1036719</v>
      </c>
      <c r="C74">
        <v>1</v>
      </c>
      <c r="D74">
        <v>58</v>
      </c>
      <c r="E74" s="54">
        <v>1.76</v>
      </c>
      <c r="F74">
        <v>55</v>
      </c>
      <c r="G74" s="54">
        <v>17.8</v>
      </c>
      <c r="H74" s="55">
        <v>97</v>
      </c>
      <c r="I74">
        <v>97.447</v>
      </c>
      <c r="J74">
        <v>81.0742</v>
      </c>
      <c r="K74">
        <v>33.6001</v>
      </c>
      <c r="L74">
        <v>72.1865</v>
      </c>
      <c r="M74" s="57">
        <f>P74/O74</f>
        <v>2.14840134404362</v>
      </c>
      <c r="N74" s="57">
        <f>J74/(E74*E74)</f>
        <v>26.1732308884298</v>
      </c>
      <c r="O74" s="57">
        <f>K74/(E74*E74)</f>
        <v>10.8471397210744</v>
      </c>
      <c r="P74" s="57">
        <f>L74/(E74*E74)</f>
        <v>23.3040095557851</v>
      </c>
      <c r="Q74" s="57">
        <f>O74+P74</f>
        <v>34.1511492768595</v>
      </c>
      <c r="R74" s="58">
        <v>-0.964606741573034</v>
      </c>
      <c r="S74" s="54">
        <v>15.1</v>
      </c>
      <c r="U74">
        <v>6</v>
      </c>
      <c r="V74">
        <v>3</v>
      </c>
      <c r="W74" s="60">
        <f t="shared" si="61"/>
        <v>20.45</v>
      </c>
      <c r="X74" s="61">
        <v>43870</v>
      </c>
      <c r="Y74" s="61">
        <v>43847</v>
      </c>
      <c r="Z74" s="61">
        <v>43869</v>
      </c>
      <c r="AA74" s="62">
        <v>2</v>
      </c>
      <c r="AB74" s="62">
        <v>22</v>
      </c>
      <c r="AC74" s="71" t="s">
        <v>205</v>
      </c>
      <c r="AD74">
        <v>13920214076</v>
      </c>
      <c r="AE74">
        <v>1</v>
      </c>
      <c r="AF74">
        <v>3</v>
      </c>
      <c r="AG74">
        <v>3</v>
      </c>
      <c r="AH74">
        <f t="shared" si="71"/>
        <v>3</v>
      </c>
      <c r="AI74">
        <f>_xlfn.IFS(BY74&lt;28,1,BY74=28-35,2,BY74&gt;35,3)</f>
        <v>1</v>
      </c>
      <c r="AJ74">
        <f t="shared" si="72"/>
        <v>1</v>
      </c>
      <c r="AK74">
        <f t="shared" si="73"/>
        <v>11</v>
      </c>
      <c r="AL74">
        <v>3</v>
      </c>
      <c r="AM74" s="1">
        <f t="shared" si="62"/>
        <v>116.4</v>
      </c>
      <c r="AN74" s="1">
        <f t="shared" si="63"/>
        <v>221</v>
      </c>
      <c r="AO74" s="1">
        <f t="shared" si="74"/>
        <v>1.63</v>
      </c>
      <c r="AP74" s="62">
        <f t="shared" si="75"/>
        <v>21.5567126647582</v>
      </c>
      <c r="AQ74">
        <v>0</v>
      </c>
      <c r="AR74">
        <v>3</v>
      </c>
      <c r="AS74">
        <v>7.64</v>
      </c>
      <c r="AT74">
        <v>2.91</v>
      </c>
      <c r="AU74">
        <v>93</v>
      </c>
      <c r="AV74">
        <v>111</v>
      </c>
      <c r="AW74">
        <v>6.32</v>
      </c>
      <c r="AX74">
        <v>0.29</v>
      </c>
      <c r="AY74">
        <v>0.84</v>
      </c>
      <c r="AZ74">
        <f t="shared" si="64"/>
        <v>21.7931034482759</v>
      </c>
      <c r="BA74">
        <f t="shared" si="65"/>
        <v>382.758620689655</v>
      </c>
      <c r="BB74">
        <f t="shared" si="66"/>
        <v>0.345238095238095</v>
      </c>
      <c r="BC74">
        <v>0.93</v>
      </c>
      <c r="BD74">
        <v>407.29</v>
      </c>
      <c r="BE74" s="54">
        <v>7.9</v>
      </c>
      <c r="BF74">
        <v>25.81</v>
      </c>
      <c r="BM74">
        <v>0.207</v>
      </c>
      <c r="BN74">
        <v>62</v>
      </c>
      <c r="BR74">
        <v>17.9</v>
      </c>
      <c r="BS74">
        <v>1.63</v>
      </c>
      <c r="BT74">
        <v>29.7</v>
      </c>
      <c r="BU74">
        <v>22.9</v>
      </c>
      <c r="BV74">
        <v>3.68</v>
      </c>
      <c r="BW74">
        <v>2162</v>
      </c>
      <c r="BX74">
        <v>44</v>
      </c>
      <c r="BY74" s="63">
        <v>19</v>
      </c>
      <c r="BZ74">
        <v>25</v>
      </c>
      <c r="CA74">
        <v>25</v>
      </c>
      <c r="CB74">
        <v>30</v>
      </c>
      <c r="CC74">
        <v>119</v>
      </c>
      <c r="CD74">
        <v>63</v>
      </c>
      <c r="CE74">
        <v>185</v>
      </c>
      <c r="CF74">
        <v>116.4</v>
      </c>
      <c r="CG74">
        <v>113.1</v>
      </c>
      <c r="CH74" s="57">
        <f t="shared" si="67"/>
        <v>0.833333333333333</v>
      </c>
      <c r="CI74" s="57">
        <f t="shared" si="68"/>
        <v>1.88888888888889</v>
      </c>
      <c r="CJ74" s="57">
        <f t="shared" si="69"/>
        <v>1.02917771883289</v>
      </c>
      <c r="CK74">
        <v>2.14</v>
      </c>
      <c r="CL74">
        <v>1.05</v>
      </c>
      <c r="CM74">
        <v>0.18</v>
      </c>
      <c r="CN74">
        <v>1.54</v>
      </c>
      <c r="CO74">
        <v>27.6</v>
      </c>
      <c r="CP74">
        <v>221</v>
      </c>
      <c r="CQ74">
        <v>631</v>
      </c>
      <c r="CR74">
        <v>5.6</v>
      </c>
      <c r="CS74">
        <v>1.97</v>
      </c>
      <c r="CT74">
        <v>3.4</v>
      </c>
      <c r="CU74">
        <v>133</v>
      </c>
      <c r="CV74">
        <v>100</v>
      </c>
      <c r="CW74">
        <v>20</v>
      </c>
      <c r="CX74">
        <v>16.4</v>
      </c>
      <c r="DE74">
        <v>1.93</v>
      </c>
      <c r="DF74">
        <v>9.74</v>
      </c>
      <c r="DG74">
        <v>0.777</v>
      </c>
      <c r="DH74">
        <v>47.9</v>
      </c>
      <c r="DI74">
        <v>10</v>
      </c>
      <c r="DJ74">
        <v>13.5</v>
      </c>
      <c r="DK74">
        <v>4.5</v>
      </c>
      <c r="DL74">
        <v>6.1</v>
      </c>
      <c r="DM74">
        <v>18</v>
      </c>
      <c r="DN74">
        <v>0.92</v>
      </c>
      <c r="DO74" s="83">
        <v>1</v>
      </c>
      <c r="DP74">
        <v>1030</v>
      </c>
      <c r="DQ74">
        <v>243</v>
      </c>
      <c r="DR74">
        <v>38.3</v>
      </c>
      <c r="DS74">
        <v>58.1</v>
      </c>
      <c r="DT74">
        <v>17.7</v>
      </c>
      <c r="DU74">
        <v>101</v>
      </c>
      <c r="DW74">
        <v>13.5</v>
      </c>
      <c r="DY74" s="62">
        <v>4</v>
      </c>
      <c r="DZ74">
        <v>6</v>
      </c>
      <c r="EA74">
        <v>69</v>
      </c>
      <c r="EB74">
        <v>1.8</v>
      </c>
      <c r="EC74">
        <v>16.83</v>
      </c>
      <c r="ED74">
        <v>8.2</v>
      </c>
      <c r="EE74">
        <v>105</v>
      </c>
      <c r="EF74">
        <v>2.65</v>
      </c>
      <c r="EG74">
        <f t="shared" si="70"/>
        <v>0.840336134453782</v>
      </c>
    </row>
    <row r="75" spans="1:137">
      <c r="A75" t="s">
        <v>206</v>
      </c>
      <c r="B75">
        <v>780801</v>
      </c>
      <c r="C75">
        <v>2</v>
      </c>
      <c r="D75">
        <v>61</v>
      </c>
      <c r="E75" s="54">
        <v>1.6</v>
      </c>
      <c r="F75">
        <v>48</v>
      </c>
      <c r="G75" s="54">
        <v>18.75</v>
      </c>
      <c r="H75" s="55">
        <v>63</v>
      </c>
      <c r="I75" s="56">
        <v>75.193</v>
      </c>
      <c r="J75" s="57">
        <v>77.0664</v>
      </c>
      <c r="K75" s="57">
        <v>77.6953</v>
      </c>
      <c r="L75" s="57">
        <v>62.9219</v>
      </c>
      <c r="M75" s="57">
        <f>P75/O75</f>
        <v>0.809854650152583</v>
      </c>
      <c r="N75" s="57">
        <f>J75/(E75*E75)</f>
        <v>30.1040625</v>
      </c>
      <c r="O75" s="57">
        <f>K75/(E75*E75)</f>
        <v>30.3497265625</v>
      </c>
      <c r="P75" s="57">
        <f>L75/(E75*E75)</f>
        <v>24.5788671875</v>
      </c>
      <c r="Q75" s="57">
        <f>O75+P75</f>
        <v>54.92859375</v>
      </c>
      <c r="R75" s="58">
        <v>-0.224667583677212</v>
      </c>
      <c r="S75" s="54">
        <v>11.1</v>
      </c>
      <c r="U75">
        <v>0</v>
      </c>
      <c r="V75">
        <v>1</v>
      </c>
      <c r="W75" s="60">
        <f t="shared" si="61"/>
        <v>26.95</v>
      </c>
      <c r="X75" s="61">
        <v>43870</v>
      </c>
      <c r="Y75" s="71" t="s">
        <v>3430</v>
      </c>
      <c r="Z75" s="61">
        <v>43858</v>
      </c>
      <c r="AA75" s="62">
        <v>2</v>
      </c>
      <c r="AB75" s="62">
        <v>20</v>
      </c>
      <c r="AC75" s="71" t="s">
        <v>3304</v>
      </c>
      <c r="AD75">
        <v>13821272030</v>
      </c>
      <c r="AE75">
        <v>1</v>
      </c>
      <c r="AF75">
        <v>1</v>
      </c>
      <c r="AG75">
        <v>1</v>
      </c>
      <c r="AH75">
        <f t="shared" si="71"/>
        <v>1</v>
      </c>
      <c r="AI75">
        <f>_xlfn.IFS(BY75&lt;28,1,BY75=28-35,2,BY75&gt;35,3)</f>
        <v>1</v>
      </c>
      <c r="AJ75">
        <f t="shared" si="72"/>
        <v>1</v>
      </c>
      <c r="AK75">
        <f t="shared" si="73"/>
        <v>5</v>
      </c>
      <c r="AL75">
        <v>1</v>
      </c>
      <c r="AM75" s="1">
        <f t="shared" si="62"/>
        <v>32.1</v>
      </c>
      <c r="AN75" s="1">
        <f t="shared" si="63"/>
        <v>38</v>
      </c>
      <c r="AO75" s="1">
        <f t="shared" si="74"/>
        <v>1.19</v>
      </c>
      <c r="AP75" s="62">
        <f t="shared" si="75"/>
        <v>4.34143179296646</v>
      </c>
      <c r="AQ75">
        <v>0</v>
      </c>
      <c r="AR75">
        <v>1</v>
      </c>
      <c r="AS75">
        <v>2.01</v>
      </c>
      <c r="AT75">
        <v>2.04</v>
      </c>
      <c r="AU75">
        <v>66</v>
      </c>
      <c r="AV75">
        <v>59</v>
      </c>
      <c r="AW75">
        <v>1.44</v>
      </c>
      <c r="AX75">
        <v>0.39</v>
      </c>
      <c r="AY75">
        <v>0.15</v>
      </c>
      <c r="AZ75">
        <f t="shared" si="64"/>
        <v>3.69230769230769</v>
      </c>
      <c r="BA75">
        <f t="shared" si="65"/>
        <v>151.282051282051</v>
      </c>
      <c r="BB75">
        <f t="shared" si="66"/>
        <v>2.6</v>
      </c>
      <c r="BC75">
        <v>1.4</v>
      </c>
      <c r="BD75">
        <v>72.47</v>
      </c>
      <c r="BE75" s="54">
        <v>3.29</v>
      </c>
      <c r="BF75">
        <v>7.77</v>
      </c>
      <c r="BG75">
        <v>5.3</v>
      </c>
      <c r="BI75">
        <v>69.9</v>
      </c>
      <c r="BN75" t="s">
        <v>3415</v>
      </c>
      <c r="BR75">
        <v>13.1</v>
      </c>
      <c r="BS75">
        <v>1.19</v>
      </c>
      <c r="BT75">
        <v>27.2</v>
      </c>
      <c r="BU75">
        <v>24</v>
      </c>
      <c r="BV75">
        <v>1.99</v>
      </c>
      <c r="BW75">
        <v>447</v>
      </c>
      <c r="BX75">
        <v>51</v>
      </c>
      <c r="BY75" s="63">
        <v>25</v>
      </c>
      <c r="BZ75">
        <v>26</v>
      </c>
      <c r="CA75">
        <v>23</v>
      </c>
      <c r="CB75">
        <v>26</v>
      </c>
      <c r="CC75">
        <v>83</v>
      </c>
      <c r="CD75">
        <v>39</v>
      </c>
      <c r="CE75">
        <v>255</v>
      </c>
      <c r="CF75">
        <v>32.1</v>
      </c>
      <c r="CG75">
        <v>12</v>
      </c>
      <c r="CH75" s="57">
        <f t="shared" si="67"/>
        <v>0.884615384615385</v>
      </c>
      <c r="CI75" s="57">
        <f t="shared" si="68"/>
        <v>2.12820512820513</v>
      </c>
      <c r="CJ75" s="57">
        <f t="shared" si="69"/>
        <v>2.675</v>
      </c>
      <c r="CK75">
        <v>3.81</v>
      </c>
      <c r="CL75">
        <v>0.69</v>
      </c>
      <c r="CM75">
        <v>0.99</v>
      </c>
      <c r="CN75">
        <v>2.41</v>
      </c>
      <c r="CO75">
        <v>6.6</v>
      </c>
      <c r="CP75">
        <v>38</v>
      </c>
      <c r="CQ75">
        <v>182</v>
      </c>
      <c r="CR75">
        <v>7.6</v>
      </c>
      <c r="CS75">
        <v>1.81</v>
      </c>
      <c r="CT75">
        <v>4.8</v>
      </c>
      <c r="CU75">
        <v>139</v>
      </c>
      <c r="CV75">
        <v>111</v>
      </c>
      <c r="CW75">
        <v>25</v>
      </c>
      <c r="CX75">
        <v>7.8</v>
      </c>
      <c r="DD75">
        <v>312</v>
      </c>
      <c r="DE75">
        <v>2.32</v>
      </c>
      <c r="DF75">
        <v>9.36</v>
      </c>
      <c r="DG75">
        <v>0.277</v>
      </c>
      <c r="DH75">
        <v>49.2</v>
      </c>
      <c r="DI75">
        <v>6.6</v>
      </c>
      <c r="DJ75">
        <v>9.7</v>
      </c>
      <c r="DK75">
        <v>6.5</v>
      </c>
      <c r="DL75">
        <v>6.1</v>
      </c>
      <c r="DM75">
        <v>21.9</v>
      </c>
      <c r="DN75">
        <v>0.97</v>
      </c>
      <c r="DO75">
        <v>1</v>
      </c>
      <c r="DP75">
        <v>1240</v>
      </c>
      <c r="DQ75">
        <v>342</v>
      </c>
      <c r="DR75">
        <v>209</v>
      </c>
      <c r="DS75">
        <v>62.2</v>
      </c>
      <c r="DT75">
        <v>19.8</v>
      </c>
      <c r="DU75">
        <v>8.85</v>
      </c>
      <c r="DV75">
        <v>0.3</v>
      </c>
      <c r="DW75">
        <v>1.31</v>
      </c>
      <c r="DY75" s="62" t="s">
        <v>3412</v>
      </c>
      <c r="EG75">
        <f t="shared" si="70"/>
        <v>1.10843373493976</v>
      </c>
    </row>
    <row r="76" spans="1:137">
      <c r="A76" t="s">
        <v>416</v>
      </c>
      <c r="B76">
        <v>1040729</v>
      </c>
      <c r="C76">
        <v>2</v>
      </c>
      <c r="D76">
        <v>67</v>
      </c>
      <c r="E76" s="54">
        <v>1.6</v>
      </c>
      <c r="F76">
        <v>65</v>
      </c>
      <c r="G76" s="54">
        <v>25.39</v>
      </c>
      <c r="H76" s="55">
        <v>77</v>
      </c>
      <c r="I76">
        <v>87.959</v>
      </c>
      <c r="J76">
        <v>100.3995</v>
      </c>
      <c r="K76">
        <v>129.9235</v>
      </c>
      <c r="L76">
        <v>98.8995</v>
      </c>
      <c r="M76" s="57">
        <f>P76/O76</f>
        <v>0.76121332938229</v>
      </c>
      <c r="N76" s="57">
        <f>J76/(E76*E76)</f>
        <v>39.2185546875</v>
      </c>
      <c r="O76" s="57">
        <f>K76/(E76*E76)</f>
        <v>50.7513671875</v>
      </c>
      <c r="P76" s="57">
        <f>L76/(E76*E76)</f>
        <v>38.6326171875</v>
      </c>
      <c r="Q76" s="57">
        <f>O76+P76</f>
        <v>89.383984375</v>
      </c>
      <c r="R76" s="58">
        <v>-0.502601702932829</v>
      </c>
      <c r="S76" s="54">
        <v>20.6</v>
      </c>
      <c r="U76">
        <v>1</v>
      </c>
      <c r="V76">
        <v>2</v>
      </c>
      <c r="W76" s="60">
        <f t="shared" si="61"/>
        <v>33.9</v>
      </c>
      <c r="X76" s="61">
        <v>43870</v>
      </c>
      <c r="Y76" s="61">
        <v>43844</v>
      </c>
      <c r="Z76" s="61">
        <v>43857</v>
      </c>
      <c r="AA76" s="62">
        <v>2</v>
      </c>
      <c r="AB76" s="62">
        <v>13</v>
      </c>
      <c r="AC76" s="71" t="s">
        <v>3305</v>
      </c>
      <c r="AD76">
        <v>13702034972</v>
      </c>
      <c r="AE76">
        <v>1</v>
      </c>
      <c r="AF76">
        <v>1</v>
      </c>
      <c r="AG76">
        <v>2</v>
      </c>
      <c r="AH76">
        <f t="shared" si="71"/>
        <v>3</v>
      </c>
      <c r="AI76">
        <f>_xlfn.IFS(BY76&lt;28,1,BY76=28-35,2,BY76&gt;35,3)</f>
        <v>1</v>
      </c>
      <c r="AJ76">
        <f t="shared" si="72"/>
        <v>1</v>
      </c>
      <c r="AK76">
        <f t="shared" si="73"/>
        <v>8</v>
      </c>
      <c r="AL76">
        <v>2</v>
      </c>
      <c r="AM76" s="1">
        <f t="shared" si="62"/>
        <v>148.7</v>
      </c>
      <c r="AN76" s="1">
        <f t="shared" si="63"/>
        <v>58</v>
      </c>
      <c r="AO76" s="1">
        <f t="shared" si="74"/>
        <v>1.39</v>
      </c>
      <c r="AP76" s="62">
        <f t="shared" si="75"/>
        <v>11.9070410498356</v>
      </c>
      <c r="AQ76">
        <v>0</v>
      </c>
      <c r="AR76">
        <v>1</v>
      </c>
      <c r="AS76">
        <v>8.02</v>
      </c>
      <c r="AT76">
        <v>2.34</v>
      </c>
      <c r="AU76">
        <v>88</v>
      </c>
      <c r="AV76">
        <v>189</v>
      </c>
      <c r="AW76">
        <v>3.94</v>
      </c>
      <c r="AX76">
        <v>2.78</v>
      </c>
      <c r="AY76">
        <v>1.11</v>
      </c>
      <c r="AZ76">
        <f t="shared" si="64"/>
        <v>1.41726618705036</v>
      </c>
      <c r="BA76">
        <f t="shared" si="65"/>
        <v>67.9856115107914</v>
      </c>
      <c r="BB76">
        <f t="shared" si="66"/>
        <v>2.5045045045045</v>
      </c>
      <c r="BC76">
        <v>5.35</v>
      </c>
      <c r="BD76">
        <v>85.92</v>
      </c>
      <c r="BE76" s="54">
        <v>6.61</v>
      </c>
      <c r="BF76">
        <v>373.96</v>
      </c>
      <c r="BG76">
        <v>15.3</v>
      </c>
      <c r="BI76">
        <v>124.75</v>
      </c>
      <c r="BN76">
        <v>135</v>
      </c>
      <c r="BR76">
        <v>15.3</v>
      </c>
      <c r="BS76">
        <v>1.39</v>
      </c>
      <c r="BT76">
        <v>31.5</v>
      </c>
      <c r="BU76">
        <v>23.6</v>
      </c>
      <c r="BV76">
        <v>2.05</v>
      </c>
      <c r="BW76">
        <v>1056</v>
      </c>
      <c r="BX76">
        <v>59</v>
      </c>
      <c r="BY76" s="63">
        <v>20</v>
      </c>
      <c r="BZ76">
        <v>39</v>
      </c>
      <c r="CA76">
        <v>200</v>
      </c>
      <c r="CB76">
        <v>508</v>
      </c>
      <c r="CC76">
        <v>163</v>
      </c>
      <c r="CD76">
        <v>128</v>
      </c>
      <c r="CE76">
        <v>1763</v>
      </c>
      <c r="CF76">
        <v>148.7</v>
      </c>
      <c r="CG76">
        <v>130.4</v>
      </c>
      <c r="CH76" s="57">
        <f t="shared" si="67"/>
        <v>0.393700787401575</v>
      </c>
      <c r="CI76" s="57">
        <f t="shared" si="68"/>
        <v>1.2734375</v>
      </c>
      <c r="CJ76" s="57">
        <f t="shared" si="69"/>
        <v>1.14033742331288</v>
      </c>
      <c r="CK76">
        <v>5.25</v>
      </c>
      <c r="CL76">
        <v>1.62</v>
      </c>
      <c r="CM76">
        <v>0.17</v>
      </c>
      <c r="CN76">
        <v>3.38</v>
      </c>
      <c r="CO76">
        <v>5.4</v>
      </c>
      <c r="CP76">
        <v>58</v>
      </c>
      <c r="CQ76">
        <v>212</v>
      </c>
      <c r="CR76">
        <v>3.8</v>
      </c>
      <c r="CS76">
        <v>2.1</v>
      </c>
      <c r="CT76">
        <v>4.4</v>
      </c>
      <c r="CU76">
        <v>136</v>
      </c>
      <c r="CV76">
        <v>108</v>
      </c>
      <c r="CW76">
        <v>24</v>
      </c>
      <c r="CX76">
        <v>8.4</v>
      </c>
      <c r="CZ76">
        <v>9524</v>
      </c>
      <c r="DA76">
        <v>815</v>
      </c>
      <c r="DB76">
        <v>0.024</v>
      </c>
      <c r="DE76">
        <v>3.04</v>
      </c>
      <c r="DF76">
        <v>11.68</v>
      </c>
      <c r="DG76">
        <v>2.386</v>
      </c>
      <c r="DH76">
        <v>45.2</v>
      </c>
      <c r="DI76">
        <v>4.8</v>
      </c>
      <c r="DJ76">
        <v>8.5</v>
      </c>
      <c r="DK76">
        <v>4.7</v>
      </c>
      <c r="DL76">
        <v>5.4</v>
      </c>
      <c r="DM76">
        <v>31.4</v>
      </c>
      <c r="DN76">
        <v>0.82</v>
      </c>
      <c r="DO76">
        <v>1</v>
      </c>
      <c r="DP76">
        <v>2160</v>
      </c>
      <c r="DQ76">
        <v>236</v>
      </c>
      <c r="DR76">
        <v>395</v>
      </c>
      <c r="DS76">
        <v>79.9</v>
      </c>
      <c r="DT76">
        <v>13.2</v>
      </c>
      <c r="DU76">
        <v>43</v>
      </c>
      <c r="DV76">
        <v>0.45</v>
      </c>
      <c r="DW76">
        <v>1.6</v>
      </c>
      <c r="DY76" s="62">
        <v>4</v>
      </c>
      <c r="EG76">
        <f t="shared" si="70"/>
        <v>4.9079754601227</v>
      </c>
    </row>
    <row r="77" spans="1:137">
      <c r="A77" s="71" t="s">
        <v>209</v>
      </c>
      <c r="B77">
        <v>1045528</v>
      </c>
      <c r="C77">
        <v>1</v>
      </c>
      <c r="D77">
        <v>64</v>
      </c>
      <c r="E77" s="54">
        <v>1.65</v>
      </c>
      <c r="F77">
        <v>72</v>
      </c>
      <c r="G77" s="54">
        <v>26.5</v>
      </c>
      <c r="H77" s="55">
        <v>105</v>
      </c>
      <c r="I77" s="56"/>
      <c r="J77" s="57"/>
      <c r="K77" s="57"/>
      <c r="L77" s="57"/>
      <c r="M77" s="57"/>
      <c r="N77" s="57"/>
      <c r="O77" s="57"/>
      <c r="P77" s="57"/>
      <c r="Q77" s="57"/>
      <c r="R77" s="58"/>
      <c r="S77" s="54">
        <v>40.31</v>
      </c>
      <c r="T77">
        <v>6.4</v>
      </c>
      <c r="U77" s="54">
        <v>1</v>
      </c>
      <c r="V77" s="54">
        <v>2</v>
      </c>
      <c r="W77" s="60">
        <f t="shared" si="61"/>
        <v>30.9</v>
      </c>
      <c r="X77" s="61">
        <v>43851</v>
      </c>
      <c r="Y77" s="61">
        <v>43797</v>
      </c>
      <c r="Z77" s="61">
        <v>43804</v>
      </c>
      <c r="AA77" s="62">
        <v>2</v>
      </c>
      <c r="AB77" s="62">
        <v>7</v>
      </c>
      <c r="AC77" s="71" t="s">
        <v>210</v>
      </c>
      <c r="AD77">
        <v>15900209402</v>
      </c>
      <c r="AE77">
        <v>1</v>
      </c>
      <c r="AF77">
        <v>1</v>
      </c>
      <c r="AG77">
        <v>1</v>
      </c>
      <c r="AH77">
        <f t="shared" si="71"/>
        <v>1</v>
      </c>
      <c r="AI77">
        <v>2</v>
      </c>
      <c r="AJ77">
        <f t="shared" si="72"/>
        <v>1</v>
      </c>
      <c r="AK77">
        <f t="shared" si="73"/>
        <v>6</v>
      </c>
      <c r="AL77">
        <v>1</v>
      </c>
      <c r="AM77" s="1">
        <v>16.6</v>
      </c>
      <c r="AN77" s="1">
        <f t="shared" si="63"/>
        <v>73</v>
      </c>
      <c r="AO77" s="1">
        <f t="shared" si="74"/>
        <v>1.38</v>
      </c>
      <c r="AP77" s="62">
        <f t="shared" si="75"/>
        <v>3.60733519069407</v>
      </c>
      <c r="AQ77" s="1">
        <v>0</v>
      </c>
      <c r="AR77">
        <v>1</v>
      </c>
      <c r="AS77">
        <v>2.15</v>
      </c>
      <c r="AT77">
        <v>2.55</v>
      </c>
      <c r="AU77">
        <v>72</v>
      </c>
      <c r="AV77">
        <v>103</v>
      </c>
      <c r="AW77">
        <v>1.49</v>
      </c>
      <c r="AX77">
        <v>0.38</v>
      </c>
      <c r="AY77">
        <v>0.19</v>
      </c>
      <c r="AZ77">
        <f t="shared" si="64"/>
        <v>3.92105263157895</v>
      </c>
      <c r="BA77">
        <f t="shared" si="65"/>
        <v>271.052631578947</v>
      </c>
      <c r="BB77">
        <f t="shared" si="66"/>
        <v>2</v>
      </c>
      <c r="BC77">
        <v>1.6</v>
      </c>
      <c r="BD77">
        <v>11.46</v>
      </c>
      <c r="BE77" s="54">
        <v>2.11</v>
      </c>
      <c r="BF77">
        <v>3.66</v>
      </c>
      <c r="BR77">
        <v>15.2</v>
      </c>
      <c r="BS77">
        <v>1.38</v>
      </c>
      <c r="BT77">
        <v>31.6</v>
      </c>
      <c r="BU77">
        <v>23.6</v>
      </c>
      <c r="BV77">
        <v>1.81</v>
      </c>
      <c r="BW77">
        <v>472</v>
      </c>
      <c r="BX77">
        <v>51</v>
      </c>
      <c r="BY77" s="63">
        <v>29</v>
      </c>
      <c r="BZ77">
        <v>22</v>
      </c>
      <c r="CA77">
        <v>13</v>
      </c>
      <c r="CB77">
        <v>16</v>
      </c>
      <c r="CC77">
        <v>48</v>
      </c>
      <c r="CD77">
        <v>12</v>
      </c>
      <c r="CE77">
        <v>150</v>
      </c>
      <c r="CF77">
        <v>16.6</v>
      </c>
      <c r="CG77">
        <v>7.9</v>
      </c>
      <c r="CH77" s="57">
        <f t="shared" si="67"/>
        <v>0.8125</v>
      </c>
      <c r="CI77" s="57">
        <f t="shared" si="68"/>
        <v>4</v>
      </c>
      <c r="CJ77" s="57">
        <f t="shared" si="69"/>
        <v>2.10126582278481</v>
      </c>
      <c r="CO77">
        <v>2.7</v>
      </c>
      <c r="CP77">
        <v>73</v>
      </c>
      <c r="CQ77">
        <v>286</v>
      </c>
      <c r="CR77">
        <v>4.9</v>
      </c>
      <c r="CS77">
        <v>1.83</v>
      </c>
      <c r="CT77">
        <v>3.6</v>
      </c>
      <c r="CU77">
        <v>141</v>
      </c>
      <c r="CV77">
        <v>111</v>
      </c>
      <c r="CW77">
        <v>27</v>
      </c>
      <c r="CX77">
        <v>6.6</v>
      </c>
      <c r="CZ77">
        <v>55</v>
      </c>
      <c r="DA77">
        <v>21</v>
      </c>
      <c r="DB77" s="71" t="s">
        <v>3429</v>
      </c>
      <c r="DD77">
        <v>32.5</v>
      </c>
      <c r="DE77">
        <v>2.94</v>
      </c>
      <c r="DF77">
        <v>11.51</v>
      </c>
      <c r="DG77">
        <v>3.342</v>
      </c>
      <c r="DY77" s="62"/>
      <c r="EG77">
        <f t="shared" si="70"/>
        <v>1.08333333333333</v>
      </c>
    </row>
    <row r="78" spans="1:137">
      <c r="A78" s="71" t="s">
        <v>212</v>
      </c>
      <c r="B78">
        <v>1073721</v>
      </c>
      <c r="C78">
        <v>1</v>
      </c>
      <c r="D78">
        <v>43</v>
      </c>
      <c r="E78" s="54">
        <v>1.7</v>
      </c>
      <c r="F78">
        <v>65</v>
      </c>
      <c r="G78" s="54">
        <v>22.5</v>
      </c>
      <c r="H78" s="55">
        <v>77</v>
      </c>
      <c r="I78" s="56">
        <v>82.037</v>
      </c>
      <c r="J78" s="57">
        <v>136.2086</v>
      </c>
      <c r="K78" s="57">
        <v>112.0933</v>
      </c>
      <c r="L78" s="57">
        <v>93.1211</v>
      </c>
      <c r="M78" s="57">
        <f>P78/O78</f>
        <v>0.83074635147685</v>
      </c>
      <c r="N78" s="57">
        <f>J78/(E78*E78)</f>
        <v>47.1310034602076</v>
      </c>
      <c r="O78" s="57">
        <f>K78/(E78*E78)</f>
        <v>38.7866089965398</v>
      </c>
      <c r="P78" s="57">
        <f>L78/(E78*E78)</f>
        <v>32.2218339100346</v>
      </c>
      <c r="Q78" s="57">
        <f>O78+P78</f>
        <v>71.0084429065744</v>
      </c>
      <c r="R78" s="58">
        <v>-0.609031352363126</v>
      </c>
      <c r="S78" s="54"/>
      <c r="U78">
        <v>0</v>
      </c>
      <c r="V78">
        <v>1</v>
      </c>
      <c r="W78" s="60">
        <f t="shared" si="61"/>
        <v>46</v>
      </c>
      <c r="X78" s="61">
        <v>43870</v>
      </c>
      <c r="Y78" s="61">
        <v>43864</v>
      </c>
      <c r="Z78" s="61">
        <v>43868</v>
      </c>
      <c r="AA78" s="62">
        <v>1</v>
      </c>
      <c r="AB78" s="62">
        <v>4</v>
      </c>
      <c r="AC78" s="71" t="s">
        <v>3431</v>
      </c>
      <c r="AD78">
        <v>15028709386</v>
      </c>
      <c r="AE78">
        <v>1</v>
      </c>
      <c r="AF78">
        <v>1</v>
      </c>
      <c r="AG78">
        <v>1</v>
      </c>
      <c r="AH78">
        <f t="shared" si="71"/>
        <v>1</v>
      </c>
      <c r="AI78">
        <f>_xlfn.IFS(BY78&lt;28,1,BY78=28-35,2,BY78&gt;35,3)</f>
        <v>3</v>
      </c>
      <c r="AJ78">
        <f t="shared" si="72"/>
        <v>1</v>
      </c>
      <c r="AK78">
        <f t="shared" si="73"/>
        <v>7</v>
      </c>
      <c r="AL78">
        <v>2</v>
      </c>
      <c r="AM78" s="1">
        <v>11.1</v>
      </c>
      <c r="AN78" s="1">
        <f t="shared" si="63"/>
        <v>57</v>
      </c>
      <c r="AO78" s="1">
        <f t="shared" si="74"/>
        <v>1.19</v>
      </c>
      <c r="AP78" s="62">
        <f t="shared" si="75"/>
        <v>8.34827703978251</v>
      </c>
      <c r="AQ78" s="1">
        <v>1</v>
      </c>
      <c r="AR78">
        <v>1</v>
      </c>
      <c r="AS78">
        <v>7.3</v>
      </c>
      <c r="AT78">
        <v>4.52</v>
      </c>
      <c r="AU78">
        <v>141</v>
      </c>
      <c r="AV78">
        <v>107</v>
      </c>
      <c r="AW78">
        <v>5.29</v>
      </c>
      <c r="AX78">
        <v>1.4</v>
      </c>
      <c r="AY78">
        <v>0.55</v>
      </c>
      <c r="AZ78">
        <f t="shared" si="64"/>
        <v>3.77857142857143</v>
      </c>
      <c r="BA78">
        <f t="shared" si="65"/>
        <v>76.4285714285714</v>
      </c>
      <c r="BB78">
        <f t="shared" si="66"/>
        <v>2.54545454545454</v>
      </c>
      <c r="BC78">
        <v>1.96</v>
      </c>
      <c r="BD78">
        <v>146.82</v>
      </c>
      <c r="BE78" s="54">
        <v>2.06</v>
      </c>
      <c r="BF78">
        <v>3.94</v>
      </c>
      <c r="BM78">
        <v>0.264</v>
      </c>
      <c r="BN78">
        <v>9</v>
      </c>
      <c r="BO78">
        <v>71</v>
      </c>
      <c r="BQ78">
        <v>53</v>
      </c>
      <c r="BR78">
        <v>13.1</v>
      </c>
      <c r="BS78">
        <v>1.19</v>
      </c>
      <c r="BT78">
        <v>28.7</v>
      </c>
      <c r="BU78">
        <v>24.3</v>
      </c>
      <c r="BV78">
        <v>1.97</v>
      </c>
      <c r="BW78">
        <v>117</v>
      </c>
      <c r="BX78">
        <v>60</v>
      </c>
      <c r="BY78" s="63">
        <v>39</v>
      </c>
      <c r="BZ78">
        <v>21</v>
      </c>
      <c r="CA78">
        <v>23</v>
      </c>
      <c r="CB78">
        <v>20</v>
      </c>
      <c r="CC78">
        <v>44</v>
      </c>
      <c r="CD78">
        <v>25</v>
      </c>
      <c r="CE78">
        <v>137</v>
      </c>
      <c r="CF78">
        <v>11.1</v>
      </c>
      <c r="CG78">
        <v>3.9</v>
      </c>
      <c r="CH78" s="57">
        <f t="shared" si="67"/>
        <v>1.15</v>
      </c>
      <c r="CI78" s="57">
        <f t="shared" si="68"/>
        <v>1.76</v>
      </c>
      <c r="CJ78" s="57">
        <f t="shared" si="69"/>
        <v>2.84615384615385</v>
      </c>
      <c r="CO78">
        <v>5</v>
      </c>
      <c r="CP78">
        <v>57</v>
      </c>
      <c r="CQ78">
        <v>396</v>
      </c>
      <c r="CS78">
        <v>2.1</v>
      </c>
      <c r="CT78">
        <v>3.9</v>
      </c>
      <c r="CU78">
        <v>141</v>
      </c>
      <c r="CV78">
        <v>106</v>
      </c>
      <c r="CW78">
        <v>27</v>
      </c>
      <c r="CX78">
        <v>11.9</v>
      </c>
      <c r="CZ78">
        <v>70</v>
      </c>
      <c r="DA78">
        <v>24</v>
      </c>
      <c r="DB78">
        <v>0.003</v>
      </c>
      <c r="DC78" s="71" t="s">
        <v>3432</v>
      </c>
      <c r="DY78" s="62"/>
      <c r="EG78">
        <f t="shared" si="70"/>
        <v>2.09090909090909</v>
      </c>
    </row>
    <row r="79" spans="1:137">
      <c r="A79" s="71" t="s">
        <v>215</v>
      </c>
      <c r="B79">
        <v>984008</v>
      </c>
      <c r="C79">
        <v>1</v>
      </c>
      <c r="D79">
        <v>60</v>
      </c>
      <c r="E79" s="84" t="s">
        <v>1571</v>
      </c>
      <c r="G79" s="54"/>
      <c r="H79" s="55"/>
      <c r="I79" s="56"/>
      <c r="J79" s="57"/>
      <c r="K79" s="57"/>
      <c r="L79" s="57"/>
      <c r="M79" s="57"/>
      <c r="N79" s="57"/>
      <c r="O79" s="57"/>
      <c r="P79" s="57"/>
      <c r="Q79" s="57"/>
      <c r="R79" s="58"/>
      <c r="S79" s="54">
        <v>32.2</v>
      </c>
      <c r="U79">
        <v>0</v>
      </c>
      <c r="V79">
        <v>1</v>
      </c>
      <c r="W79" s="60">
        <f t="shared" si="61"/>
        <v>34.6</v>
      </c>
      <c r="X79" s="61">
        <v>43866</v>
      </c>
      <c r="Y79" s="61">
        <v>43864</v>
      </c>
      <c r="AA79" s="62"/>
      <c r="AB79" s="62"/>
      <c r="AD79">
        <v>15122091069</v>
      </c>
      <c r="AE79">
        <v>1</v>
      </c>
      <c r="AF79">
        <v>1</v>
      </c>
      <c r="AG79">
        <v>1</v>
      </c>
      <c r="AH79">
        <v>2</v>
      </c>
      <c r="AI79">
        <f>_xlfn.IFS(BY79&lt;28,1,BY79=28-35,2,BY79&gt;35,3)</f>
        <v>1</v>
      </c>
      <c r="AJ79">
        <f t="shared" si="72"/>
        <v>1</v>
      </c>
      <c r="AK79">
        <f t="shared" si="73"/>
        <v>6</v>
      </c>
      <c r="AL79">
        <v>1</v>
      </c>
      <c r="AM79" s="1">
        <v>36.2</v>
      </c>
      <c r="AN79" s="1">
        <f t="shared" si="63"/>
        <v>54</v>
      </c>
      <c r="AO79" s="1">
        <f t="shared" si="74"/>
        <v>1.41</v>
      </c>
      <c r="AP79" s="62">
        <f t="shared" si="75"/>
        <v>6.69813117939668</v>
      </c>
      <c r="AQ79" s="1">
        <v>0</v>
      </c>
      <c r="AR79">
        <v>1</v>
      </c>
      <c r="AS79">
        <v>8.41</v>
      </c>
      <c r="AT79">
        <v>2.36</v>
      </c>
      <c r="AU79">
        <v>80</v>
      </c>
      <c r="AV79">
        <v>112</v>
      </c>
      <c r="AW79">
        <v>6.03</v>
      </c>
      <c r="AX79">
        <v>1.52</v>
      </c>
      <c r="AY79">
        <v>0.83</v>
      </c>
      <c r="AZ79">
        <f t="shared" si="64"/>
        <v>3.96710526315789</v>
      </c>
      <c r="BA79">
        <f t="shared" si="65"/>
        <v>73.6842105263158</v>
      </c>
      <c r="BB79">
        <f t="shared" si="66"/>
        <v>1.83132530120482</v>
      </c>
      <c r="BE79" s="54"/>
      <c r="BO79">
        <v>41</v>
      </c>
      <c r="BP79" s="71"/>
      <c r="BQ79">
        <v>58</v>
      </c>
      <c r="BR79">
        <v>15.5</v>
      </c>
      <c r="BS79">
        <v>1.41</v>
      </c>
      <c r="BT79" s="85">
        <v>31.3</v>
      </c>
      <c r="BU79" s="85">
        <v>26.1</v>
      </c>
      <c r="BV79" s="85">
        <v>1.42</v>
      </c>
      <c r="BW79" s="85">
        <v>361</v>
      </c>
      <c r="BX79" s="85">
        <v>51</v>
      </c>
      <c r="BY79" s="63">
        <v>27</v>
      </c>
      <c r="BZ79" s="85">
        <v>24</v>
      </c>
      <c r="CA79" s="85">
        <v>46</v>
      </c>
      <c r="CB79" s="85">
        <v>27</v>
      </c>
      <c r="CC79" s="85">
        <v>76</v>
      </c>
      <c r="CD79" s="85">
        <v>18</v>
      </c>
      <c r="CE79" s="85">
        <v>109</v>
      </c>
      <c r="CF79" s="85">
        <v>36.2</v>
      </c>
      <c r="CH79" s="57">
        <f t="shared" si="67"/>
        <v>1.7037037037037</v>
      </c>
      <c r="CI79" s="57">
        <f t="shared" si="68"/>
        <v>4.22222222222222</v>
      </c>
      <c r="CJ79" s="57"/>
      <c r="CO79">
        <v>7.6</v>
      </c>
      <c r="CP79">
        <v>54</v>
      </c>
      <c r="CQ79">
        <v>371</v>
      </c>
      <c r="CS79">
        <v>1.81</v>
      </c>
      <c r="CT79">
        <v>3.9</v>
      </c>
      <c r="CU79">
        <v>134</v>
      </c>
      <c r="CV79">
        <v>102</v>
      </c>
      <c r="CW79">
        <v>28</v>
      </c>
      <c r="CX79">
        <v>7.9</v>
      </c>
      <c r="CZ79">
        <v>34</v>
      </c>
      <c r="DA79">
        <v>23</v>
      </c>
      <c r="DB79" s="71" t="s">
        <v>3429</v>
      </c>
      <c r="DC79" s="71">
        <v>129.5</v>
      </c>
      <c r="DY79" s="62"/>
      <c r="EG79">
        <f t="shared" si="70"/>
        <v>2.42105263157895</v>
      </c>
    </row>
    <row r="80" spans="1:137">
      <c r="A80" s="71" t="s">
        <v>218</v>
      </c>
      <c r="B80">
        <v>662147</v>
      </c>
      <c r="C80">
        <v>2</v>
      </c>
      <c r="D80">
        <v>61</v>
      </c>
      <c r="E80" s="54">
        <v>1.55</v>
      </c>
      <c r="F80">
        <v>75</v>
      </c>
      <c r="G80" s="54">
        <v>31.22</v>
      </c>
      <c r="H80" s="55">
        <v>105.34</v>
      </c>
      <c r="I80" s="86">
        <v>105.34</v>
      </c>
      <c r="J80" s="86">
        <v>120.7567</v>
      </c>
      <c r="K80" s="86">
        <v>185.9269</v>
      </c>
      <c r="L80" s="86">
        <v>247.5211</v>
      </c>
      <c r="M80" s="57">
        <f>P80/O80</f>
        <v>1.33128181021681</v>
      </c>
      <c r="N80" s="57">
        <f>J80/(E80*E80)</f>
        <v>50.2629344432882</v>
      </c>
      <c r="O80" s="57">
        <f>K80/(E80*E80)</f>
        <v>77.3889281997919</v>
      </c>
      <c r="P80" s="57">
        <f>L80/(E80*E80)</f>
        <v>103.026472424558</v>
      </c>
      <c r="Q80" s="57">
        <f>O80+P80</f>
        <v>180.41540062435</v>
      </c>
      <c r="R80" s="58">
        <v>-0.324953445065177</v>
      </c>
      <c r="S80" s="54">
        <v>17.1</v>
      </c>
      <c r="U80">
        <v>0</v>
      </c>
      <c r="V80">
        <v>1</v>
      </c>
      <c r="W80" s="60">
        <f t="shared" si="61"/>
        <v>35.7</v>
      </c>
      <c r="X80" s="61">
        <v>43871</v>
      </c>
      <c r="Y80" s="61">
        <v>43862</v>
      </c>
      <c r="Z80" s="61">
        <v>43871</v>
      </c>
      <c r="AA80" s="62">
        <v>6</v>
      </c>
      <c r="AB80" s="62">
        <v>9</v>
      </c>
      <c r="AC80" s="71" t="s">
        <v>219</v>
      </c>
      <c r="AD80">
        <v>13810443472</v>
      </c>
      <c r="AE80">
        <v>1</v>
      </c>
      <c r="AF80">
        <v>1</v>
      </c>
      <c r="AG80">
        <v>1</v>
      </c>
      <c r="AH80">
        <f>_xlfn.IFS(CF80&lt;34,1,CF80=34-51,2,CF80&gt;51,3)</f>
        <v>1</v>
      </c>
      <c r="AI80">
        <v>2</v>
      </c>
      <c r="AJ80">
        <f t="shared" si="72"/>
        <v>1</v>
      </c>
      <c r="AK80">
        <f t="shared" si="73"/>
        <v>6</v>
      </c>
      <c r="AL80">
        <v>1</v>
      </c>
      <c r="AM80" s="1">
        <v>21.5</v>
      </c>
      <c r="AN80" s="1">
        <f t="shared" si="63"/>
        <v>35</v>
      </c>
      <c r="AO80" s="1">
        <f t="shared" si="74"/>
        <v>1.27</v>
      </c>
      <c r="AP80" s="62">
        <f t="shared" si="75"/>
        <v>9.0769892852696</v>
      </c>
      <c r="AQ80" s="1">
        <v>1</v>
      </c>
      <c r="AR80">
        <v>1</v>
      </c>
      <c r="AS80">
        <v>3.42</v>
      </c>
      <c r="AT80">
        <v>2.7</v>
      </c>
      <c r="AU80">
        <v>81</v>
      </c>
      <c r="AV80">
        <v>70</v>
      </c>
      <c r="AW80">
        <v>2.26</v>
      </c>
      <c r="AX80">
        <v>0.74</v>
      </c>
      <c r="AY80">
        <v>0.31</v>
      </c>
      <c r="AZ80">
        <f t="shared" si="64"/>
        <v>3.05405405405405</v>
      </c>
      <c r="BA80">
        <f t="shared" si="65"/>
        <v>94.5945945945946</v>
      </c>
      <c r="BB80">
        <f t="shared" si="66"/>
        <v>2.38709677419355</v>
      </c>
      <c r="BC80">
        <v>3.87</v>
      </c>
      <c r="BD80">
        <v>15.11</v>
      </c>
      <c r="BE80" s="54">
        <v>3.06</v>
      </c>
      <c r="BF80" s="71" t="s">
        <v>3411</v>
      </c>
      <c r="BG80" s="71">
        <v>7.3</v>
      </c>
      <c r="BI80">
        <v>66.7</v>
      </c>
      <c r="BR80">
        <v>13.9</v>
      </c>
      <c r="BS80">
        <v>1.27</v>
      </c>
      <c r="BT80" s="85">
        <v>31.6</v>
      </c>
      <c r="BU80" s="85">
        <v>24.6</v>
      </c>
      <c r="BV80" s="85">
        <v>1.78</v>
      </c>
      <c r="BW80" s="85">
        <v>483</v>
      </c>
      <c r="BX80" s="85">
        <v>64</v>
      </c>
      <c r="BY80" s="63">
        <v>32</v>
      </c>
      <c r="BZ80" s="85">
        <v>32</v>
      </c>
      <c r="CA80" s="85">
        <v>25</v>
      </c>
      <c r="CB80" s="85">
        <v>25</v>
      </c>
      <c r="CC80" s="85">
        <v>89</v>
      </c>
      <c r="CD80" s="85">
        <v>24</v>
      </c>
      <c r="CE80" s="85">
        <v>166</v>
      </c>
      <c r="CF80" s="85">
        <v>12.2</v>
      </c>
      <c r="CG80" s="85">
        <v>5.3</v>
      </c>
      <c r="CH80" s="57">
        <f t="shared" si="67"/>
        <v>1</v>
      </c>
      <c r="CI80" s="57">
        <f t="shared" si="68"/>
        <v>3.70833333333333</v>
      </c>
      <c r="CJ80" s="57">
        <f>CF80/CG80</f>
        <v>2.30188679245283</v>
      </c>
      <c r="CK80">
        <v>3.27</v>
      </c>
      <c r="CL80">
        <v>0.8</v>
      </c>
      <c r="CM80">
        <v>0.78</v>
      </c>
      <c r="CN80">
        <v>2.26</v>
      </c>
      <c r="CO80">
        <v>5.2</v>
      </c>
      <c r="CP80">
        <v>35</v>
      </c>
      <c r="CQ80">
        <v>394</v>
      </c>
      <c r="CS80">
        <v>2</v>
      </c>
      <c r="CT80">
        <v>3.9</v>
      </c>
      <c r="CU80">
        <v>137</v>
      </c>
      <c r="CV80">
        <v>105</v>
      </c>
      <c r="CW80">
        <v>24</v>
      </c>
      <c r="CX80">
        <v>11.9</v>
      </c>
      <c r="CY80">
        <v>16.5</v>
      </c>
      <c r="DA80">
        <v>1.1</v>
      </c>
      <c r="DB80" s="71" t="s">
        <v>3433</v>
      </c>
      <c r="DD80" s="71" t="s">
        <v>3432</v>
      </c>
      <c r="DE80">
        <v>3.32</v>
      </c>
      <c r="DF80">
        <v>12.7</v>
      </c>
      <c r="DG80">
        <v>0.572</v>
      </c>
      <c r="DH80">
        <v>48.7</v>
      </c>
      <c r="DI80">
        <v>3.7</v>
      </c>
      <c r="DJ80">
        <v>6.6</v>
      </c>
      <c r="DK80">
        <v>7.7</v>
      </c>
      <c r="DL80">
        <v>6.8</v>
      </c>
      <c r="DM80">
        <v>26.5</v>
      </c>
      <c r="DN80">
        <v>0.95</v>
      </c>
      <c r="DO80">
        <v>1</v>
      </c>
      <c r="DP80">
        <v>1810</v>
      </c>
      <c r="DQ80">
        <v>491</v>
      </c>
      <c r="DR80">
        <v>142</v>
      </c>
      <c r="DS80">
        <v>58.7</v>
      </c>
      <c r="DT80">
        <v>10.8</v>
      </c>
      <c r="DU80">
        <v>91.7</v>
      </c>
      <c r="DV80">
        <v>0.56</v>
      </c>
      <c r="DW80">
        <v>3.69</v>
      </c>
      <c r="DY80" s="62"/>
      <c r="EG80">
        <f t="shared" si="70"/>
        <v>1.12359550561798</v>
      </c>
    </row>
    <row r="81" spans="1:137">
      <c r="A81" s="71" t="s">
        <v>166</v>
      </c>
      <c r="B81">
        <v>922431</v>
      </c>
      <c r="C81">
        <v>1</v>
      </c>
      <c r="D81">
        <v>70</v>
      </c>
      <c r="E81" s="54">
        <v>1.74</v>
      </c>
      <c r="F81">
        <v>82</v>
      </c>
      <c r="G81" s="54">
        <v>27.08</v>
      </c>
      <c r="H81" s="55">
        <v>96</v>
      </c>
      <c r="I81">
        <v>107.39</v>
      </c>
      <c r="J81">
        <v>164.6329</v>
      </c>
      <c r="K81">
        <v>144.9463</v>
      </c>
      <c r="L81">
        <v>230.5842</v>
      </c>
      <c r="M81" s="57">
        <f>P81/O81</f>
        <v>1.59082501588519</v>
      </c>
      <c r="N81" s="57">
        <f>J81/(E81*E81)</f>
        <v>54.377361606553</v>
      </c>
      <c r="O81" s="57">
        <f>K81/(E81*E81)</f>
        <v>47.8749834852689</v>
      </c>
      <c r="P81" s="57">
        <f>L81/(E81*E81)</f>
        <v>76.1607213634562</v>
      </c>
      <c r="Q81" s="57">
        <f>O81+P81</f>
        <v>124.035704848725</v>
      </c>
      <c r="R81" s="58">
        <v>-0.606471816283925</v>
      </c>
      <c r="S81" s="54">
        <v>31.6</v>
      </c>
      <c r="U81">
        <v>0</v>
      </c>
      <c r="V81">
        <v>1</v>
      </c>
      <c r="W81" s="60">
        <f t="shared" si="61"/>
        <v>51.35</v>
      </c>
      <c r="X81" s="61">
        <v>43870</v>
      </c>
      <c r="Y81" s="61">
        <v>43866</v>
      </c>
      <c r="Z81" s="61">
        <v>43871</v>
      </c>
      <c r="AA81" s="62">
        <v>4</v>
      </c>
      <c r="AB81" s="62">
        <v>5</v>
      </c>
      <c r="AC81" s="71" t="s">
        <v>221</v>
      </c>
      <c r="AD81">
        <v>13802191675</v>
      </c>
      <c r="AE81">
        <v>1</v>
      </c>
      <c r="AF81">
        <v>1</v>
      </c>
      <c r="AG81">
        <v>1</v>
      </c>
      <c r="AH81">
        <f>_xlfn.IFS(CF81&lt;34,1,CF81=34-51,2,CF81&gt;51,3)</f>
        <v>1</v>
      </c>
      <c r="AI81">
        <f>_xlfn.IFS(BY81&lt;28,1,BY81=28-35,2,BY81&gt;35,3)</f>
        <v>3</v>
      </c>
      <c r="AJ81">
        <f t="shared" si="72"/>
        <v>1</v>
      </c>
      <c r="AK81">
        <f t="shared" si="73"/>
        <v>7</v>
      </c>
      <c r="AL81">
        <v>2</v>
      </c>
      <c r="AM81" s="1">
        <v>22.5</v>
      </c>
      <c r="AN81" s="1">
        <f t="shared" si="63"/>
        <v>82</v>
      </c>
      <c r="AO81" s="1">
        <f t="shared" si="74"/>
        <v>1.17</v>
      </c>
      <c r="AP81" s="62">
        <f t="shared" si="75"/>
        <v>8.22453060897335</v>
      </c>
      <c r="AQ81">
        <v>1</v>
      </c>
      <c r="AR81">
        <v>1</v>
      </c>
      <c r="AS81">
        <v>7.51</v>
      </c>
      <c r="AT81">
        <v>4.72</v>
      </c>
      <c r="AU81">
        <v>140</v>
      </c>
      <c r="AV81">
        <v>17</v>
      </c>
      <c r="AW81">
        <v>5.1</v>
      </c>
      <c r="AX81">
        <v>1.27</v>
      </c>
      <c r="AY81">
        <v>0.65</v>
      </c>
      <c r="AZ81">
        <f t="shared" si="64"/>
        <v>4.01574803149606</v>
      </c>
      <c r="BA81">
        <f t="shared" si="65"/>
        <v>13.3858267716535</v>
      </c>
      <c r="BB81">
        <f t="shared" si="66"/>
        <v>1.95384615384615</v>
      </c>
      <c r="BE81" s="54"/>
      <c r="BR81">
        <v>12.6</v>
      </c>
      <c r="BS81">
        <v>1.17</v>
      </c>
      <c r="BT81" s="85">
        <v>24.7</v>
      </c>
      <c r="BU81" s="85">
        <v>12.4</v>
      </c>
      <c r="BV81" s="85">
        <v>3.122</v>
      </c>
      <c r="BW81" s="85">
        <v>2.65</v>
      </c>
      <c r="BX81" s="85">
        <v>89</v>
      </c>
      <c r="BY81" s="63">
        <v>45</v>
      </c>
      <c r="BZ81" s="85">
        <v>44</v>
      </c>
      <c r="CA81" s="85">
        <v>47</v>
      </c>
      <c r="CB81" s="85">
        <v>42</v>
      </c>
      <c r="CC81" s="85">
        <v>124</v>
      </c>
      <c r="CD81" s="85">
        <v>192</v>
      </c>
      <c r="CE81" s="85">
        <v>151</v>
      </c>
      <c r="CF81" s="85">
        <v>17.4</v>
      </c>
      <c r="CH81" s="57">
        <f t="shared" si="67"/>
        <v>1.11904761904762</v>
      </c>
      <c r="CI81" s="57">
        <f t="shared" si="68"/>
        <v>0.645833333333333</v>
      </c>
      <c r="CJ81" s="57"/>
      <c r="CP81">
        <v>82</v>
      </c>
      <c r="CS81">
        <v>2.5</v>
      </c>
      <c r="CT81">
        <v>4</v>
      </c>
      <c r="CU81">
        <v>137</v>
      </c>
      <c r="CV81">
        <v>102</v>
      </c>
      <c r="CW81">
        <v>23</v>
      </c>
      <c r="CX81">
        <v>16</v>
      </c>
      <c r="CZ81">
        <v>104</v>
      </c>
      <c r="DA81">
        <v>19</v>
      </c>
      <c r="DB81">
        <v>0.006</v>
      </c>
      <c r="DH81">
        <v>52.8</v>
      </c>
      <c r="DI81">
        <v>3.7</v>
      </c>
      <c r="DJ81">
        <v>10.7</v>
      </c>
      <c r="DK81">
        <v>4.7</v>
      </c>
      <c r="DL81">
        <v>2.9</v>
      </c>
      <c r="DM81">
        <v>25.2</v>
      </c>
      <c r="DN81">
        <v>1.12</v>
      </c>
      <c r="DO81">
        <v>0</v>
      </c>
      <c r="DP81">
        <v>2180</v>
      </c>
      <c r="DQ81">
        <v>35.3</v>
      </c>
      <c r="DR81">
        <v>25.3</v>
      </c>
      <c r="DS81">
        <v>86.1</v>
      </c>
      <c r="DT81">
        <v>11.8</v>
      </c>
      <c r="DU81">
        <v>84.2</v>
      </c>
      <c r="DV81">
        <v>0.12</v>
      </c>
      <c r="DW81">
        <v>0.74</v>
      </c>
      <c r="DY81" s="62"/>
      <c r="EG81">
        <f t="shared" si="70"/>
        <v>1.51612903225806</v>
      </c>
    </row>
  </sheetData>
  <sheetProtection formatCells="0" insertHyperlinks="0" autoFilter="0"/>
  <pageMargins left="0.75" right="0.75" top="1" bottom="1" header="0.5" footer="0.5"/>
  <pageSetup paperSize="1" fitToWidth="0"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T7"/>
  <sheetViews>
    <sheetView topLeftCell="K1" workbookViewId="0">
      <selection activeCell="AA3" sqref="AA3:AA5"/>
    </sheetView>
  </sheetViews>
  <sheetFormatPr defaultColWidth="9" defaultRowHeight="14.25" outlineLevelRow="6"/>
  <sheetData>
    <row r="1" s="1" customFormat="1" ht="22.15" customHeight="1" spans="1:202">
      <c r="A1" s="4" t="s">
        <v>10</v>
      </c>
      <c r="B1" s="5" t="s">
        <v>3434</v>
      </c>
      <c r="C1" s="5" t="s">
        <v>3435</v>
      </c>
      <c r="D1" s="5" t="s">
        <v>30</v>
      </c>
      <c r="E1" s="5" t="s">
        <v>3436</v>
      </c>
      <c r="F1" s="6" t="s">
        <v>3437</v>
      </c>
      <c r="G1" s="7" t="s">
        <v>3261</v>
      </c>
      <c r="H1" s="7" t="s">
        <v>9</v>
      </c>
      <c r="I1" s="7" t="s">
        <v>3438</v>
      </c>
      <c r="J1" s="8" t="s">
        <v>3439</v>
      </c>
      <c r="K1" s="7" t="s">
        <v>3440</v>
      </c>
      <c r="L1" s="7" t="s">
        <v>3441</v>
      </c>
      <c r="M1" s="7" t="s">
        <v>3442</v>
      </c>
      <c r="N1" s="7" t="s">
        <v>3443</v>
      </c>
      <c r="O1" s="6" t="s">
        <v>3444</v>
      </c>
      <c r="P1" s="6" t="s">
        <v>3445</v>
      </c>
      <c r="Q1" s="9" t="s">
        <v>19</v>
      </c>
      <c r="R1" s="9" t="s">
        <v>3446</v>
      </c>
      <c r="S1" s="9" t="s">
        <v>3447</v>
      </c>
      <c r="T1" s="9" t="s">
        <v>3448</v>
      </c>
      <c r="U1" s="9" t="s">
        <v>3447</v>
      </c>
      <c r="V1" s="9" t="s">
        <v>3449</v>
      </c>
      <c r="W1" s="9" t="s">
        <v>3447</v>
      </c>
      <c r="X1" s="9" t="s">
        <v>3450</v>
      </c>
      <c r="Y1" s="10" t="s">
        <v>3451</v>
      </c>
      <c r="Z1" s="9" t="s">
        <v>3447</v>
      </c>
      <c r="AA1" s="9" t="s">
        <v>3452</v>
      </c>
      <c r="AB1" s="10" t="s">
        <v>3453</v>
      </c>
      <c r="AC1" s="9" t="s">
        <v>3454</v>
      </c>
      <c r="AD1" s="11" t="s">
        <v>3455</v>
      </c>
      <c r="AE1" s="11" t="s">
        <v>3331</v>
      </c>
      <c r="AF1" s="11" t="s">
        <v>3456</v>
      </c>
      <c r="AG1" s="11" t="s">
        <v>3457</v>
      </c>
      <c r="AH1" s="11" t="s">
        <v>3458</v>
      </c>
      <c r="AI1" s="11" t="s">
        <v>3459</v>
      </c>
      <c r="AJ1" s="11" t="s">
        <v>3460</v>
      </c>
      <c r="AK1" s="11" t="s">
        <v>3461</v>
      </c>
      <c r="AL1" s="12" t="s">
        <v>3462</v>
      </c>
      <c r="AM1" s="12" t="s">
        <v>3463</v>
      </c>
      <c r="AN1" s="12" t="s">
        <v>3464</v>
      </c>
      <c r="AO1" s="12" t="s">
        <v>3465</v>
      </c>
      <c r="AP1" s="12" t="s">
        <v>3466</v>
      </c>
      <c r="AQ1" s="13" t="s">
        <v>3467</v>
      </c>
      <c r="AR1" s="13" t="s">
        <v>3468</v>
      </c>
      <c r="AS1" s="13" t="s">
        <v>3469</v>
      </c>
      <c r="AT1" s="13" t="s">
        <v>3470</v>
      </c>
      <c r="AU1" s="14" t="s">
        <v>3471</v>
      </c>
      <c r="AV1" s="15" t="s">
        <v>3472</v>
      </c>
      <c r="AW1" s="15" t="s">
        <v>3473</v>
      </c>
      <c r="AX1" s="15" t="s">
        <v>6</v>
      </c>
      <c r="AY1" s="15" t="s">
        <v>3474</v>
      </c>
      <c r="AZ1" s="15" t="s">
        <v>3475</v>
      </c>
      <c r="BA1" s="16" t="s">
        <v>32</v>
      </c>
      <c r="BB1" s="16" t="s">
        <v>27</v>
      </c>
      <c r="BC1" s="16" t="s">
        <v>3476</v>
      </c>
      <c r="BD1" s="16" t="s">
        <v>3477</v>
      </c>
      <c r="BE1" s="16" t="s">
        <v>3478</v>
      </c>
      <c r="BF1" s="16" t="s">
        <v>3479</v>
      </c>
      <c r="BG1" s="16" t="s">
        <v>3480</v>
      </c>
      <c r="BH1" s="16" t="s">
        <v>3481</v>
      </c>
      <c r="BI1" s="16" t="s">
        <v>3482</v>
      </c>
      <c r="BJ1" s="16" t="s">
        <v>3483</v>
      </c>
      <c r="BK1" s="15" t="s">
        <v>3484</v>
      </c>
      <c r="BL1" s="15" t="s">
        <v>3485</v>
      </c>
      <c r="BM1" s="15" t="s">
        <v>35</v>
      </c>
      <c r="BN1" s="15" t="s">
        <v>3486</v>
      </c>
      <c r="BO1" s="15" t="s">
        <v>3487</v>
      </c>
      <c r="BP1" s="15" t="s">
        <v>3488</v>
      </c>
      <c r="BQ1" s="15" t="s">
        <v>3489</v>
      </c>
      <c r="BR1" s="17" t="s">
        <v>3490</v>
      </c>
      <c r="BS1" s="17" t="s">
        <v>3491</v>
      </c>
      <c r="BT1" s="17" t="s">
        <v>3492</v>
      </c>
      <c r="BU1" s="13" t="s">
        <v>43</v>
      </c>
      <c r="BV1" s="13" t="s">
        <v>3493</v>
      </c>
      <c r="BW1" s="13" t="s">
        <v>3494</v>
      </c>
      <c r="BX1" s="18" t="s">
        <v>3495</v>
      </c>
      <c r="BY1" s="18" t="s">
        <v>3496</v>
      </c>
      <c r="BZ1" s="18" t="s">
        <v>3497</v>
      </c>
      <c r="CA1" s="19" t="s">
        <v>3498</v>
      </c>
      <c r="CB1" s="19" t="s">
        <v>3499</v>
      </c>
      <c r="CC1" s="19" t="s">
        <v>3183</v>
      </c>
      <c r="CD1" s="19" t="s">
        <v>3500</v>
      </c>
      <c r="CE1" s="19" t="s">
        <v>3501</v>
      </c>
      <c r="CF1" s="19" t="s">
        <v>3502</v>
      </c>
      <c r="CG1" s="19" t="s">
        <v>3503</v>
      </c>
      <c r="CH1" s="19" t="s">
        <v>3504</v>
      </c>
      <c r="CI1" s="19" t="s">
        <v>3505</v>
      </c>
      <c r="CJ1" s="19" t="s">
        <v>3506</v>
      </c>
      <c r="CK1" s="20" t="s">
        <v>3507</v>
      </c>
      <c r="CL1" s="20" t="s">
        <v>3508</v>
      </c>
      <c r="CM1" s="20" t="s">
        <v>3509</v>
      </c>
      <c r="CN1" s="20" t="s">
        <v>3510</v>
      </c>
      <c r="CO1" s="21" t="s">
        <v>3511</v>
      </c>
      <c r="CP1" s="21" t="s">
        <v>3512</v>
      </c>
      <c r="CQ1" s="21" t="s">
        <v>3513</v>
      </c>
      <c r="CR1" s="21" t="s">
        <v>3514</v>
      </c>
      <c r="CS1" s="21" t="s">
        <v>3515</v>
      </c>
      <c r="CT1" s="21" t="s">
        <v>3516</v>
      </c>
      <c r="CU1" s="21" t="s">
        <v>3406</v>
      </c>
      <c r="CV1" s="21" t="s">
        <v>3364</v>
      </c>
      <c r="CW1" s="21" t="s">
        <v>3407</v>
      </c>
      <c r="CX1" s="21" t="s">
        <v>3408</v>
      </c>
      <c r="CY1" s="21" t="s">
        <v>3517</v>
      </c>
      <c r="CZ1" s="21" t="s">
        <v>3409</v>
      </c>
      <c r="DA1" s="21" t="s">
        <v>3375</v>
      </c>
      <c r="DB1" s="22" t="s">
        <v>3518</v>
      </c>
      <c r="DC1" s="22" t="s">
        <v>3519</v>
      </c>
      <c r="DD1" s="22" t="s">
        <v>3520</v>
      </c>
      <c r="DE1" s="22" t="s">
        <v>3521</v>
      </c>
      <c r="DF1" s="22" t="s">
        <v>3522</v>
      </c>
      <c r="DG1" s="22" t="s">
        <v>3396</v>
      </c>
      <c r="DH1" s="22" t="s">
        <v>3523</v>
      </c>
      <c r="DI1" s="22" t="s">
        <v>3524</v>
      </c>
      <c r="DJ1" s="22" t="s">
        <v>3525</v>
      </c>
      <c r="DK1" s="22" t="s">
        <v>3360</v>
      </c>
      <c r="DL1" s="22" t="s">
        <v>3361</v>
      </c>
      <c r="DM1" s="22" t="s">
        <v>3526</v>
      </c>
      <c r="DN1" s="22" t="s">
        <v>3363</v>
      </c>
      <c r="DO1" s="22" t="s">
        <v>3364</v>
      </c>
      <c r="DP1" s="22" t="s">
        <v>37</v>
      </c>
      <c r="DQ1" s="22" t="s">
        <v>3365</v>
      </c>
      <c r="DR1" s="22" t="s">
        <v>3486</v>
      </c>
      <c r="DS1" s="23" t="s">
        <v>3376</v>
      </c>
      <c r="DT1" s="23" t="s">
        <v>3377</v>
      </c>
      <c r="DU1" s="23" t="s">
        <v>41</v>
      </c>
      <c r="DV1" s="23" t="s">
        <v>3517</v>
      </c>
      <c r="DW1" s="23" t="s">
        <v>3380</v>
      </c>
      <c r="DX1" s="24"/>
      <c r="DY1" s="17" t="s">
        <v>3353</v>
      </c>
      <c r="DZ1" s="17" t="s">
        <v>3527</v>
      </c>
      <c r="EA1" s="17" t="s">
        <v>3354</v>
      </c>
      <c r="EB1" s="17" t="s">
        <v>3528</v>
      </c>
      <c r="EC1" s="13" t="s">
        <v>3529</v>
      </c>
      <c r="ED1" s="13" t="s">
        <v>3530</v>
      </c>
      <c r="EE1" s="13" t="s">
        <v>3531</v>
      </c>
      <c r="EF1" s="13" t="s">
        <v>3532</v>
      </c>
      <c r="EG1" s="13" t="s">
        <v>3533</v>
      </c>
      <c r="EH1" s="25" t="s">
        <v>3534</v>
      </c>
      <c r="EI1" s="13" t="s">
        <v>3535</v>
      </c>
      <c r="EJ1" s="26" t="s">
        <v>3536</v>
      </c>
      <c r="EK1" s="26" t="s">
        <v>3405</v>
      </c>
      <c r="EL1" s="27" t="s">
        <v>3537</v>
      </c>
      <c r="EM1" s="27" t="s">
        <v>3538</v>
      </c>
      <c r="EN1" s="27" t="s">
        <v>3539</v>
      </c>
      <c r="EO1" s="27" t="s">
        <v>3540</v>
      </c>
      <c r="EP1" s="27" t="s">
        <v>3541</v>
      </c>
      <c r="EQ1" s="27" t="s">
        <v>3542</v>
      </c>
      <c r="ER1" s="27" t="s">
        <v>3543</v>
      </c>
      <c r="ES1" s="27" t="s">
        <v>3544</v>
      </c>
      <c r="ET1" s="28" t="s">
        <v>3397</v>
      </c>
      <c r="EU1" s="28" t="s">
        <v>3398</v>
      </c>
      <c r="EV1" s="28" t="s">
        <v>3399</v>
      </c>
      <c r="EW1" s="28" t="s">
        <v>3400</v>
      </c>
      <c r="EX1" s="28" t="s">
        <v>3401</v>
      </c>
      <c r="EY1" s="28" t="s">
        <v>3404</v>
      </c>
      <c r="EZ1" s="28" t="s">
        <v>3402</v>
      </c>
      <c r="FA1" s="28" t="s">
        <v>3545</v>
      </c>
      <c r="FB1" s="28" t="s">
        <v>26</v>
      </c>
      <c r="FC1" s="29"/>
      <c r="FD1" s="29" t="s">
        <v>3546</v>
      </c>
      <c r="FE1" s="29" t="s">
        <v>3547</v>
      </c>
      <c r="FF1" s="29"/>
      <c r="FG1" s="29" t="s">
        <v>3548</v>
      </c>
      <c r="FH1" s="29" t="s">
        <v>3549</v>
      </c>
      <c r="FI1" s="29"/>
      <c r="FJ1" s="29"/>
      <c r="FK1" s="29"/>
      <c r="FL1" s="29"/>
      <c r="FM1" s="29"/>
      <c r="FN1" s="23"/>
      <c r="FO1" s="23"/>
      <c r="FP1" s="23"/>
      <c r="FQ1" s="23"/>
      <c r="FR1" s="23"/>
      <c r="FS1" s="18"/>
      <c r="FT1" s="18"/>
      <c r="FU1" s="18"/>
      <c r="FV1" s="18"/>
      <c r="FW1" s="22"/>
      <c r="FX1" s="22"/>
      <c r="FY1" s="22"/>
      <c r="FZ1" s="22"/>
      <c r="GA1" s="22"/>
      <c r="GB1" s="8"/>
      <c r="GC1" s="8"/>
      <c r="GD1" s="8"/>
      <c r="GE1" s="8"/>
      <c r="GF1" s="8"/>
      <c r="GG1" s="8"/>
      <c r="GH1" s="8"/>
      <c r="GI1" s="8"/>
      <c r="GJ1" s="8"/>
      <c r="GK1" s="8"/>
      <c r="GL1" s="8"/>
      <c r="GM1" s="8"/>
      <c r="GN1" s="8"/>
      <c r="GO1" s="8"/>
      <c r="GP1" s="8"/>
      <c r="GQ1" s="8"/>
      <c r="GR1" s="8"/>
      <c r="GS1" s="8"/>
      <c r="GT1" s="8"/>
    </row>
    <row r="2" s="2" customFormat="1" ht="19.15" customHeight="1" spans="1:202">
      <c r="A2" s="2">
        <v>2</v>
      </c>
      <c r="B2" s="2">
        <v>4</v>
      </c>
      <c r="F2" s="2">
        <v>53</v>
      </c>
      <c r="G2" s="2">
        <v>805762</v>
      </c>
      <c r="H2" s="2" t="s">
        <v>3550</v>
      </c>
      <c r="J2" s="328" t="s">
        <v>3551</v>
      </c>
      <c r="K2" s="329" t="s">
        <v>3552</v>
      </c>
      <c r="L2" s="32">
        <v>43211</v>
      </c>
      <c r="M2" s="32">
        <v>43229</v>
      </c>
      <c r="N2" s="2">
        <v>3</v>
      </c>
      <c r="O2" s="33">
        <v>159</v>
      </c>
      <c r="P2" s="33"/>
      <c r="Q2" s="34"/>
      <c r="R2" s="34"/>
      <c r="S2" s="34"/>
      <c r="T2" s="34"/>
      <c r="U2" s="34"/>
      <c r="V2" s="34"/>
      <c r="W2" s="34"/>
      <c r="X2" s="34"/>
      <c r="Y2" s="35">
        <v>53</v>
      </c>
      <c r="Z2" s="34"/>
      <c r="AA2" s="34">
        <v>0</v>
      </c>
      <c r="AB2" s="34">
        <v>0</v>
      </c>
      <c r="AC2" s="34"/>
      <c r="AE2" s="2">
        <v>13672052537</v>
      </c>
      <c r="AG2" s="2" t="s">
        <v>3553</v>
      </c>
      <c r="AK2" s="2" t="s">
        <v>3554</v>
      </c>
      <c r="BA2" s="2">
        <v>1</v>
      </c>
      <c r="BB2" s="2">
        <v>3</v>
      </c>
      <c r="BC2" s="2">
        <v>29</v>
      </c>
      <c r="BD2" s="2">
        <v>2</v>
      </c>
      <c r="BE2" s="2">
        <v>1.14</v>
      </c>
      <c r="BF2" s="2">
        <v>1</v>
      </c>
      <c r="BG2" s="2">
        <v>49.7</v>
      </c>
      <c r="BH2" s="2">
        <v>2</v>
      </c>
      <c r="BI2" s="2">
        <v>9</v>
      </c>
      <c r="BJ2" s="2">
        <v>2</v>
      </c>
      <c r="BK2" s="2">
        <v>49.7</v>
      </c>
      <c r="BL2" s="2">
        <v>2.90643274853801</v>
      </c>
      <c r="BM2" s="2">
        <v>1.14</v>
      </c>
      <c r="BN2" s="2">
        <v>53</v>
      </c>
      <c r="BO2" s="2">
        <v>1</v>
      </c>
      <c r="BP2" s="2">
        <v>11.9218371234088</v>
      </c>
      <c r="BQ2" s="2">
        <v>12</v>
      </c>
      <c r="BU2" s="2">
        <v>6.73</v>
      </c>
      <c r="BV2" s="2">
        <v>2.93</v>
      </c>
      <c r="BW2" s="2">
        <v>2.84</v>
      </c>
      <c r="BX2" s="2">
        <v>2.69</v>
      </c>
      <c r="BY2" s="2">
        <v>87</v>
      </c>
      <c r="BZ2" s="2">
        <v>433</v>
      </c>
      <c r="CA2" s="2">
        <v>43.6</v>
      </c>
      <c r="CB2" s="2">
        <v>42.2</v>
      </c>
      <c r="CC2" s="36">
        <v>1.03317535545024</v>
      </c>
      <c r="CD2" s="2">
        <v>11</v>
      </c>
      <c r="CE2" s="2">
        <v>2.8</v>
      </c>
      <c r="CF2" s="2">
        <v>16</v>
      </c>
      <c r="CG2" s="2">
        <v>51.5</v>
      </c>
      <c r="CH2" s="2">
        <v>11.1</v>
      </c>
      <c r="CI2" s="2">
        <v>10.4</v>
      </c>
      <c r="CJ2" s="2">
        <v>26.9</v>
      </c>
      <c r="DH2" s="2">
        <v>71</v>
      </c>
      <c r="DI2" s="2">
        <v>29</v>
      </c>
      <c r="DJ2" s="2">
        <v>42</v>
      </c>
      <c r="DK2" s="2">
        <v>48</v>
      </c>
      <c r="DL2" s="2">
        <v>92</v>
      </c>
      <c r="DM2" s="2">
        <v>304</v>
      </c>
      <c r="DN2" s="2">
        <v>219</v>
      </c>
      <c r="DO2" s="2">
        <v>255</v>
      </c>
      <c r="DP2" s="2">
        <v>49.7</v>
      </c>
      <c r="DQ2" s="2">
        <v>40.1</v>
      </c>
      <c r="DR2" s="2">
        <v>53</v>
      </c>
      <c r="DS2" s="2">
        <v>2.31</v>
      </c>
      <c r="DT2" s="2">
        <v>4.6</v>
      </c>
      <c r="DU2" s="2">
        <v>126</v>
      </c>
      <c r="DV2" s="2">
        <v>89</v>
      </c>
      <c r="DW2" s="2">
        <v>8.6</v>
      </c>
      <c r="DX2" s="2">
        <v>39</v>
      </c>
      <c r="DY2" s="2">
        <v>12.5</v>
      </c>
      <c r="DZ2" s="2">
        <v>1.14</v>
      </c>
      <c r="EA2" s="2">
        <v>32.4</v>
      </c>
      <c r="EB2" s="2">
        <v>1780</v>
      </c>
      <c r="EL2" s="2">
        <v>2.18</v>
      </c>
      <c r="EM2" s="2">
        <v>41.18</v>
      </c>
      <c r="EN2" s="2">
        <v>1.93</v>
      </c>
      <c r="EO2" s="2">
        <v>3.94</v>
      </c>
      <c r="ES2" s="2">
        <v>94.5</v>
      </c>
    </row>
    <row r="3" s="2" customFormat="1" ht="18.75" spans="1:202">
      <c r="A3" s="2">
        <v>2</v>
      </c>
      <c r="B3" s="2">
        <v>3</v>
      </c>
      <c r="F3" s="2">
        <v>54</v>
      </c>
      <c r="G3" s="2">
        <v>661679</v>
      </c>
      <c r="H3" s="2" t="s">
        <v>3555</v>
      </c>
      <c r="J3" s="329" t="s">
        <v>3556</v>
      </c>
      <c r="K3" s="329" t="s">
        <v>3557</v>
      </c>
      <c r="L3" s="32">
        <v>43216</v>
      </c>
      <c r="M3" s="32">
        <v>43225</v>
      </c>
      <c r="N3" s="2">
        <v>38</v>
      </c>
      <c r="O3" s="33"/>
      <c r="P3" s="33"/>
      <c r="Q3" s="34"/>
      <c r="R3" s="34"/>
      <c r="S3" s="34"/>
      <c r="T3" s="34"/>
      <c r="U3" s="34"/>
      <c r="V3" s="34"/>
      <c r="W3" s="34"/>
      <c r="X3" s="34"/>
      <c r="Y3" s="35"/>
      <c r="Z3" s="34"/>
      <c r="AA3" s="37" t="s">
        <v>3558</v>
      </c>
      <c r="AB3" s="38"/>
      <c r="AC3" s="34"/>
      <c r="AE3" s="2">
        <v>13920785430</v>
      </c>
      <c r="AG3" s="2" t="s">
        <v>3559</v>
      </c>
      <c r="AK3" s="2" t="s">
        <v>3560</v>
      </c>
      <c r="BA3" s="2">
        <v>1</v>
      </c>
      <c r="BB3" s="2">
        <v>1</v>
      </c>
      <c r="BC3" s="2">
        <v>37</v>
      </c>
      <c r="BD3" s="2">
        <v>1</v>
      </c>
      <c r="BE3" s="2">
        <v>1.21</v>
      </c>
      <c r="BF3" s="2">
        <v>1</v>
      </c>
      <c r="BG3" s="2">
        <v>14.4</v>
      </c>
      <c r="BH3" s="2">
        <v>1</v>
      </c>
      <c r="BI3" s="2">
        <v>5</v>
      </c>
      <c r="BJ3" s="2">
        <v>1</v>
      </c>
      <c r="BK3" s="2">
        <v>14.4</v>
      </c>
      <c r="BL3" s="2">
        <v>0.842105263157895</v>
      </c>
      <c r="BM3" s="2">
        <v>1.21</v>
      </c>
      <c r="BN3" s="2">
        <v>0</v>
      </c>
      <c r="BP3" s="2" t="e">
        <v>#NUM!</v>
      </c>
      <c r="BQ3" s="2" t="e">
        <v>#NUM!</v>
      </c>
      <c r="BU3" s="2">
        <v>1.74</v>
      </c>
      <c r="BV3" s="2">
        <v>1.07</v>
      </c>
      <c r="BW3" s="2">
        <v>0.37</v>
      </c>
      <c r="BX3" s="2">
        <v>2.84</v>
      </c>
      <c r="BY3" s="2">
        <v>57</v>
      </c>
      <c r="BZ3" s="2">
        <v>58</v>
      </c>
      <c r="CA3" s="2">
        <v>61.4</v>
      </c>
      <c r="CB3" s="2">
        <v>21.3</v>
      </c>
      <c r="CC3" s="36">
        <v>2.88262910798122</v>
      </c>
      <c r="CD3" s="2">
        <v>14.4</v>
      </c>
      <c r="CE3" s="2">
        <v>2.3</v>
      </c>
      <c r="CF3" s="2">
        <v>20.8</v>
      </c>
      <c r="CG3" s="2">
        <v>53.5</v>
      </c>
      <c r="DH3" s="2">
        <v>66</v>
      </c>
      <c r="DI3" s="2">
        <v>37</v>
      </c>
      <c r="DJ3" s="2">
        <v>29</v>
      </c>
      <c r="DK3" s="2">
        <v>19</v>
      </c>
      <c r="DL3" s="2">
        <v>21</v>
      </c>
      <c r="DM3" s="2">
        <v>53</v>
      </c>
      <c r="DN3" s="2">
        <v>13</v>
      </c>
      <c r="DO3" s="2">
        <v>220</v>
      </c>
      <c r="DP3" s="2">
        <v>14.4</v>
      </c>
      <c r="DQ3" s="2">
        <v>5.3</v>
      </c>
      <c r="DT3" s="2">
        <v>3.3</v>
      </c>
      <c r="DU3" s="2">
        <v>145</v>
      </c>
      <c r="DV3" s="2">
        <v>113</v>
      </c>
      <c r="DW3" s="2">
        <v>9.3</v>
      </c>
      <c r="DY3" s="2">
        <v>13.2</v>
      </c>
      <c r="DZ3" s="2">
        <v>1.21</v>
      </c>
      <c r="EA3" s="2">
        <v>27.5</v>
      </c>
      <c r="EB3" s="2">
        <v>2239</v>
      </c>
      <c r="EL3" s="2">
        <v>1.3</v>
      </c>
      <c r="EM3" s="2">
        <v>8.95</v>
      </c>
      <c r="EN3" s="2">
        <v>1.9</v>
      </c>
      <c r="EO3" s="2">
        <v>17.03</v>
      </c>
      <c r="ES3" s="2">
        <v>69.58</v>
      </c>
    </row>
    <row r="4" s="2" customFormat="1" ht="18.75" spans="1:202">
      <c r="A4" s="2">
        <v>2</v>
      </c>
      <c r="B4" s="2">
        <v>0</v>
      </c>
      <c r="F4" s="2">
        <v>55</v>
      </c>
      <c r="G4" s="2">
        <v>924027</v>
      </c>
      <c r="H4" s="2" t="s">
        <v>3561</v>
      </c>
      <c r="L4" s="32">
        <v>43213</v>
      </c>
      <c r="M4" s="32">
        <v>43228</v>
      </c>
      <c r="N4" s="2">
        <v>72</v>
      </c>
      <c r="O4" s="33"/>
      <c r="P4" s="33"/>
      <c r="Q4" s="34"/>
      <c r="R4" s="34"/>
      <c r="S4" s="34"/>
      <c r="T4" s="34"/>
      <c r="U4" s="34"/>
      <c r="V4" s="34"/>
      <c r="W4" s="34"/>
      <c r="X4" s="34"/>
      <c r="Y4" s="35"/>
      <c r="Z4" s="34"/>
      <c r="AA4" s="37" t="s">
        <v>3562</v>
      </c>
      <c r="AB4" s="38"/>
      <c r="AC4" s="34"/>
      <c r="AE4" s="2">
        <v>13512406804</v>
      </c>
      <c r="AG4" s="2" t="s">
        <v>3563</v>
      </c>
      <c r="AK4" s="2" t="s">
        <v>3564</v>
      </c>
      <c r="BA4" s="2">
        <v>3</v>
      </c>
      <c r="BB4" s="2">
        <v>1</v>
      </c>
      <c r="BC4" s="2">
        <v>30</v>
      </c>
      <c r="BD4" s="2">
        <v>2</v>
      </c>
      <c r="BE4" s="2">
        <v>1.12</v>
      </c>
      <c r="BF4" s="2">
        <v>1</v>
      </c>
      <c r="BG4" s="2">
        <v>27.1</v>
      </c>
      <c r="BH4" s="2">
        <v>1</v>
      </c>
      <c r="BI4" s="2">
        <v>8</v>
      </c>
      <c r="BJ4" s="2">
        <v>2</v>
      </c>
      <c r="BK4" s="2">
        <v>27.1</v>
      </c>
      <c r="BL4" s="2">
        <v>1.58479532163743</v>
      </c>
      <c r="BM4" s="2">
        <v>1.12</v>
      </c>
      <c r="BN4" s="2">
        <v>77</v>
      </c>
      <c r="BO4" s="2">
        <v>1</v>
      </c>
      <c r="BP4" s="2">
        <v>9.41901128007119</v>
      </c>
      <c r="BQ4" s="2">
        <v>9</v>
      </c>
      <c r="BU4" s="2">
        <v>2.84</v>
      </c>
      <c r="BV4" s="2">
        <v>1.05</v>
      </c>
      <c r="BW4" s="2">
        <v>1.1</v>
      </c>
      <c r="BX4" s="2">
        <v>3.24</v>
      </c>
      <c r="BY4" s="2">
        <v>116</v>
      </c>
      <c r="BZ4" s="2">
        <v>86</v>
      </c>
      <c r="CA4" s="2">
        <v>37</v>
      </c>
      <c r="CB4" s="2">
        <v>38.7</v>
      </c>
      <c r="CC4" s="36">
        <v>0.956072351421189</v>
      </c>
      <c r="CD4" s="2">
        <v>17.3</v>
      </c>
      <c r="CE4" s="2">
        <v>6.3</v>
      </c>
      <c r="CF4" s="2">
        <v>14</v>
      </c>
      <c r="CG4" s="2">
        <v>54.2</v>
      </c>
      <c r="CH4" s="2">
        <v>17.2</v>
      </c>
      <c r="CI4" s="2">
        <v>12.9</v>
      </c>
      <c r="CJ4" s="2">
        <v>46.7</v>
      </c>
      <c r="DH4" s="2">
        <v>49</v>
      </c>
      <c r="DI4" s="2">
        <v>30</v>
      </c>
      <c r="DJ4" s="2">
        <v>19</v>
      </c>
      <c r="DK4" s="2">
        <v>13</v>
      </c>
      <c r="DL4" s="2">
        <v>21</v>
      </c>
      <c r="DM4" s="2">
        <v>56</v>
      </c>
      <c r="DN4" s="2">
        <v>12</v>
      </c>
      <c r="DO4" s="2">
        <v>286</v>
      </c>
      <c r="DP4" s="2">
        <v>27.1</v>
      </c>
      <c r="DQ4" s="2">
        <v>13.1</v>
      </c>
      <c r="DR4" s="2">
        <v>77</v>
      </c>
      <c r="DS4" s="2">
        <v>2.44</v>
      </c>
      <c r="DT4" s="2">
        <v>4.3</v>
      </c>
      <c r="DU4" s="2">
        <v>141</v>
      </c>
      <c r="DV4" s="2">
        <v>101</v>
      </c>
      <c r="DW4" s="2">
        <v>8.3</v>
      </c>
      <c r="DX4" s="2">
        <v>53</v>
      </c>
      <c r="DY4" s="2">
        <v>12.3</v>
      </c>
      <c r="DZ4" s="2">
        <v>1.12</v>
      </c>
      <c r="EA4" s="2">
        <v>29.4</v>
      </c>
      <c r="EB4" s="2">
        <v>1117</v>
      </c>
    </row>
    <row r="5" s="2" customFormat="1" ht="18.75" spans="1:202">
      <c r="A5" s="2">
        <v>1</v>
      </c>
      <c r="B5" s="2">
        <v>0</v>
      </c>
      <c r="F5" s="2">
        <v>56</v>
      </c>
      <c r="G5" s="2">
        <v>980333</v>
      </c>
      <c r="H5" s="2" t="s">
        <v>3565</v>
      </c>
      <c r="J5" s="329" t="s">
        <v>3566</v>
      </c>
      <c r="K5" s="329" t="s">
        <v>3567</v>
      </c>
      <c r="L5" s="32">
        <v>43227</v>
      </c>
      <c r="M5" s="32">
        <v>43241</v>
      </c>
      <c r="N5" s="2">
        <v>24</v>
      </c>
      <c r="O5" s="33"/>
      <c r="P5" s="33"/>
      <c r="Q5" s="34"/>
      <c r="R5" s="34"/>
      <c r="S5" s="34"/>
      <c r="T5" s="34"/>
      <c r="U5" s="34"/>
      <c r="V5" s="34"/>
      <c r="W5" s="34"/>
      <c r="X5" s="34"/>
      <c r="Y5" s="35"/>
      <c r="Z5" s="34"/>
      <c r="AA5" s="37" t="s">
        <v>3558</v>
      </c>
      <c r="AB5" s="38"/>
      <c r="AC5" s="34"/>
      <c r="AE5" s="2">
        <v>13682148296</v>
      </c>
      <c r="AG5" s="2" t="s">
        <v>3568</v>
      </c>
      <c r="AK5" s="2" t="s">
        <v>3569</v>
      </c>
      <c r="BA5" s="2">
        <v>1</v>
      </c>
      <c r="BB5" s="2">
        <v>3</v>
      </c>
      <c r="BC5" s="2">
        <v>28</v>
      </c>
      <c r="BD5" s="2">
        <v>2</v>
      </c>
      <c r="BE5" s="2">
        <v>1.27</v>
      </c>
      <c r="BF5" s="2">
        <v>1</v>
      </c>
      <c r="BG5" s="2">
        <v>17.1</v>
      </c>
      <c r="BH5" s="2">
        <v>1</v>
      </c>
      <c r="BI5" s="2">
        <v>8</v>
      </c>
      <c r="BJ5" s="2">
        <v>2</v>
      </c>
      <c r="BK5" s="2">
        <v>17.1</v>
      </c>
      <c r="BL5" s="2">
        <v>1</v>
      </c>
      <c r="BM5" s="2">
        <v>1.27</v>
      </c>
      <c r="BN5" s="2">
        <v>74</v>
      </c>
      <c r="BO5" s="2">
        <v>1</v>
      </c>
      <c r="BP5" s="2">
        <v>9.0769892852696</v>
      </c>
      <c r="BQ5" s="2">
        <v>9</v>
      </c>
      <c r="BU5" s="2">
        <v>6.09</v>
      </c>
      <c r="BV5" s="2">
        <v>4.52</v>
      </c>
      <c r="BW5" s="2">
        <v>0.77</v>
      </c>
      <c r="BX5" s="2">
        <v>3.6</v>
      </c>
      <c r="BY5" s="2">
        <v>112</v>
      </c>
      <c r="BZ5" s="2">
        <v>69</v>
      </c>
      <c r="CA5" s="2">
        <v>74.3</v>
      </c>
      <c r="CB5" s="2">
        <v>12.6</v>
      </c>
      <c r="CC5" s="36">
        <v>5.8968253968254</v>
      </c>
      <c r="CD5" s="2">
        <v>9.2</v>
      </c>
      <c r="CE5" s="2">
        <v>3.4</v>
      </c>
      <c r="CF5" s="2">
        <v>14</v>
      </c>
      <c r="CG5" s="2">
        <v>48.3</v>
      </c>
      <c r="CH5" s="2">
        <v>16.3</v>
      </c>
      <c r="CI5" s="2">
        <v>12.6</v>
      </c>
      <c r="CJ5" s="2">
        <v>46.2</v>
      </c>
      <c r="DB5" s="2">
        <v>49.4</v>
      </c>
      <c r="DC5" s="2">
        <v>5.1</v>
      </c>
      <c r="DD5" s="2">
        <v>10.2</v>
      </c>
      <c r="DE5" s="2">
        <v>5</v>
      </c>
      <c r="DF5" s="2">
        <v>24.8</v>
      </c>
      <c r="DG5" s="2">
        <v>0.98</v>
      </c>
      <c r="DH5" s="2">
        <v>61</v>
      </c>
      <c r="DI5" s="2">
        <v>28</v>
      </c>
      <c r="DJ5" s="2">
        <v>33</v>
      </c>
      <c r="DK5" s="2">
        <v>5</v>
      </c>
      <c r="DL5" s="2">
        <v>18</v>
      </c>
      <c r="DM5" s="2">
        <v>80</v>
      </c>
      <c r="DN5" s="2">
        <v>36</v>
      </c>
      <c r="DO5" s="2">
        <v>260</v>
      </c>
      <c r="DP5" s="2">
        <v>17.1</v>
      </c>
      <c r="DQ5" s="2">
        <v>7.1</v>
      </c>
      <c r="DR5" s="2">
        <v>74</v>
      </c>
      <c r="DT5" s="2">
        <v>3.5</v>
      </c>
      <c r="DU5" s="2">
        <v>147</v>
      </c>
      <c r="DV5" s="2">
        <v>112</v>
      </c>
      <c r="DW5" s="2">
        <v>11.5</v>
      </c>
      <c r="DY5" s="2">
        <v>14</v>
      </c>
      <c r="DZ5" s="2">
        <v>1.27</v>
      </c>
      <c r="EA5" s="2">
        <v>25.3</v>
      </c>
      <c r="EB5" s="2">
        <v>5111</v>
      </c>
      <c r="EL5" s="2">
        <v>0.77</v>
      </c>
      <c r="EM5" s="2">
        <v>104.35</v>
      </c>
      <c r="EN5" s="2">
        <v>1.78</v>
      </c>
      <c r="EO5" s="2">
        <v>4.47</v>
      </c>
      <c r="EQ5" s="2">
        <v>3.064</v>
      </c>
      <c r="ET5" s="2">
        <v>1590</v>
      </c>
      <c r="EU5" s="2">
        <v>332</v>
      </c>
      <c r="EV5" s="2">
        <v>162</v>
      </c>
      <c r="EW5" s="2">
        <v>64.8</v>
      </c>
      <c r="EX5" s="2">
        <v>17.1</v>
      </c>
      <c r="EY5" s="2">
        <v>6.07</v>
      </c>
      <c r="EZ5" s="2">
        <v>16.8</v>
      </c>
      <c r="FA5" s="2" t="s">
        <v>3570</v>
      </c>
    </row>
    <row r="6" s="2" customFormat="1" ht="18.75" spans="1:202">
      <c r="A6" s="2">
        <v>1</v>
      </c>
      <c r="B6" s="2">
        <v>0</v>
      </c>
      <c r="F6" s="2">
        <v>57</v>
      </c>
      <c r="G6" s="2">
        <v>924021</v>
      </c>
      <c r="H6" s="2" t="s">
        <v>577</v>
      </c>
      <c r="L6" s="32">
        <v>43229</v>
      </c>
      <c r="M6" s="32">
        <v>43238</v>
      </c>
      <c r="N6" s="2">
        <v>86</v>
      </c>
      <c r="O6" s="33">
        <v>160</v>
      </c>
      <c r="P6" s="33"/>
      <c r="Q6" s="34"/>
      <c r="R6" s="34"/>
      <c r="S6" s="34"/>
      <c r="T6" s="34"/>
      <c r="U6" s="34"/>
      <c r="V6" s="34"/>
      <c r="W6" s="34"/>
      <c r="X6" s="34"/>
      <c r="Y6" s="35">
        <v>68</v>
      </c>
      <c r="Z6" s="34"/>
      <c r="AA6" s="34" t="s">
        <v>3571</v>
      </c>
      <c r="AB6" s="35">
        <v>0</v>
      </c>
      <c r="AC6" s="34"/>
      <c r="AE6" s="2">
        <v>18522929299</v>
      </c>
      <c r="AG6" s="2" t="s">
        <v>3572</v>
      </c>
      <c r="AK6" s="2" t="s">
        <v>3573</v>
      </c>
      <c r="BA6" s="2">
        <v>1</v>
      </c>
      <c r="BB6" s="2">
        <v>1</v>
      </c>
      <c r="BC6" s="2">
        <v>34</v>
      </c>
      <c r="BD6" s="2">
        <v>2</v>
      </c>
      <c r="BE6" s="2">
        <v>7.43</v>
      </c>
      <c r="BF6" s="2">
        <v>3</v>
      </c>
      <c r="BG6" s="2">
        <v>6.5</v>
      </c>
      <c r="BH6" s="2">
        <v>1</v>
      </c>
      <c r="BI6" s="2">
        <v>8</v>
      </c>
      <c r="BJ6" s="2">
        <v>2</v>
      </c>
      <c r="BK6" s="2">
        <v>6.5</v>
      </c>
      <c r="BL6" s="2">
        <v>0.380116959064327</v>
      </c>
      <c r="BM6" s="2">
        <v>7.43</v>
      </c>
      <c r="BN6" s="2">
        <v>58</v>
      </c>
      <c r="BO6" s="2">
        <v>1</v>
      </c>
      <c r="BP6" s="2">
        <v>25.1862397286656</v>
      </c>
      <c r="BQ6" s="2">
        <v>25</v>
      </c>
      <c r="BU6" s="2">
        <v>3.76</v>
      </c>
      <c r="BV6" s="2">
        <v>2.76</v>
      </c>
      <c r="BW6" s="2">
        <v>0.43</v>
      </c>
      <c r="BX6" s="2">
        <v>3.78</v>
      </c>
      <c r="BY6" s="2">
        <v>98</v>
      </c>
      <c r="BZ6" s="2">
        <v>227</v>
      </c>
      <c r="CA6" s="2">
        <v>73.4</v>
      </c>
      <c r="CB6" s="2">
        <v>11.4</v>
      </c>
      <c r="CC6" s="36">
        <v>6.43859649122807</v>
      </c>
      <c r="CD6" s="2">
        <v>13.3</v>
      </c>
      <c r="CE6" s="2">
        <v>1.6</v>
      </c>
      <c r="CF6" s="2">
        <v>13.8</v>
      </c>
      <c r="CG6" s="2">
        <v>42.2</v>
      </c>
      <c r="CH6" s="2">
        <v>11.3</v>
      </c>
      <c r="CI6" s="2">
        <v>10.6</v>
      </c>
      <c r="CJ6" s="2">
        <v>28.5</v>
      </c>
      <c r="DH6" s="2">
        <v>62</v>
      </c>
      <c r="DI6" s="2">
        <v>34</v>
      </c>
      <c r="DJ6" s="2">
        <v>28</v>
      </c>
      <c r="DK6" s="2">
        <v>34</v>
      </c>
      <c r="DL6" s="2">
        <v>37</v>
      </c>
      <c r="DM6" s="2">
        <v>57</v>
      </c>
      <c r="DN6" s="2">
        <v>33</v>
      </c>
      <c r="DO6" s="2">
        <v>223</v>
      </c>
      <c r="DP6" s="2">
        <v>6.5</v>
      </c>
      <c r="DQ6" s="2">
        <v>2.6</v>
      </c>
      <c r="DR6" s="2">
        <v>58</v>
      </c>
      <c r="DS6" s="2">
        <v>2.1</v>
      </c>
      <c r="DT6" s="2">
        <v>4.1</v>
      </c>
      <c r="DU6" s="2">
        <v>142</v>
      </c>
      <c r="DV6" s="2">
        <v>103</v>
      </c>
      <c r="DW6" s="2">
        <v>20.1</v>
      </c>
      <c r="DX6" s="2">
        <v>23</v>
      </c>
      <c r="DY6" s="2">
        <v>84.7</v>
      </c>
      <c r="DZ6" s="2">
        <v>7.43</v>
      </c>
      <c r="EA6" s="2">
        <v>66</v>
      </c>
      <c r="EB6" s="2">
        <v>220</v>
      </c>
      <c r="EL6" s="2">
        <v>3.3</v>
      </c>
      <c r="EM6" s="2">
        <v>17.68</v>
      </c>
      <c r="EN6" s="2">
        <v>2.2</v>
      </c>
      <c r="EO6" s="2">
        <v>3.96</v>
      </c>
      <c r="EQ6" s="2">
        <v>1.028</v>
      </c>
      <c r="ET6" s="2">
        <v>1150</v>
      </c>
      <c r="EU6" s="2">
        <v>328</v>
      </c>
      <c r="EV6" s="2">
        <v>59</v>
      </c>
      <c r="EW6" s="2">
        <v>66</v>
      </c>
      <c r="EX6" s="2">
        <v>16</v>
      </c>
      <c r="EY6" s="2">
        <v>0.71</v>
      </c>
      <c r="EZ6" s="2">
        <v>101</v>
      </c>
      <c r="FA6" s="2" t="s">
        <v>3570</v>
      </c>
    </row>
    <row r="7" s="3" customFormat="1" ht="18.75" spans="1:202">
      <c r="A7" s="3">
        <v>1</v>
      </c>
      <c r="B7" s="3">
        <v>2</v>
      </c>
      <c r="F7" s="3">
        <v>58</v>
      </c>
      <c r="G7" s="3">
        <v>980933</v>
      </c>
      <c r="H7" s="3" t="s">
        <v>3574</v>
      </c>
      <c r="L7" s="39">
        <v>43230</v>
      </c>
      <c r="M7" s="39">
        <v>43242</v>
      </c>
      <c r="N7" s="3">
        <v>66</v>
      </c>
      <c r="O7" s="40">
        <v>180</v>
      </c>
      <c r="P7" s="40"/>
      <c r="Q7" s="41"/>
      <c r="R7" s="41"/>
      <c r="S7" s="41"/>
      <c r="T7" s="41"/>
      <c r="U7" s="41"/>
      <c r="V7" s="41"/>
      <c r="W7" s="41"/>
      <c r="X7" s="41"/>
      <c r="Y7" s="42">
        <v>60</v>
      </c>
      <c r="Z7" s="41"/>
      <c r="AA7" s="41" t="s">
        <v>3575</v>
      </c>
      <c r="AB7" s="42">
        <v>4</v>
      </c>
      <c r="AC7" s="41"/>
      <c r="AE7" s="3">
        <v>18622986979</v>
      </c>
      <c r="AF7" s="2"/>
      <c r="AG7" s="3" t="s">
        <v>3576</v>
      </c>
      <c r="AK7" s="3" t="s">
        <v>3577</v>
      </c>
      <c r="BA7" s="3">
        <v>1</v>
      </c>
      <c r="BB7" s="3">
        <v>1</v>
      </c>
      <c r="BC7" s="3">
        <v>29</v>
      </c>
      <c r="BD7" s="3">
        <v>2</v>
      </c>
      <c r="BE7" s="3">
        <v>1.2</v>
      </c>
      <c r="BF7" s="3">
        <v>1</v>
      </c>
      <c r="BG7" s="3">
        <v>11.8</v>
      </c>
      <c r="BH7" s="3">
        <v>1</v>
      </c>
      <c r="BI7" s="3">
        <v>6</v>
      </c>
      <c r="BJ7" s="3">
        <v>1</v>
      </c>
      <c r="BK7" s="3">
        <v>11.8</v>
      </c>
      <c r="BL7" s="3">
        <v>0.690058479532164</v>
      </c>
      <c r="BM7" s="3">
        <v>1.2</v>
      </c>
      <c r="BN7" s="3">
        <v>76</v>
      </c>
      <c r="BO7" s="3">
        <v>1</v>
      </c>
      <c r="BP7" s="3">
        <v>7.03228149435171</v>
      </c>
      <c r="BQ7" s="3">
        <v>7</v>
      </c>
      <c r="BU7" s="3">
        <v>6</v>
      </c>
      <c r="BV7" s="3">
        <v>3.77</v>
      </c>
      <c r="BW7" s="3">
        <v>1.16</v>
      </c>
      <c r="BX7" s="3">
        <v>3.54</v>
      </c>
      <c r="BY7" s="3">
        <v>104</v>
      </c>
      <c r="BZ7" s="3">
        <v>266</v>
      </c>
      <c r="CA7" s="3">
        <v>62.8</v>
      </c>
      <c r="CB7" s="3">
        <v>19.3</v>
      </c>
      <c r="CC7" s="43">
        <v>3.25388601036269</v>
      </c>
      <c r="CD7" s="3">
        <v>11.2</v>
      </c>
      <c r="CE7" s="3">
        <v>6</v>
      </c>
      <c r="CF7" s="3">
        <v>13.9</v>
      </c>
      <c r="CG7" s="3">
        <v>45.6</v>
      </c>
      <c r="CH7" s="3">
        <v>11.4</v>
      </c>
      <c r="CI7" s="3">
        <v>10.4</v>
      </c>
      <c r="CJ7" s="3">
        <v>27.1</v>
      </c>
      <c r="DH7" s="3">
        <v>65</v>
      </c>
      <c r="DI7" s="3">
        <v>29</v>
      </c>
      <c r="DJ7" s="3">
        <v>36</v>
      </c>
      <c r="DK7" s="3">
        <v>49</v>
      </c>
      <c r="DL7" s="3">
        <v>43</v>
      </c>
      <c r="DM7" s="3">
        <v>136</v>
      </c>
      <c r="DN7" s="3">
        <v>110</v>
      </c>
      <c r="DO7" s="3">
        <v>223</v>
      </c>
      <c r="DP7" s="3">
        <v>11.8</v>
      </c>
      <c r="DQ7" s="3">
        <v>5.3</v>
      </c>
      <c r="DR7" s="3">
        <v>76</v>
      </c>
      <c r="DS7" s="3">
        <v>2.23</v>
      </c>
      <c r="DT7" s="3">
        <v>4.4</v>
      </c>
      <c r="DU7" s="3">
        <v>139</v>
      </c>
      <c r="DV7" s="3">
        <v>103</v>
      </c>
      <c r="DW7" s="3">
        <v>8.4</v>
      </c>
      <c r="DY7" s="3">
        <v>13.2</v>
      </c>
      <c r="DZ7" s="3">
        <v>1.2</v>
      </c>
      <c r="EA7" s="3">
        <v>38.3</v>
      </c>
      <c r="EB7" s="3">
        <v>2211</v>
      </c>
      <c r="EL7" s="3">
        <v>56.19</v>
      </c>
      <c r="EM7" s="3">
        <v>661.11</v>
      </c>
      <c r="EN7" s="3">
        <v>1.84</v>
      </c>
      <c r="EO7" s="3">
        <v>3.14</v>
      </c>
      <c r="EQ7" s="3">
        <v>0.658</v>
      </c>
    </row>
  </sheetData>
  <sheetProtection formatCells="0" insertHyperlinks="0" autoFilter="0"/>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A$1048576"/>
    </sheetView>
  </sheetViews>
  <sheetFormatPr defaultColWidth="9" defaultRowHeight="14.25"/>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��t^3g�V�mSS��Q@��N;`;Sb��SNMR�Q!k1Y��/f1u�N5u݋�SxPpe,{�NMO�b�yb�l:
�Q�[Z:
y���LvY�Sl��yyb�l:
�Q�[Z:nf�>f�SMDT�Q���Lvyb�l:
�Q�[Z:
y���Lvyb�l:
�Q�[Z:
��Lvyb�ll�eQ͑�u�v�b�[yb�l*g�Qb���Lv�Q�sv^ۏL�bc��Kb/g���yi/gT�[^\�21t^11g�FO9hnc������U_egw�^�/f23t^11g�`���Lv}v@��u�Ӛ�|��$v	�NjR�pIQʋ�e��v`'`��$v5u݋��ċR�egNOOb��egN�v&{�`���LvASYOt^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Office WWO_wpscloud_20260520194001-635c5f05a4</Application>
  <HeadingPairs>
    <vt:vector size="2" baseType="variant">
      <vt:variant>
        <vt:lpstr>工作表</vt:lpstr>
      </vt:variant>
      <vt:variant>
        <vt:i4>8</vt:i4>
      </vt:variant>
    </vt:vector>
  </HeadingPairs>
  <TitlesOfParts>
    <vt:vector size="8" baseType="lpstr">
      <vt:lpstr>汇总表</vt:lpstr>
      <vt:lpstr>Sheet3</vt:lpstr>
      <vt:lpstr>表格说明</vt:lpstr>
      <vt:lpstr>Sheet1</vt:lpstr>
      <vt:lpstr>Sheet2</vt:lpstr>
      <vt:lpstr>Sheet4</vt:lpstr>
      <vt:lpstr>总表53-58</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dc:creator>
  <cp:lastModifiedBy>张帆</cp:lastModifiedBy>
  <dcterms:created xsi:type="dcterms:W3CDTF">2020-07-04T05:44:00Z</dcterms:created>
  <dcterms:modified xsi:type="dcterms:W3CDTF">2026-06-03T06:35:30Z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AB1BD4B465014CC9B436FF7E5F86A216</vt:lpwstr>
  </property>
  <property fmtid="{D5CDD505-2E9C-101B-9397-08002B2CF9AE}" pid="4" name="CalculationRule">
    <vt:i4>0</vt:i4>
  </property>
</Properties>
</file>